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231"/>
  <workbookPr/>
  <mc:AlternateContent xmlns:mc="http://schemas.openxmlformats.org/markup-compatibility/2006">
    <mc:Choice Requires="x15">
      <x15ac:absPath xmlns:x15ac="http://schemas.microsoft.com/office/spreadsheetml/2010/11/ac" url="L:\CCONF\GENOC\04. Ementário NR\Arquivos de Ementário_2020\"/>
    </mc:Choice>
  </mc:AlternateContent>
  <xr:revisionPtr revIDLastSave="0" documentId="13_ncr:1_{FAB80A8D-972C-4A30-9684-AF03662A109C}" xr6:coauthVersionLast="40" xr6:coauthVersionMax="40" xr10:uidLastSave="{00000000-0000-0000-0000-000000000000}"/>
  <bookViews>
    <workbookView xWindow="-120" yWindow="-120" windowWidth="24240" windowHeight="13140" xr2:uid="{00000000-000D-0000-FFFF-FFFF00000000}"/>
  </bookViews>
  <sheets>
    <sheet name="NovoEmentárioNR-2020" sheetId="36" r:id="rId1"/>
    <sheet name="Controle de Alterações" sheetId="33" r:id="rId2"/>
    <sheet name="De-Para_Exclusoes_Nr8permance" sheetId="35" r:id="rId3"/>
  </sheets>
  <definedNames>
    <definedName name="_xlnm._FilterDatabase" localSheetId="1" hidden="1">'Controle de Alterações'!$B$6:$E$252</definedName>
    <definedName name="_xlnm._FilterDatabase" localSheetId="0" hidden="1">'NovoEmentárioNR-2020'!$B$2:$L$1019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88" i="36" l="1"/>
  <c r="C88" i="36"/>
  <c r="D88" i="36"/>
  <c r="E88" i="36"/>
  <c r="F88" i="36"/>
  <c r="G88" i="36"/>
  <c r="H88" i="36"/>
  <c r="H1019" i="36"/>
  <c r="G1019" i="36"/>
  <c r="F1019" i="36"/>
  <c r="E1019" i="36"/>
  <c r="D1019" i="36"/>
  <c r="C1019" i="36"/>
  <c r="B1019" i="36"/>
  <c r="H1018" i="36"/>
  <c r="G1018" i="36"/>
  <c r="F1018" i="36"/>
  <c r="E1018" i="36"/>
  <c r="D1018" i="36"/>
  <c r="C1018" i="36"/>
  <c r="B1018" i="36"/>
  <c r="H1017" i="36"/>
  <c r="G1017" i="36"/>
  <c r="F1017" i="36"/>
  <c r="E1017" i="36"/>
  <c r="D1017" i="36"/>
  <c r="C1017" i="36"/>
  <c r="B1017" i="36"/>
  <c r="H1016" i="36"/>
  <c r="G1016" i="36"/>
  <c r="F1016" i="36"/>
  <c r="E1016" i="36"/>
  <c r="D1016" i="36"/>
  <c r="C1016" i="36"/>
  <c r="B1016" i="36"/>
  <c r="H1015" i="36"/>
  <c r="G1015" i="36"/>
  <c r="F1015" i="36"/>
  <c r="E1015" i="36"/>
  <c r="D1015" i="36"/>
  <c r="C1015" i="36"/>
  <c r="B1015" i="36"/>
  <c r="H1014" i="36"/>
  <c r="G1014" i="36"/>
  <c r="F1014" i="36"/>
  <c r="E1014" i="36"/>
  <c r="D1014" i="36"/>
  <c r="C1014" i="36"/>
  <c r="B1014" i="36"/>
  <c r="H1013" i="36"/>
  <c r="G1013" i="36"/>
  <c r="F1013" i="36"/>
  <c r="E1013" i="36"/>
  <c r="D1013" i="36"/>
  <c r="C1013" i="36"/>
  <c r="B1013" i="36"/>
  <c r="H1012" i="36"/>
  <c r="G1012" i="36"/>
  <c r="F1012" i="36"/>
  <c r="E1012" i="36"/>
  <c r="D1012" i="36"/>
  <c r="C1012" i="36"/>
  <c r="B1012" i="36"/>
  <c r="H1011" i="36"/>
  <c r="G1011" i="36"/>
  <c r="F1011" i="36"/>
  <c r="E1011" i="36"/>
  <c r="D1011" i="36"/>
  <c r="C1011" i="36"/>
  <c r="B1011" i="36"/>
  <c r="H1010" i="36"/>
  <c r="G1010" i="36"/>
  <c r="F1010" i="36"/>
  <c r="E1010" i="36"/>
  <c r="D1010" i="36"/>
  <c r="C1010" i="36"/>
  <c r="B1010" i="36"/>
  <c r="H1009" i="36"/>
  <c r="G1009" i="36"/>
  <c r="F1009" i="36"/>
  <c r="E1009" i="36"/>
  <c r="D1009" i="36"/>
  <c r="C1009" i="36"/>
  <c r="B1009" i="36"/>
  <c r="H1008" i="36"/>
  <c r="G1008" i="36"/>
  <c r="F1008" i="36"/>
  <c r="E1008" i="36"/>
  <c r="D1008" i="36"/>
  <c r="C1008" i="36"/>
  <c r="B1008" i="36"/>
  <c r="H1007" i="36"/>
  <c r="G1007" i="36"/>
  <c r="F1007" i="36"/>
  <c r="E1007" i="36"/>
  <c r="D1007" i="36"/>
  <c r="C1007" i="36"/>
  <c r="B1007" i="36"/>
  <c r="H1006" i="36"/>
  <c r="G1006" i="36"/>
  <c r="F1006" i="36"/>
  <c r="E1006" i="36"/>
  <c r="D1006" i="36"/>
  <c r="C1006" i="36"/>
  <c r="B1006" i="36"/>
  <c r="H1005" i="36"/>
  <c r="G1005" i="36"/>
  <c r="F1005" i="36"/>
  <c r="E1005" i="36"/>
  <c r="D1005" i="36"/>
  <c r="C1005" i="36"/>
  <c r="B1005" i="36"/>
  <c r="H1004" i="36"/>
  <c r="G1004" i="36"/>
  <c r="F1004" i="36"/>
  <c r="E1004" i="36"/>
  <c r="D1004" i="36"/>
  <c r="C1004" i="36"/>
  <c r="B1004" i="36"/>
  <c r="H1003" i="36"/>
  <c r="G1003" i="36"/>
  <c r="F1003" i="36"/>
  <c r="E1003" i="36"/>
  <c r="D1003" i="36"/>
  <c r="C1003" i="36"/>
  <c r="B1003" i="36"/>
  <c r="H1002" i="36"/>
  <c r="G1002" i="36"/>
  <c r="F1002" i="36"/>
  <c r="E1002" i="36"/>
  <c r="D1002" i="36"/>
  <c r="C1002" i="36"/>
  <c r="B1002" i="36"/>
  <c r="H1001" i="36"/>
  <c r="G1001" i="36"/>
  <c r="F1001" i="36"/>
  <c r="E1001" i="36"/>
  <c r="D1001" i="36"/>
  <c r="C1001" i="36"/>
  <c r="B1001" i="36"/>
  <c r="H1000" i="36"/>
  <c r="G1000" i="36"/>
  <c r="F1000" i="36"/>
  <c r="E1000" i="36"/>
  <c r="D1000" i="36"/>
  <c r="C1000" i="36"/>
  <c r="B1000" i="36"/>
  <c r="H999" i="36"/>
  <c r="G999" i="36"/>
  <c r="F999" i="36"/>
  <c r="E999" i="36"/>
  <c r="D999" i="36"/>
  <c r="C999" i="36"/>
  <c r="B999" i="36"/>
  <c r="H998" i="36"/>
  <c r="G998" i="36"/>
  <c r="F998" i="36"/>
  <c r="E998" i="36"/>
  <c r="D998" i="36"/>
  <c r="C998" i="36"/>
  <c r="B998" i="36"/>
  <c r="H997" i="36"/>
  <c r="G997" i="36"/>
  <c r="F997" i="36"/>
  <c r="E997" i="36"/>
  <c r="D997" i="36"/>
  <c r="C997" i="36"/>
  <c r="B997" i="36"/>
  <c r="H996" i="36"/>
  <c r="G996" i="36"/>
  <c r="F996" i="36"/>
  <c r="E996" i="36"/>
  <c r="D996" i="36"/>
  <c r="C996" i="36"/>
  <c r="B996" i="36"/>
  <c r="H995" i="36"/>
  <c r="G995" i="36"/>
  <c r="F995" i="36"/>
  <c r="E995" i="36"/>
  <c r="D995" i="36"/>
  <c r="C995" i="36"/>
  <c r="B995" i="36"/>
  <c r="H994" i="36"/>
  <c r="G994" i="36"/>
  <c r="F994" i="36"/>
  <c r="E994" i="36"/>
  <c r="D994" i="36"/>
  <c r="C994" i="36"/>
  <c r="B994" i="36"/>
  <c r="H993" i="36"/>
  <c r="G993" i="36"/>
  <c r="F993" i="36"/>
  <c r="E993" i="36"/>
  <c r="D993" i="36"/>
  <c r="C993" i="36"/>
  <c r="B993" i="36"/>
  <c r="H992" i="36"/>
  <c r="G992" i="36"/>
  <c r="F992" i="36"/>
  <c r="E992" i="36"/>
  <c r="D992" i="36"/>
  <c r="C992" i="36"/>
  <c r="B992" i="36"/>
  <c r="H991" i="36"/>
  <c r="G991" i="36"/>
  <c r="F991" i="36"/>
  <c r="E991" i="36"/>
  <c r="D991" i="36"/>
  <c r="C991" i="36"/>
  <c r="B991" i="36"/>
  <c r="H990" i="36"/>
  <c r="G990" i="36"/>
  <c r="F990" i="36"/>
  <c r="E990" i="36"/>
  <c r="D990" i="36"/>
  <c r="C990" i="36"/>
  <c r="B990" i="36"/>
  <c r="H989" i="36"/>
  <c r="G989" i="36"/>
  <c r="F989" i="36"/>
  <c r="E989" i="36"/>
  <c r="D989" i="36"/>
  <c r="C989" i="36"/>
  <c r="B989" i="36"/>
  <c r="H988" i="36"/>
  <c r="G988" i="36"/>
  <c r="F988" i="36"/>
  <c r="E988" i="36"/>
  <c r="D988" i="36"/>
  <c r="C988" i="36"/>
  <c r="B988" i="36"/>
  <c r="H987" i="36"/>
  <c r="G987" i="36"/>
  <c r="F987" i="36"/>
  <c r="E987" i="36"/>
  <c r="D987" i="36"/>
  <c r="C987" i="36"/>
  <c r="B987" i="36"/>
  <c r="H986" i="36"/>
  <c r="G986" i="36"/>
  <c r="F986" i="36"/>
  <c r="E986" i="36"/>
  <c r="D986" i="36"/>
  <c r="C986" i="36"/>
  <c r="B986" i="36"/>
  <c r="H985" i="36"/>
  <c r="G985" i="36"/>
  <c r="F985" i="36"/>
  <c r="E985" i="36"/>
  <c r="D985" i="36"/>
  <c r="C985" i="36"/>
  <c r="B985" i="36"/>
  <c r="H984" i="36"/>
  <c r="G984" i="36"/>
  <c r="F984" i="36"/>
  <c r="E984" i="36"/>
  <c r="D984" i="36"/>
  <c r="C984" i="36"/>
  <c r="B984" i="36"/>
  <c r="H983" i="36"/>
  <c r="G983" i="36"/>
  <c r="F983" i="36"/>
  <c r="E983" i="36"/>
  <c r="D983" i="36"/>
  <c r="C983" i="36"/>
  <c r="B983" i="36"/>
  <c r="H982" i="36"/>
  <c r="G982" i="36"/>
  <c r="F982" i="36"/>
  <c r="E982" i="36"/>
  <c r="D982" i="36"/>
  <c r="C982" i="36"/>
  <c r="B982" i="36"/>
  <c r="H981" i="36"/>
  <c r="G981" i="36"/>
  <c r="F981" i="36"/>
  <c r="E981" i="36"/>
  <c r="D981" i="36"/>
  <c r="C981" i="36"/>
  <c r="B981" i="36"/>
  <c r="H980" i="36"/>
  <c r="G980" i="36"/>
  <c r="F980" i="36"/>
  <c r="E980" i="36"/>
  <c r="D980" i="36"/>
  <c r="C980" i="36"/>
  <c r="B980" i="36"/>
  <c r="H979" i="36"/>
  <c r="G979" i="36"/>
  <c r="F979" i="36"/>
  <c r="E979" i="36"/>
  <c r="D979" i="36"/>
  <c r="C979" i="36"/>
  <c r="B979" i="36"/>
  <c r="H978" i="36"/>
  <c r="G978" i="36"/>
  <c r="F978" i="36"/>
  <c r="E978" i="36"/>
  <c r="D978" i="36"/>
  <c r="C978" i="36"/>
  <c r="B978" i="36"/>
  <c r="H977" i="36"/>
  <c r="G977" i="36"/>
  <c r="F977" i="36"/>
  <c r="E977" i="36"/>
  <c r="D977" i="36"/>
  <c r="C977" i="36"/>
  <c r="B977" i="36"/>
  <c r="H976" i="36"/>
  <c r="G976" i="36"/>
  <c r="F976" i="36"/>
  <c r="E976" i="36"/>
  <c r="D976" i="36"/>
  <c r="C976" i="36"/>
  <c r="B976" i="36"/>
  <c r="H975" i="36"/>
  <c r="G975" i="36"/>
  <c r="F975" i="36"/>
  <c r="E975" i="36"/>
  <c r="D975" i="36"/>
  <c r="C975" i="36"/>
  <c r="B975" i="36"/>
  <c r="H974" i="36"/>
  <c r="G974" i="36"/>
  <c r="F974" i="36"/>
  <c r="E974" i="36"/>
  <c r="D974" i="36"/>
  <c r="C974" i="36"/>
  <c r="B974" i="36"/>
  <c r="H973" i="36"/>
  <c r="G973" i="36"/>
  <c r="F973" i="36"/>
  <c r="E973" i="36"/>
  <c r="D973" i="36"/>
  <c r="C973" i="36"/>
  <c r="B973" i="36"/>
  <c r="H972" i="36"/>
  <c r="G972" i="36"/>
  <c r="F972" i="36"/>
  <c r="E972" i="36"/>
  <c r="D972" i="36"/>
  <c r="C972" i="36"/>
  <c r="B972" i="36"/>
  <c r="H971" i="36"/>
  <c r="G971" i="36"/>
  <c r="F971" i="36"/>
  <c r="E971" i="36"/>
  <c r="D971" i="36"/>
  <c r="C971" i="36"/>
  <c r="B971" i="36"/>
  <c r="H970" i="36"/>
  <c r="G970" i="36"/>
  <c r="F970" i="36"/>
  <c r="E970" i="36"/>
  <c r="D970" i="36"/>
  <c r="C970" i="36"/>
  <c r="B970" i="36"/>
  <c r="H969" i="36"/>
  <c r="G969" i="36"/>
  <c r="F969" i="36"/>
  <c r="E969" i="36"/>
  <c r="D969" i="36"/>
  <c r="C969" i="36"/>
  <c r="B969" i="36"/>
  <c r="H968" i="36"/>
  <c r="G968" i="36"/>
  <c r="F968" i="36"/>
  <c r="E968" i="36"/>
  <c r="D968" i="36"/>
  <c r="C968" i="36"/>
  <c r="B968" i="36"/>
  <c r="H967" i="36"/>
  <c r="G967" i="36"/>
  <c r="F967" i="36"/>
  <c r="E967" i="36"/>
  <c r="D967" i="36"/>
  <c r="C967" i="36"/>
  <c r="B967" i="36"/>
  <c r="H966" i="36"/>
  <c r="G966" i="36"/>
  <c r="F966" i="36"/>
  <c r="E966" i="36"/>
  <c r="D966" i="36"/>
  <c r="C966" i="36"/>
  <c r="B966" i="36"/>
  <c r="H965" i="36"/>
  <c r="G965" i="36"/>
  <c r="F965" i="36"/>
  <c r="E965" i="36"/>
  <c r="D965" i="36"/>
  <c r="C965" i="36"/>
  <c r="B965" i="36"/>
  <c r="H964" i="36"/>
  <c r="G964" i="36"/>
  <c r="F964" i="36"/>
  <c r="E964" i="36"/>
  <c r="D964" i="36"/>
  <c r="C964" i="36"/>
  <c r="B964" i="36"/>
  <c r="H963" i="36"/>
  <c r="G963" i="36"/>
  <c r="F963" i="36"/>
  <c r="E963" i="36"/>
  <c r="D963" i="36"/>
  <c r="C963" i="36"/>
  <c r="B963" i="36"/>
  <c r="H962" i="36"/>
  <c r="G962" i="36"/>
  <c r="F962" i="36"/>
  <c r="E962" i="36"/>
  <c r="D962" i="36"/>
  <c r="C962" i="36"/>
  <c r="B962" i="36"/>
  <c r="H961" i="36"/>
  <c r="G961" i="36"/>
  <c r="F961" i="36"/>
  <c r="E961" i="36"/>
  <c r="D961" i="36"/>
  <c r="C961" i="36"/>
  <c r="B961" i="36"/>
  <c r="H960" i="36"/>
  <c r="G960" i="36"/>
  <c r="F960" i="36"/>
  <c r="E960" i="36"/>
  <c r="D960" i="36"/>
  <c r="C960" i="36"/>
  <c r="B960" i="36"/>
  <c r="H959" i="36"/>
  <c r="G959" i="36"/>
  <c r="F959" i="36"/>
  <c r="E959" i="36"/>
  <c r="D959" i="36"/>
  <c r="C959" i="36"/>
  <c r="B959" i="36"/>
  <c r="H958" i="36"/>
  <c r="G958" i="36"/>
  <c r="F958" i="36"/>
  <c r="E958" i="36"/>
  <c r="D958" i="36"/>
  <c r="C958" i="36"/>
  <c r="B958" i="36"/>
  <c r="H957" i="36"/>
  <c r="G957" i="36"/>
  <c r="F957" i="36"/>
  <c r="E957" i="36"/>
  <c r="D957" i="36"/>
  <c r="C957" i="36"/>
  <c r="B957" i="36"/>
  <c r="H956" i="36"/>
  <c r="G956" i="36"/>
  <c r="F956" i="36"/>
  <c r="E956" i="36"/>
  <c r="D956" i="36"/>
  <c r="C956" i="36"/>
  <c r="B956" i="36"/>
  <c r="H955" i="36"/>
  <c r="G955" i="36"/>
  <c r="F955" i="36"/>
  <c r="E955" i="36"/>
  <c r="D955" i="36"/>
  <c r="C955" i="36"/>
  <c r="B955" i="36"/>
  <c r="H954" i="36"/>
  <c r="G954" i="36"/>
  <c r="F954" i="36"/>
  <c r="E954" i="36"/>
  <c r="D954" i="36"/>
  <c r="C954" i="36"/>
  <c r="B954" i="36"/>
  <c r="H953" i="36"/>
  <c r="G953" i="36"/>
  <c r="F953" i="36"/>
  <c r="E953" i="36"/>
  <c r="D953" i="36"/>
  <c r="C953" i="36"/>
  <c r="B953" i="36"/>
  <c r="H952" i="36"/>
  <c r="G952" i="36"/>
  <c r="F952" i="36"/>
  <c r="E952" i="36"/>
  <c r="D952" i="36"/>
  <c r="C952" i="36"/>
  <c r="B952" i="36"/>
  <c r="H951" i="36"/>
  <c r="G951" i="36"/>
  <c r="F951" i="36"/>
  <c r="E951" i="36"/>
  <c r="D951" i="36"/>
  <c r="C951" i="36"/>
  <c r="B951" i="36"/>
  <c r="H950" i="36"/>
  <c r="G950" i="36"/>
  <c r="F950" i="36"/>
  <c r="E950" i="36"/>
  <c r="D950" i="36"/>
  <c r="C950" i="36"/>
  <c r="B950" i="36"/>
  <c r="H949" i="36"/>
  <c r="G949" i="36"/>
  <c r="F949" i="36"/>
  <c r="E949" i="36"/>
  <c r="D949" i="36"/>
  <c r="C949" i="36"/>
  <c r="B949" i="36"/>
  <c r="H948" i="36"/>
  <c r="G948" i="36"/>
  <c r="F948" i="36"/>
  <c r="E948" i="36"/>
  <c r="D948" i="36"/>
  <c r="C948" i="36"/>
  <c r="B948" i="36"/>
  <c r="H947" i="36"/>
  <c r="G947" i="36"/>
  <c r="F947" i="36"/>
  <c r="E947" i="36"/>
  <c r="D947" i="36"/>
  <c r="C947" i="36"/>
  <c r="B947" i="36"/>
  <c r="H946" i="36"/>
  <c r="G946" i="36"/>
  <c r="F946" i="36"/>
  <c r="E946" i="36"/>
  <c r="D946" i="36"/>
  <c r="C946" i="36"/>
  <c r="B946" i="36"/>
  <c r="H945" i="36"/>
  <c r="G945" i="36"/>
  <c r="F945" i="36"/>
  <c r="E945" i="36"/>
  <c r="D945" i="36"/>
  <c r="C945" i="36"/>
  <c r="B945" i="36"/>
  <c r="H944" i="36"/>
  <c r="G944" i="36"/>
  <c r="F944" i="36"/>
  <c r="E944" i="36"/>
  <c r="D944" i="36"/>
  <c r="C944" i="36"/>
  <c r="B944" i="36"/>
  <c r="H943" i="36"/>
  <c r="G943" i="36"/>
  <c r="F943" i="36"/>
  <c r="E943" i="36"/>
  <c r="D943" i="36"/>
  <c r="C943" i="36"/>
  <c r="B943" i="36"/>
  <c r="H942" i="36"/>
  <c r="G942" i="36"/>
  <c r="F942" i="36"/>
  <c r="E942" i="36"/>
  <c r="D942" i="36"/>
  <c r="C942" i="36"/>
  <c r="B942" i="36"/>
  <c r="H941" i="36"/>
  <c r="G941" i="36"/>
  <c r="F941" i="36"/>
  <c r="E941" i="36"/>
  <c r="D941" i="36"/>
  <c r="C941" i="36"/>
  <c r="B941" i="36"/>
  <c r="H940" i="36"/>
  <c r="G940" i="36"/>
  <c r="F940" i="36"/>
  <c r="E940" i="36"/>
  <c r="D940" i="36"/>
  <c r="C940" i="36"/>
  <c r="B940" i="36"/>
  <c r="H939" i="36"/>
  <c r="G939" i="36"/>
  <c r="F939" i="36"/>
  <c r="E939" i="36"/>
  <c r="D939" i="36"/>
  <c r="C939" i="36"/>
  <c r="B939" i="36"/>
  <c r="H938" i="36"/>
  <c r="G938" i="36"/>
  <c r="F938" i="36"/>
  <c r="E938" i="36"/>
  <c r="D938" i="36"/>
  <c r="C938" i="36"/>
  <c r="B938" i="36"/>
  <c r="H937" i="36"/>
  <c r="G937" i="36"/>
  <c r="F937" i="36"/>
  <c r="E937" i="36"/>
  <c r="D937" i="36"/>
  <c r="C937" i="36"/>
  <c r="B937" i="36"/>
  <c r="H936" i="36"/>
  <c r="G936" i="36"/>
  <c r="F936" i="36"/>
  <c r="E936" i="36"/>
  <c r="D936" i="36"/>
  <c r="C936" i="36"/>
  <c r="B936" i="36"/>
  <c r="H935" i="36"/>
  <c r="G935" i="36"/>
  <c r="F935" i="36"/>
  <c r="E935" i="36"/>
  <c r="D935" i="36"/>
  <c r="C935" i="36"/>
  <c r="B935" i="36"/>
  <c r="H934" i="36"/>
  <c r="G934" i="36"/>
  <c r="F934" i="36"/>
  <c r="E934" i="36"/>
  <c r="D934" i="36"/>
  <c r="C934" i="36"/>
  <c r="B934" i="36"/>
  <c r="H933" i="36"/>
  <c r="G933" i="36"/>
  <c r="F933" i="36"/>
  <c r="E933" i="36"/>
  <c r="D933" i="36"/>
  <c r="C933" i="36"/>
  <c r="B933" i="36"/>
  <c r="H932" i="36"/>
  <c r="G932" i="36"/>
  <c r="F932" i="36"/>
  <c r="E932" i="36"/>
  <c r="D932" i="36"/>
  <c r="C932" i="36"/>
  <c r="B932" i="36"/>
  <c r="H931" i="36"/>
  <c r="G931" i="36"/>
  <c r="F931" i="36"/>
  <c r="E931" i="36"/>
  <c r="D931" i="36"/>
  <c r="C931" i="36"/>
  <c r="B931" i="36"/>
  <c r="H930" i="36"/>
  <c r="G930" i="36"/>
  <c r="F930" i="36"/>
  <c r="E930" i="36"/>
  <c r="D930" i="36"/>
  <c r="C930" i="36"/>
  <c r="B930" i="36"/>
  <c r="H929" i="36"/>
  <c r="G929" i="36"/>
  <c r="F929" i="36"/>
  <c r="E929" i="36"/>
  <c r="D929" i="36"/>
  <c r="C929" i="36"/>
  <c r="B929" i="36"/>
  <c r="H928" i="36"/>
  <c r="G928" i="36"/>
  <c r="F928" i="36"/>
  <c r="E928" i="36"/>
  <c r="D928" i="36"/>
  <c r="C928" i="36"/>
  <c r="B928" i="36"/>
  <c r="H927" i="36"/>
  <c r="G927" i="36"/>
  <c r="F927" i="36"/>
  <c r="E927" i="36"/>
  <c r="D927" i="36"/>
  <c r="C927" i="36"/>
  <c r="B927" i="36"/>
  <c r="H926" i="36"/>
  <c r="G926" i="36"/>
  <c r="F926" i="36"/>
  <c r="E926" i="36"/>
  <c r="D926" i="36"/>
  <c r="C926" i="36"/>
  <c r="B926" i="36"/>
  <c r="H925" i="36"/>
  <c r="G925" i="36"/>
  <c r="F925" i="36"/>
  <c r="E925" i="36"/>
  <c r="D925" i="36"/>
  <c r="C925" i="36"/>
  <c r="B925" i="36"/>
  <c r="H924" i="36"/>
  <c r="G924" i="36"/>
  <c r="F924" i="36"/>
  <c r="E924" i="36"/>
  <c r="D924" i="36"/>
  <c r="C924" i="36"/>
  <c r="B924" i="36"/>
  <c r="H923" i="36"/>
  <c r="G923" i="36"/>
  <c r="F923" i="36"/>
  <c r="E923" i="36"/>
  <c r="D923" i="36"/>
  <c r="C923" i="36"/>
  <c r="B923" i="36"/>
  <c r="H922" i="36"/>
  <c r="G922" i="36"/>
  <c r="F922" i="36"/>
  <c r="E922" i="36"/>
  <c r="D922" i="36"/>
  <c r="C922" i="36"/>
  <c r="B922" i="36"/>
  <c r="H921" i="36"/>
  <c r="G921" i="36"/>
  <c r="F921" i="36"/>
  <c r="E921" i="36"/>
  <c r="D921" i="36"/>
  <c r="C921" i="36"/>
  <c r="B921" i="36"/>
  <c r="H920" i="36"/>
  <c r="G920" i="36"/>
  <c r="F920" i="36"/>
  <c r="E920" i="36"/>
  <c r="D920" i="36"/>
  <c r="C920" i="36"/>
  <c r="B920" i="36"/>
  <c r="H919" i="36"/>
  <c r="G919" i="36"/>
  <c r="F919" i="36"/>
  <c r="E919" i="36"/>
  <c r="D919" i="36"/>
  <c r="C919" i="36"/>
  <c r="B919" i="36"/>
  <c r="H918" i="36"/>
  <c r="G918" i="36"/>
  <c r="F918" i="36"/>
  <c r="E918" i="36"/>
  <c r="D918" i="36"/>
  <c r="C918" i="36"/>
  <c r="B918" i="36"/>
  <c r="H917" i="36"/>
  <c r="G917" i="36"/>
  <c r="F917" i="36"/>
  <c r="E917" i="36"/>
  <c r="D917" i="36"/>
  <c r="C917" i="36"/>
  <c r="B917" i="36"/>
  <c r="H916" i="36"/>
  <c r="G916" i="36"/>
  <c r="F916" i="36"/>
  <c r="E916" i="36"/>
  <c r="D916" i="36"/>
  <c r="C916" i="36"/>
  <c r="B916" i="36"/>
  <c r="H915" i="36"/>
  <c r="G915" i="36"/>
  <c r="F915" i="36"/>
  <c r="E915" i="36"/>
  <c r="D915" i="36"/>
  <c r="C915" i="36"/>
  <c r="B915" i="36"/>
  <c r="H914" i="36"/>
  <c r="G914" i="36"/>
  <c r="F914" i="36"/>
  <c r="E914" i="36"/>
  <c r="D914" i="36"/>
  <c r="C914" i="36"/>
  <c r="B914" i="36"/>
  <c r="H913" i="36"/>
  <c r="G913" i="36"/>
  <c r="F913" i="36"/>
  <c r="E913" i="36"/>
  <c r="D913" i="36"/>
  <c r="C913" i="36"/>
  <c r="B913" i="36"/>
  <c r="H912" i="36"/>
  <c r="G912" i="36"/>
  <c r="F912" i="36"/>
  <c r="E912" i="36"/>
  <c r="D912" i="36"/>
  <c r="C912" i="36"/>
  <c r="B912" i="36"/>
  <c r="H911" i="36"/>
  <c r="G911" i="36"/>
  <c r="F911" i="36"/>
  <c r="E911" i="36"/>
  <c r="D911" i="36"/>
  <c r="C911" i="36"/>
  <c r="B911" i="36"/>
  <c r="H910" i="36"/>
  <c r="G910" i="36"/>
  <c r="F910" i="36"/>
  <c r="E910" i="36"/>
  <c r="D910" i="36"/>
  <c r="C910" i="36"/>
  <c r="B910" i="36"/>
  <c r="H909" i="36"/>
  <c r="G909" i="36"/>
  <c r="F909" i="36"/>
  <c r="E909" i="36"/>
  <c r="D909" i="36"/>
  <c r="C909" i="36"/>
  <c r="B909" i="36"/>
  <c r="H908" i="36"/>
  <c r="G908" i="36"/>
  <c r="F908" i="36"/>
  <c r="E908" i="36"/>
  <c r="D908" i="36"/>
  <c r="C908" i="36"/>
  <c r="B908" i="36"/>
  <c r="H907" i="36"/>
  <c r="G907" i="36"/>
  <c r="F907" i="36"/>
  <c r="E907" i="36"/>
  <c r="D907" i="36"/>
  <c r="C907" i="36"/>
  <c r="B907" i="36"/>
  <c r="H906" i="36"/>
  <c r="G906" i="36"/>
  <c r="F906" i="36"/>
  <c r="E906" i="36"/>
  <c r="D906" i="36"/>
  <c r="C906" i="36"/>
  <c r="B906" i="36"/>
  <c r="H905" i="36"/>
  <c r="G905" i="36"/>
  <c r="F905" i="36"/>
  <c r="E905" i="36"/>
  <c r="D905" i="36"/>
  <c r="C905" i="36"/>
  <c r="B905" i="36"/>
  <c r="H904" i="36"/>
  <c r="G904" i="36"/>
  <c r="F904" i="36"/>
  <c r="E904" i="36"/>
  <c r="D904" i="36"/>
  <c r="C904" i="36"/>
  <c r="B904" i="36"/>
  <c r="H903" i="36"/>
  <c r="G903" i="36"/>
  <c r="F903" i="36"/>
  <c r="E903" i="36"/>
  <c r="D903" i="36"/>
  <c r="C903" i="36"/>
  <c r="B903" i="36"/>
  <c r="H902" i="36"/>
  <c r="G902" i="36"/>
  <c r="F902" i="36"/>
  <c r="E902" i="36"/>
  <c r="D902" i="36"/>
  <c r="C902" i="36"/>
  <c r="B902" i="36"/>
  <c r="H901" i="36"/>
  <c r="G901" i="36"/>
  <c r="F901" i="36"/>
  <c r="E901" i="36"/>
  <c r="D901" i="36"/>
  <c r="C901" i="36"/>
  <c r="B901" i="36"/>
  <c r="H900" i="36"/>
  <c r="G900" i="36"/>
  <c r="F900" i="36"/>
  <c r="E900" i="36"/>
  <c r="D900" i="36"/>
  <c r="C900" i="36"/>
  <c r="B900" i="36"/>
  <c r="H899" i="36"/>
  <c r="G899" i="36"/>
  <c r="F899" i="36"/>
  <c r="E899" i="36"/>
  <c r="D899" i="36"/>
  <c r="C899" i="36"/>
  <c r="B899" i="36"/>
  <c r="H898" i="36"/>
  <c r="G898" i="36"/>
  <c r="F898" i="36"/>
  <c r="E898" i="36"/>
  <c r="D898" i="36"/>
  <c r="C898" i="36"/>
  <c r="B898" i="36"/>
  <c r="H897" i="36"/>
  <c r="G897" i="36"/>
  <c r="F897" i="36"/>
  <c r="E897" i="36"/>
  <c r="D897" i="36"/>
  <c r="C897" i="36"/>
  <c r="B897" i="36"/>
  <c r="H896" i="36"/>
  <c r="G896" i="36"/>
  <c r="F896" i="36"/>
  <c r="E896" i="36"/>
  <c r="D896" i="36"/>
  <c r="C896" i="36"/>
  <c r="B896" i="36"/>
  <c r="H895" i="36"/>
  <c r="G895" i="36"/>
  <c r="F895" i="36"/>
  <c r="E895" i="36"/>
  <c r="D895" i="36"/>
  <c r="C895" i="36"/>
  <c r="B895" i="36"/>
  <c r="H894" i="36"/>
  <c r="G894" i="36"/>
  <c r="F894" i="36"/>
  <c r="E894" i="36"/>
  <c r="D894" i="36"/>
  <c r="C894" i="36"/>
  <c r="B894" i="36"/>
  <c r="H893" i="36"/>
  <c r="G893" i="36"/>
  <c r="F893" i="36"/>
  <c r="E893" i="36"/>
  <c r="D893" i="36"/>
  <c r="C893" i="36"/>
  <c r="B893" i="36"/>
  <c r="H892" i="36"/>
  <c r="G892" i="36"/>
  <c r="F892" i="36"/>
  <c r="E892" i="36"/>
  <c r="D892" i="36"/>
  <c r="C892" i="36"/>
  <c r="B892" i="36"/>
  <c r="H891" i="36"/>
  <c r="G891" i="36"/>
  <c r="F891" i="36"/>
  <c r="E891" i="36"/>
  <c r="D891" i="36"/>
  <c r="C891" i="36"/>
  <c r="B891" i="36"/>
  <c r="H890" i="36"/>
  <c r="G890" i="36"/>
  <c r="F890" i="36"/>
  <c r="E890" i="36"/>
  <c r="D890" i="36"/>
  <c r="C890" i="36"/>
  <c r="B890" i="36"/>
  <c r="H889" i="36"/>
  <c r="G889" i="36"/>
  <c r="F889" i="36"/>
  <c r="E889" i="36"/>
  <c r="D889" i="36"/>
  <c r="C889" i="36"/>
  <c r="B889" i="36"/>
  <c r="H888" i="36"/>
  <c r="G888" i="36"/>
  <c r="F888" i="36"/>
  <c r="E888" i="36"/>
  <c r="D888" i="36"/>
  <c r="C888" i="36"/>
  <c r="B888" i="36"/>
  <c r="H887" i="36"/>
  <c r="G887" i="36"/>
  <c r="F887" i="36"/>
  <c r="E887" i="36"/>
  <c r="D887" i="36"/>
  <c r="C887" i="36"/>
  <c r="B887" i="36"/>
  <c r="H886" i="36"/>
  <c r="G886" i="36"/>
  <c r="F886" i="36"/>
  <c r="E886" i="36"/>
  <c r="D886" i="36"/>
  <c r="C886" i="36"/>
  <c r="B886" i="36"/>
  <c r="H885" i="36"/>
  <c r="G885" i="36"/>
  <c r="F885" i="36"/>
  <c r="E885" i="36"/>
  <c r="D885" i="36"/>
  <c r="C885" i="36"/>
  <c r="B885" i="36"/>
  <c r="H884" i="36"/>
  <c r="G884" i="36"/>
  <c r="F884" i="36"/>
  <c r="E884" i="36"/>
  <c r="D884" i="36"/>
  <c r="C884" i="36"/>
  <c r="B884" i="36"/>
  <c r="H883" i="36"/>
  <c r="G883" i="36"/>
  <c r="F883" i="36"/>
  <c r="E883" i="36"/>
  <c r="D883" i="36"/>
  <c r="C883" i="36"/>
  <c r="B883" i="36"/>
  <c r="H882" i="36"/>
  <c r="G882" i="36"/>
  <c r="F882" i="36"/>
  <c r="E882" i="36"/>
  <c r="D882" i="36"/>
  <c r="C882" i="36"/>
  <c r="B882" i="36"/>
  <c r="H881" i="36"/>
  <c r="G881" i="36"/>
  <c r="F881" i="36"/>
  <c r="E881" i="36"/>
  <c r="D881" i="36"/>
  <c r="C881" i="36"/>
  <c r="B881" i="36"/>
  <c r="H880" i="36"/>
  <c r="G880" i="36"/>
  <c r="F880" i="36"/>
  <c r="E880" i="36"/>
  <c r="D880" i="36"/>
  <c r="C880" i="36"/>
  <c r="B880" i="36"/>
  <c r="H879" i="36"/>
  <c r="G879" i="36"/>
  <c r="F879" i="36"/>
  <c r="E879" i="36"/>
  <c r="D879" i="36"/>
  <c r="C879" i="36"/>
  <c r="B879" i="36"/>
  <c r="H878" i="36"/>
  <c r="G878" i="36"/>
  <c r="F878" i="36"/>
  <c r="E878" i="36"/>
  <c r="D878" i="36"/>
  <c r="C878" i="36"/>
  <c r="B878" i="36"/>
  <c r="H877" i="36"/>
  <c r="G877" i="36"/>
  <c r="F877" i="36"/>
  <c r="E877" i="36"/>
  <c r="D877" i="36"/>
  <c r="C877" i="36"/>
  <c r="B877" i="36"/>
  <c r="H876" i="36"/>
  <c r="G876" i="36"/>
  <c r="F876" i="36"/>
  <c r="E876" i="36"/>
  <c r="D876" i="36"/>
  <c r="C876" i="36"/>
  <c r="B876" i="36"/>
  <c r="H875" i="36"/>
  <c r="G875" i="36"/>
  <c r="F875" i="36"/>
  <c r="E875" i="36"/>
  <c r="D875" i="36"/>
  <c r="C875" i="36"/>
  <c r="B875" i="36"/>
  <c r="H874" i="36"/>
  <c r="G874" i="36"/>
  <c r="F874" i="36"/>
  <c r="E874" i="36"/>
  <c r="D874" i="36"/>
  <c r="C874" i="36"/>
  <c r="B874" i="36"/>
  <c r="H873" i="36"/>
  <c r="G873" i="36"/>
  <c r="F873" i="36"/>
  <c r="E873" i="36"/>
  <c r="D873" i="36"/>
  <c r="C873" i="36"/>
  <c r="B873" i="36"/>
  <c r="H872" i="36"/>
  <c r="G872" i="36"/>
  <c r="F872" i="36"/>
  <c r="E872" i="36"/>
  <c r="D872" i="36"/>
  <c r="C872" i="36"/>
  <c r="B872" i="36"/>
  <c r="H871" i="36"/>
  <c r="G871" i="36"/>
  <c r="F871" i="36"/>
  <c r="E871" i="36"/>
  <c r="D871" i="36"/>
  <c r="C871" i="36"/>
  <c r="B871" i="36"/>
  <c r="H870" i="36"/>
  <c r="G870" i="36"/>
  <c r="F870" i="36"/>
  <c r="E870" i="36"/>
  <c r="D870" i="36"/>
  <c r="C870" i="36"/>
  <c r="B870" i="36"/>
  <c r="H869" i="36"/>
  <c r="G869" i="36"/>
  <c r="F869" i="36"/>
  <c r="E869" i="36"/>
  <c r="D869" i="36"/>
  <c r="C869" i="36"/>
  <c r="B869" i="36"/>
  <c r="H868" i="36"/>
  <c r="G868" i="36"/>
  <c r="F868" i="36"/>
  <c r="E868" i="36"/>
  <c r="D868" i="36"/>
  <c r="C868" i="36"/>
  <c r="B868" i="36"/>
  <c r="H867" i="36"/>
  <c r="G867" i="36"/>
  <c r="F867" i="36"/>
  <c r="E867" i="36"/>
  <c r="D867" i="36"/>
  <c r="C867" i="36"/>
  <c r="B867" i="36"/>
  <c r="H866" i="36"/>
  <c r="G866" i="36"/>
  <c r="F866" i="36"/>
  <c r="E866" i="36"/>
  <c r="D866" i="36"/>
  <c r="C866" i="36"/>
  <c r="B866" i="36"/>
  <c r="H865" i="36"/>
  <c r="G865" i="36"/>
  <c r="F865" i="36"/>
  <c r="E865" i="36"/>
  <c r="D865" i="36"/>
  <c r="C865" i="36"/>
  <c r="B865" i="36"/>
  <c r="H864" i="36"/>
  <c r="G864" i="36"/>
  <c r="F864" i="36"/>
  <c r="E864" i="36"/>
  <c r="D864" i="36"/>
  <c r="C864" i="36"/>
  <c r="B864" i="36"/>
  <c r="H863" i="36"/>
  <c r="G863" i="36"/>
  <c r="F863" i="36"/>
  <c r="E863" i="36"/>
  <c r="D863" i="36"/>
  <c r="C863" i="36"/>
  <c r="B863" i="36"/>
  <c r="H862" i="36"/>
  <c r="G862" i="36"/>
  <c r="F862" i="36"/>
  <c r="E862" i="36"/>
  <c r="D862" i="36"/>
  <c r="C862" i="36"/>
  <c r="B862" i="36"/>
  <c r="H861" i="36"/>
  <c r="G861" i="36"/>
  <c r="F861" i="36"/>
  <c r="E861" i="36"/>
  <c r="D861" i="36"/>
  <c r="C861" i="36"/>
  <c r="B861" i="36"/>
  <c r="H860" i="36"/>
  <c r="G860" i="36"/>
  <c r="F860" i="36"/>
  <c r="E860" i="36"/>
  <c r="D860" i="36"/>
  <c r="C860" i="36"/>
  <c r="B860" i="36"/>
  <c r="H859" i="36"/>
  <c r="G859" i="36"/>
  <c r="F859" i="36"/>
  <c r="E859" i="36"/>
  <c r="D859" i="36"/>
  <c r="C859" i="36"/>
  <c r="B859" i="36"/>
  <c r="H858" i="36"/>
  <c r="G858" i="36"/>
  <c r="F858" i="36"/>
  <c r="E858" i="36"/>
  <c r="D858" i="36"/>
  <c r="C858" i="36"/>
  <c r="B858" i="36"/>
  <c r="H857" i="36"/>
  <c r="G857" i="36"/>
  <c r="F857" i="36"/>
  <c r="E857" i="36"/>
  <c r="D857" i="36"/>
  <c r="C857" i="36"/>
  <c r="B857" i="36"/>
  <c r="H856" i="36"/>
  <c r="G856" i="36"/>
  <c r="F856" i="36"/>
  <c r="E856" i="36"/>
  <c r="D856" i="36"/>
  <c r="C856" i="36"/>
  <c r="B856" i="36"/>
  <c r="H855" i="36"/>
  <c r="G855" i="36"/>
  <c r="F855" i="36"/>
  <c r="E855" i="36"/>
  <c r="D855" i="36"/>
  <c r="C855" i="36"/>
  <c r="B855" i="36"/>
  <c r="H854" i="36"/>
  <c r="G854" i="36"/>
  <c r="F854" i="36"/>
  <c r="E854" i="36"/>
  <c r="D854" i="36"/>
  <c r="C854" i="36"/>
  <c r="B854" i="36"/>
  <c r="H853" i="36"/>
  <c r="G853" i="36"/>
  <c r="F853" i="36"/>
  <c r="E853" i="36"/>
  <c r="D853" i="36"/>
  <c r="C853" i="36"/>
  <c r="B853" i="36"/>
  <c r="H852" i="36"/>
  <c r="G852" i="36"/>
  <c r="F852" i="36"/>
  <c r="E852" i="36"/>
  <c r="D852" i="36"/>
  <c r="C852" i="36"/>
  <c r="B852" i="36"/>
  <c r="H851" i="36"/>
  <c r="G851" i="36"/>
  <c r="F851" i="36"/>
  <c r="E851" i="36"/>
  <c r="D851" i="36"/>
  <c r="C851" i="36"/>
  <c r="B851" i="36"/>
  <c r="H850" i="36"/>
  <c r="G850" i="36"/>
  <c r="F850" i="36"/>
  <c r="E850" i="36"/>
  <c r="D850" i="36"/>
  <c r="C850" i="36"/>
  <c r="B850" i="36"/>
  <c r="H849" i="36"/>
  <c r="G849" i="36"/>
  <c r="F849" i="36"/>
  <c r="E849" i="36"/>
  <c r="D849" i="36"/>
  <c r="C849" i="36"/>
  <c r="B849" i="36"/>
  <c r="H848" i="36"/>
  <c r="G848" i="36"/>
  <c r="F848" i="36"/>
  <c r="E848" i="36"/>
  <c r="D848" i="36"/>
  <c r="C848" i="36"/>
  <c r="B848" i="36"/>
  <c r="H847" i="36"/>
  <c r="G847" i="36"/>
  <c r="F847" i="36"/>
  <c r="E847" i="36"/>
  <c r="D847" i="36"/>
  <c r="C847" i="36"/>
  <c r="B847" i="36"/>
  <c r="H846" i="36"/>
  <c r="G846" i="36"/>
  <c r="F846" i="36"/>
  <c r="E846" i="36"/>
  <c r="D846" i="36"/>
  <c r="C846" i="36"/>
  <c r="B846" i="36"/>
  <c r="H845" i="36"/>
  <c r="G845" i="36"/>
  <c r="F845" i="36"/>
  <c r="E845" i="36"/>
  <c r="D845" i="36"/>
  <c r="C845" i="36"/>
  <c r="B845" i="36"/>
  <c r="H844" i="36"/>
  <c r="G844" i="36"/>
  <c r="F844" i="36"/>
  <c r="E844" i="36"/>
  <c r="D844" i="36"/>
  <c r="C844" i="36"/>
  <c r="B844" i="36"/>
  <c r="H843" i="36"/>
  <c r="G843" i="36"/>
  <c r="F843" i="36"/>
  <c r="E843" i="36"/>
  <c r="D843" i="36"/>
  <c r="C843" i="36"/>
  <c r="B843" i="36"/>
  <c r="H842" i="36"/>
  <c r="G842" i="36"/>
  <c r="F842" i="36"/>
  <c r="E842" i="36"/>
  <c r="D842" i="36"/>
  <c r="C842" i="36"/>
  <c r="B842" i="36"/>
  <c r="H841" i="36"/>
  <c r="G841" i="36"/>
  <c r="F841" i="36"/>
  <c r="E841" i="36"/>
  <c r="D841" i="36"/>
  <c r="C841" i="36"/>
  <c r="B841" i="36"/>
  <c r="H840" i="36"/>
  <c r="G840" i="36"/>
  <c r="F840" i="36"/>
  <c r="E840" i="36"/>
  <c r="D840" i="36"/>
  <c r="C840" i="36"/>
  <c r="B840" i="36"/>
  <c r="H839" i="36"/>
  <c r="G839" i="36"/>
  <c r="F839" i="36"/>
  <c r="E839" i="36"/>
  <c r="D839" i="36"/>
  <c r="C839" i="36"/>
  <c r="B839" i="36"/>
  <c r="H838" i="36"/>
  <c r="G838" i="36"/>
  <c r="F838" i="36"/>
  <c r="E838" i="36"/>
  <c r="D838" i="36"/>
  <c r="C838" i="36"/>
  <c r="B838" i="36"/>
  <c r="H837" i="36"/>
  <c r="G837" i="36"/>
  <c r="F837" i="36"/>
  <c r="E837" i="36"/>
  <c r="D837" i="36"/>
  <c r="C837" i="36"/>
  <c r="B837" i="36"/>
  <c r="H836" i="36"/>
  <c r="G836" i="36"/>
  <c r="F836" i="36"/>
  <c r="E836" i="36"/>
  <c r="D836" i="36"/>
  <c r="C836" i="36"/>
  <c r="B836" i="36"/>
  <c r="H835" i="36"/>
  <c r="G835" i="36"/>
  <c r="F835" i="36"/>
  <c r="E835" i="36"/>
  <c r="D835" i="36"/>
  <c r="C835" i="36"/>
  <c r="B835" i="36"/>
  <c r="H834" i="36"/>
  <c r="G834" i="36"/>
  <c r="F834" i="36"/>
  <c r="E834" i="36"/>
  <c r="D834" i="36"/>
  <c r="C834" i="36"/>
  <c r="B834" i="36"/>
  <c r="H833" i="36"/>
  <c r="G833" i="36"/>
  <c r="F833" i="36"/>
  <c r="E833" i="36"/>
  <c r="D833" i="36"/>
  <c r="C833" i="36"/>
  <c r="B833" i="36"/>
  <c r="H832" i="36"/>
  <c r="G832" i="36"/>
  <c r="F832" i="36"/>
  <c r="E832" i="36"/>
  <c r="D832" i="36"/>
  <c r="C832" i="36"/>
  <c r="B832" i="36"/>
  <c r="H831" i="36"/>
  <c r="G831" i="36"/>
  <c r="F831" i="36"/>
  <c r="E831" i="36"/>
  <c r="D831" i="36"/>
  <c r="C831" i="36"/>
  <c r="B831" i="36"/>
  <c r="H830" i="36"/>
  <c r="G830" i="36"/>
  <c r="F830" i="36"/>
  <c r="E830" i="36"/>
  <c r="D830" i="36"/>
  <c r="C830" i="36"/>
  <c r="B830" i="36"/>
  <c r="H829" i="36"/>
  <c r="G829" i="36"/>
  <c r="F829" i="36"/>
  <c r="E829" i="36"/>
  <c r="D829" i="36"/>
  <c r="C829" i="36"/>
  <c r="B829" i="36"/>
  <c r="H828" i="36"/>
  <c r="G828" i="36"/>
  <c r="F828" i="36"/>
  <c r="E828" i="36"/>
  <c r="D828" i="36"/>
  <c r="C828" i="36"/>
  <c r="B828" i="36"/>
  <c r="H827" i="36"/>
  <c r="G827" i="36"/>
  <c r="F827" i="36"/>
  <c r="E827" i="36"/>
  <c r="D827" i="36"/>
  <c r="C827" i="36"/>
  <c r="B827" i="36"/>
  <c r="H826" i="36"/>
  <c r="G826" i="36"/>
  <c r="F826" i="36"/>
  <c r="E826" i="36"/>
  <c r="D826" i="36"/>
  <c r="C826" i="36"/>
  <c r="B826" i="36"/>
  <c r="H825" i="36"/>
  <c r="G825" i="36"/>
  <c r="F825" i="36"/>
  <c r="E825" i="36"/>
  <c r="D825" i="36"/>
  <c r="C825" i="36"/>
  <c r="B825" i="36"/>
  <c r="H824" i="36"/>
  <c r="G824" i="36"/>
  <c r="F824" i="36"/>
  <c r="E824" i="36"/>
  <c r="D824" i="36"/>
  <c r="C824" i="36"/>
  <c r="B824" i="36"/>
  <c r="H823" i="36"/>
  <c r="G823" i="36"/>
  <c r="F823" i="36"/>
  <c r="E823" i="36"/>
  <c r="D823" i="36"/>
  <c r="C823" i="36"/>
  <c r="B823" i="36"/>
  <c r="H822" i="36"/>
  <c r="G822" i="36"/>
  <c r="F822" i="36"/>
  <c r="E822" i="36"/>
  <c r="D822" i="36"/>
  <c r="C822" i="36"/>
  <c r="B822" i="36"/>
  <c r="H821" i="36"/>
  <c r="G821" i="36"/>
  <c r="F821" i="36"/>
  <c r="E821" i="36"/>
  <c r="D821" i="36"/>
  <c r="C821" i="36"/>
  <c r="B821" i="36"/>
  <c r="H820" i="36"/>
  <c r="G820" i="36"/>
  <c r="F820" i="36"/>
  <c r="E820" i="36"/>
  <c r="D820" i="36"/>
  <c r="C820" i="36"/>
  <c r="B820" i="36"/>
  <c r="H819" i="36"/>
  <c r="G819" i="36"/>
  <c r="F819" i="36"/>
  <c r="E819" i="36"/>
  <c r="D819" i="36"/>
  <c r="C819" i="36"/>
  <c r="B819" i="36"/>
  <c r="H818" i="36"/>
  <c r="G818" i="36"/>
  <c r="F818" i="36"/>
  <c r="E818" i="36"/>
  <c r="D818" i="36"/>
  <c r="C818" i="36"/>
  <c r="B818" i="36"/>
  <c r="H817" i="36"/>
  <c r="G817" i="36"/>
  <c r="F817" i="36"/>
  <c r="E817" i="36"/>
  <c r="D817" i="36"/>
  <c r="C817" i="36"/>
  <c r="B817" i="36"/>
  <c r="H816" i="36"/>
  <c r="G816" i="36"/>
  <c r="F816" i="36"/>
  <c r="E816" i="36"/>
  <c r="D816" i="36"/>
  <c r="C816" i="36"/>
  <c r="B816" i="36"/>
  <c r="H815" i="36"/>
  <c r="G815" i="36"/>
  <c r="F815" i="36"/>
  <c r="E815" i="36"/>
  <c r="D815" i="36"/>
  <c r="C815" i="36"/>
  <c r="B815" i="36"/>
  <c r="H814" i="36"/>
  <c r="G814" i="36"/>
  <c r="F814" i="36"/>
  <c r="E814" i="36"/>
  <c r="D814" i="36"/>
  <c r="C814" i="36"/>
  <c r="B814" i="36"/>
  <c r="H813" i="36"/>
  <c r="G813" i="36"/>
  <c r="F813" i="36"/>
  <c r="E813" i="36"/>
  <c r="D813" i="36"/>
  <c r="C813" i="36"/>
  <c r="B813" i="36"/>
  <c r="H812" i="36"/>
  <c r="G812" i="36"/>
  <c r="F812" i="36"/>
  <c r="E812" i="36"/>
  <c r="D812" i="36"/>
  <c r="C812" i="36"/>
  <c r="B812" i="36"/>
  <c r="H811" i="36"/>
  <c r="G811" i="36"/>
  <c r="F811" i="36"/>
  <c r="E811" i="36"/>
  <c r="D811" i="36"/>
  <c r="C811" i="36"/>
  <c r="B811" i="36"/>
  <c r="H810" i="36"/>
  <c r="G810" i="36"/>
  <c r="F810" i="36"/>
  <c r="E810" i="36"/>
  <c r="D810" i="36"/>
  <c r="C810" i="36"/>
  <c r="B810" i="36"/>
  <c r="H809" i="36"/>
  <c r="G809" i="36"/>
  <c r="F809" i="36"/>
  <c r="E809" i="36"/>
  <c r="D809" i="36"/>
  <c r="C809" i="36"/>
  <c r="B809" i="36"/>
  <c r="H808" i="36"/>
  <c r="G808" i="36"/>
  <c r="F808" i="36"/>
  <c r="E808" i="36"/>
  <c r="D808" i="36"/>
  <c r="C808" i="36"/>
  <c r="B808" i="36"/>
  <c r="H807" i="36"/>
  <c r="G807" i="36"/>
  <c r="F807" i="36"/>
  <c r="E807" i="36"/>
  <c r="D807" i="36"/>
  <c r="C807" i="36"/>
  <c r="B807" i="36"/>
  <c r="H806" i="36"/>
  <c r="G806" i="36"/>
  <c r="F806" i="36"/>
  <c r="E806" i="36"/>
  <c r="D806" i="36"/>
  <c r="C806" i="36"/>
  <c r="B806" i="36"/>
  <c r="H805" i="36"/>
  <c r="G805" i="36"/>
  <c r="F805" i="36"/>
  <c r="E805" i="36"/>
  <c r="D805" i="36"/>
  <c r="C805" i="36"/>
  <c r="B805" i="36"/>
  <c r="H804" i="36"/>
  <c r="G804" i="36"/>
  <c r="F804" i="36"/>
  <c r="E804" i="36"/>
  <c r="D804" i="36"/>
  <c r="C804" i="36"/>
  <c r="B804" i="36"/>
  <c r="H803" i="36"/>
  <c r="G803" i="36"/>
  <c r="F803" i="36"/>
  <c r="E803" i="36"/>
  <c r="D803" i="36"/>
  <c r="C803" i="36"/>
  <c r="B803" i="36"/>
  <c r="H802" i="36"/>
  <c r="G802" i="36"/>
  <c r="F802" i="36"/>
  <c r="E802" i="36"/>
  <c r="D802" i="36"/>
  <c r="C802" i="36"/>
  <c r="B802" i="36"/>
  <c r="H801" i="36"/>
  <c r="G801" i="36"/>
  <c r="F801" i="36"/>
  <c r="E801" i="36"/>
  <c r="D801" i="36"/>
  <c r="C801" i="36"/>
  <c r="B801" i="36"/>
  <c r="H800" i="36"/>
  <c r="G800" i="36"/>
  <c r="F800" i="36"/>
  <c r="E800" i="36"/>
  <c r="D800" i="36"/>
  <c r="C800" i="36"/>
  <c r="B800" i="36"/>
  <c r="H799" i="36"/>
  <c r="G799" i="36"/>
  <c r="F799" i="36"/>
  <c r="E799" i="36"/>
  <c r="D799" i="36"/>
  <c r="C799" i="36"/>
  <c r="B799" i="36"/>
  <c r="H798" i="36"/>
  <c r="G798" i="36"/>
  <c r="F798" i="36"/>
  <c r="E798" i="36"/>
  <c r="D798" i="36"/>
  <c r="C798" i="36"/>
  <c r="B798" i="36"/>
  <c r="H797" i="36"/>
  <c r="G797" i="36"/>
  <c r="F797" i="36"/>
  <c r="E797" i="36"/>
  <c r="D797" i="36"/>
  <c r="C797" i="36"/>
  <c r="B797" i="36"/>
  <c r="H796" i="36"/>
  <c r="G796" i="36"/>
  <c r="F796" i="36"/>
  <c r="E796" i="36"/>
  <c r="D796" i="36"/>
  <c r="C796" i="36"/>
  <c r="B796" i="36"/>
  <c r="H795" i="36"/>
  <c r="G795" i="36"/>
  <c r="F795" i="36"/>
  <c r="E795" i="36"/>
  <c r="D795" i="36"/>
  <c r="C795" i="36"/>
  <c r="B795" i="36"/>
  <c r="H794" i="36"/>
  <c r="G794" i="36"/>
  <c r="F794" i="36"/>
  <c r="E794" i="36"/>
  <c r="D794" i="36"/>
  <c r="C794" i="36"/>
  <c r="B794" i="36"/>
  <c r="H793" i="36"/>
  <c r="G793" i="36"/>
  <c r="F793" i="36"/>
  <c r="E793" i="36"/>
  <c r="D793" i="36"/>
  <c r="C793" i="36"/>
  <c r="B793" i="36"/>
  <c r="H792" i="36"/>
  <c r="G792" i="36"/>
  <c r="F792" i="36"/>
  <c r="E792" i="36"/>
  <c r="D792" i="36"/>
  <c r="C792" i="36"/>
  <c r="B792" i="36"/>
  <c r="H791" i="36"/>
  <c r="G791" i="36"/>
  <c r="F791" i="36"/>
  <c r="E791" i="36"/>
  <c r="D791" i="36"/>
  <c r="C791" i="36"/>
  <c r="B791" i="36"/>
  <c r="H790" i="36"/>
  <c r="G790" i="36"/>
  <c r="F790" i="36"/>
  <c r="E790" i="36"/>
  <c r="D790" i="36"/>
  <c r="C790" i="36"/>
  <c r="B790" i="36"/>
  <c r="H789" i="36"/>
  <c r="G789" i="36"/>
  <c r="F789" i="36"/>
  <c r="E789" i="36"/>
  <c r="D789" i="36"/>
  <c r="C789" i="36"/>
  <c r="B789" i="36"/>
  <c r="H788" i="36"/>
  <c r="G788" i="36"/>
  <c r="F788" i="36"/>
  <c r="E788" i="36"/>
  <c r="D788" i="36"/>
  <c r="C788" i="36"/>
  <c r="B788" i="36"/>
  <c r="H787" i="36"/>
  <c r="G787" i="36"/>
  <c r="F787" i="36"/>
  <c r="E787" i="36"/>
  <c r="D787" i="36"/>
  <c r="C787" i="36"/>
  <c r="B787" i="36"/>
  <c r="H786" i="36"/>
  <c r="G786" i="36"/>
  <c r="F786" i="36"/>
  <c r="E786" i="36"/>
  <c r="D786" i="36"/>
  <c r="C786" i="36"/>
  <c r="B786" i="36"/>
  <c r="H785" i="36"/>
  <c r="G785" i="36"/>
  <c r="F785" i="36"/>
  <c r="E785" i="36"/>
  <c r="D785" i="36"/>
  <c r="C785" i="36"/>
  <c r="B785" i="36"/>
  <c r="H784" i="36"/>
  <c r="G784" i="36"/>
  <c r="F784" i="36"/>
  <c r="E784" i="36"/>
  <c r="D784" i="36"/>
  <c r="C784" i="36"/>
  <c r="B784" i="36"/>
  <c r="H783" i="36"/>
  <c r="G783" i="36"/>
  <c r="F783" i="36"/>
  <c r="E783" i="36"/>
  <c r="D783" i="36"/>
  <c r="C783" i="36"/>
  <c r="B783" i="36"/>
  <c r="H782" i="36"/>
  <c r="G782" i="36"/>
  <c r="F782" i="36"/>
  <c r="E782" i="36"/>
  <c r="D782" i="36"/>
  <c r="C782" i="36"/>
  <c r="B782" i="36"/>
  <c r="H781" i="36"/>
  <c r="G781" i="36"/>
  <c r="F781" i="36"/>
  <c r="E781" i="36"/>
  <c r="D781" i="36"/>
  <c r="C781" i="36"/>
  <c r="B781" i="36"/>
  <c r="H780" i="36"/>
  <c r="G780" i="36"/>
  <c r="F780" i="36"/>
  <c r="E780" i="36"/>
  <c r="D780" i="36"/>
  <c r="C780" i="36"/>
  <c r="B780" i="36"/>
  <c r="H779" i="36"/>
  <c r="G779" i="36"/>
  <c r="F779" i="36"/>
  <c r="E779" i="36"/>
  <c r="D779" i="36"/>
  <c r="C779" i="36"/>
  <c r="B779" i="36"/>
  <c r="H778" i="36"/>
  <c r="G778" i="36"/>
  <c r="F778" i="36"/>
  <c r="E778" i="36"/>
  <c r="D778" i="36"/>
  <c r="C778" i="36"/>
  <c r="B778" i="36"/>
  <c r="H777" i="36"/>
  <c r="G777" i="36"/>
  <c r="F777" i="36"/>
  <c r="E777" i="36"/>
  <c r="D777" i="36"/>
  <c r="C777" i="36"/>
  <c r="B777" i="36"/>
  <c r="H776" i="36"/>
  <c r="G776" i="36"/>
  <c r="F776" i="36"/>
  <c r="E776" i="36"/>
  <c r="D776" i="36"/>
  <c r="C776" i="36"/>
  <c r="B776" i="36"/>
  <c r="H775" i="36"/>
  <c r="G775" i="36"/>
  <c r="F775" i="36"/>
  <c r="E775" i="36"/>
  <c r="D775" i="36"/>
  <c r="C775" i="36"/>
  <c r="B775" i="36"/>
  <c r="H774" i="36"/>
  <c r="G774" i="36"/>
  <c r="F774" i="36"/>
  <c r="E774" i="36"/>
  <c r="D774" i="36"/>
  <c r="C774" i="36"/>
  <c r="B774" i="36"/>
  <c r="H773" i="36"/>
  <c r="G773" i="36"/>
  <c r="F773" i="36"/>
  <c r="E773" i="36"/>
  <c r="D773" i="36"/>
  <c r="C773" i="36"/>
  <c r="B773" i="36"/>
  <c r="H772" i="36"/>
  <c r="G772" i="36"/>
  <c r="F772" i="36"/>
  <c r="E772" i="36"/>
  <c r="D772" i="36"/>
  <c r="C772" i="36"/>
  <c r="B772" i="36"/>
  <c r="H771" i="36"/>
  <c r="G771" i="36"/>
  <c r="F771" i="36"/>
  <c r="E771" i="36"/>
  <c r="D771" i="36"/>
  <c r="C771" i="36"/>
  <c r="B771" i="36"/>
  <c r="H770" i="36"/>
  <c r="G770" i="36"/>
  <c r="F770" i="36"/>
  <c r="E770" i="36"/>
  <c r="D770" i="36"/>
  <c r="C770" i="36"/>
  <c r="B770" i="36"/>
  <c r="H769" i="36"/>
  <c r="G769" i="36"/>
  <c r="F769" i="36"/>
  <c r="E769" i="36"/>
  <c r="D769" i="36"/>
  <c r="C769" i="36"/>
  <c r="B769" i="36"/>
  <c r="H768" i="36"/>
  <c r="G768" i="36"/>
  <c r="F768" i="36"/>
  <c r="E768" i="36"/>
  <c r="D768" i="36"/>
  <c r="C768" i="36"/>
  <c r="B768" i="36"/>
  <c r="H767" i="36"/>
  <c r="G767" i="36"/>
  <c r="F767" i="36"/>
  <c r="E767" i="36"/>
  <c r="D767" i="36"/>
  <c r="C767" i="36"/>
  <c r="B767" i="36"/>
  <c r="H766" i="36"/>
  <c r="G766" i="36"/>
  <c r="F766" i="36"/>
  <c r="E766" i="36"/>
  <c r="D766" i="36"/>
  <c r="C766" i="36"/>
  <c r="B766" i="36"/>
  <c r="H765" i="36"/>
  <c r="G765" i="36"/>
  <c r="F765" i="36"/>
  <c r="E765" i="36"/>
  <c r="D765" i="36"/>
  <c r="C765" i="36"/>
  <c r="B765" i="36"/>
  <c r="H764" i="36"/>
  <c r="G764" i="36"/>
  <c r="F764" i="36"/>
  <c r="E764" i="36"/>
  <c r="D764" i="36"/>
  <c r="C764" i="36"/>
  <c r="B764" i="36"/>
  <c r="H763" i="36"/>
  <c r="G763" i="36"/>
  <c r="F763" i="36"/>
  <c r="E763" i="36"/>
  <c r="D763" i="36"/>
  <c r="C763" i="36"/>
  <c r="B763" i="36"/>
  <c r="H762" i="36"/>
  <c r="G762" i="36"/>
  <c r="F762" i="36"/>
  <c r="E762" i="36"/>
  <c r="D762" i="36"/>
  <c r="C762" i="36"/>
  <c r="B762" i="36"/>
  <c r="H761" i="36"/>
  <c r="G761" i="36"/>
  <c r="F761" i="36"/>
  <c r="E761" i="36"/>
  <c r="D761" i="36"/>
  <c r="C761" i="36"/>
  <c r="B761" i="36"/>
  <c r="H760" i="36"/>
  <c r="G760" i="36"/>
  <c r="F760" i="36"/>
  <c r="E760" i="36"/>
  <c r="D760" i="36"/>
  <c r="C760" i="36"/>
  <c r="B760" i="36"/>
  <c r="H759" i="36"/>
  <c r="G759" i="36"/>
  <c r="F759" i="36"/>
  <c r="E759" i="36"/>
  <c r="D759" i="36"/>
  <c r="C759" i="36"/>
  <c r="B759" i="36"/>
  <c r="H758" i="36"/>
  <c r="G758" i="36"/>
  <c r="F758" i="36"/>
  <c r="E758" i="36"/>
  <c r="D758" i="36"/>
  <c r="C758" i="36"/>
  <c r="B758" i="36"/>
  <c r="H757" i="36"/>
  <c r="G757" i="36"/>
  <c r="F757" i="36"/>
  <c r="E757" i="36"/>
  <c r="D757" i="36"/>
  <c r="C757" i="36"/>
  <c r="B757" i="36"/>
  <c r="H756" i="36"/>
  <c r="G756" i="36"/>
  <c r="F756" i="36"/>
  <c r="E756" i="36"/>
  <c r="D756" i="36"/>
  <c r="C756" i="36"/>
  <c r="B756" i="36"/>
  <c r="H755" i="36"/>
  <c r="G755" i="36"/>
  <c r="F755" i="36"/>
  <c r="E755" i="36"/>
  <c r="D755" i="36"/>
  <c r="C755" i="36"/>
  <c r="B755" i="36"/>
  <c r="H754" i="36"/>
  <c r="G754" i="36"/>
  <c r="F754" i="36"/>
  <c r="E754" i="36"/>
  <c r="D754" i="36"/>
  <c r="C754" i="36"/>
  <c r="B754" i="36"/>
  <c r="H753" i="36"/>
  <c r="G753" i="36"/>
  <c r="F753" i="36"/>
  <c r="E753" i="36"/>
  <c r="D753" i="36"/>
  <c r="C753" i="36"/>
  <c r="B753" i="36"/>
  <c r="H752" i="36"/>
  <c r="G752" i="36"/>
  <c r="F752" i="36"/>
  <c r="E752" i="36"/>
  <c r="D752" i="36"/>
  <c r="C752" i="36"/>
  <c r="B752" i="36"/>
  <c r="H751" i="36"/>
  <c r="G751" i="36"/>
  <c r="F751" i="36"/>
  <c r="E751" i="36"/>
  <c r="D751" i="36"/>
  <c r="C751" i="36"/>
  <c r="B751" i="36"/>
  <c r="H750" i="36"/>
  <c r="G750" i="36"/>
  <c r="F750" i="36"/>
  <c r="E750" i="36"/>
  <c r="D750" i="36"/>
  <c r="C750" i="36"/>
  <c r="B750" i="36"/>
  <c r="H749" i="36"/>
  <c r="G749" i="36"/>
  <c r="F749" i="36"/>
  <c r="E749" i="36"/>
  <c r="D749" i="36"/>
  <c r="C749" i="36"/>
  <c r="B749" i="36"/>
  <c r="H748" i="36"/>
  <c r="G748" i="36"/>
  <c r="F748" i="36"/>
  <c r="E748" i="36"/>
  <c r="D748" i="36"/>
  <c r="C748" i="36"/>
  <c r="B748" i="36"/>
  <c r="H747" i="36"/>
  <c r="G747" i="36"/>
  <c r="F747" i="36"/>
  <c r="E747" i="36"/>
  <c r="D747" i="36"/>
  <c r="C747" i="36"/>
  <c r="B747" i="36"/>
  <c r="H746" i="36"/>
  <c r="G746" i="36"/>
  <c r="F746" i="36"/>
  <c r="E746" i="36"/>
  <c r="D746" i="36"/>
  <c r="C746" i="36"/>
  <c r="B746" i="36"/>
  <c r="H745" i="36"/>
  <c r="G745" i="36"/>
  <c r="F745" i="36"/>
  <c r="E745" i="36"/>
  <c r="D745" i="36"/>
  <c r="C745" i="36"/>
  <c r="B745" i="36"/>
  <c r="H744" i="36"/>
  <c r="G744" i="36"/>
  <c r="F744" i="36"/>
  <c r="E744" i="36"/>
  <c r="D744" i="36"/>
  <c r="C744" i="36"/>
  <c r="B744" i="36"/>
  <c r="H743" i="36"/>
  <c r="G743" i="36"/>
  <c r="F743" i="36"/>
  <c r="E743" i="36"/>
  <c r="D743" i="36"/>
  <c r="C743" i="36"/>
  <c r="B743" i="36"/>
  <c r="H742" i="36"/>
  <c r="G742" i="36"/>
  <c r="F742" i="36"/>
  <c r="E742" i="36"/>
  <c r="D742" i="36"/>
  <c r="C742" i="36"/>
  <c r="B742" i="36"/>
  <c r="H741" i="36"/>
  <c r="G741" i="36"/>
  <c r="F741" i="36"/>
  <c r="E741" i="36"/>
  <c r="D741" i="36"/>
  <c r="C741" i="36"/>
  <c r="B741" i="36"/>
  <c r="H740" i="36"/>
  <c r="G740" i="36"/>
  <c r="F740" i="36"/>
  <c r="E740" i="36"/>
  <c r="D740" i="36"/>
  <c r="C740" i="36"/>
  <c r="B740" i="36"/>
  <c r="H739" i="36"/>
  <c r="G739" i="36"/>
  <c r="F739" i="36"/>
  <c r="E739" i="36"/>
  <c r="D739" i="36"/>
  <c r="C739" i="36"/>
  <c r="B739" i="36"/>
  <c r="H738" i="36"/>
  <c r="G738" i="36"/>
  <c r="F738" i="36"/>
  <c r="E738" i="36"/>
  <c r="D738" i="36"/>
  <c r="C738" i="36"/>
  <c r="B738" i="36"/>
  <c r="H737" i="36"/>
  <c r="G737" i="36"/>
  <c r="F737" i="36"/>
  <c r="E737" i="36"/>
  <c r="D737" i="36"/>
  <c r="C737" i="36"/>
  <c r="B737" i="36"/>
  <c r="H736" i="36"/>
  <c r="G736" i="36"/>
  <c r="F736" i="36"/>
  <c r="E736" i="36"/>
  <c r="D736" i="36"/>
  <c r="C736" i="36"/>
  <c r="B736" i="36"/>
  <c r="H735" i="36"/>
  <c r="G735" i="36"/>
  <c r="F735" i="36"/>
  <c r="E735" i="36"/>
  <c r="D735" i="36"/>
  <c r="C735" i="36"/>
  <c r="B735" i="36"/>
  <c r="H734" i="36"/>
  <c r="G734" i="36"/>
  <c r="F734" i="36"/>
  <c r="E734" i="36"/>
  <c r="D734" i="36"/>
  <c r="C734" i="36"/>
  <c r="B734" i="36"/>
  <c r="H733" i="36"/>
  <c r="G733" i="36"/>
  <c r="F733" i="36"/>
  <c r="E733" i="36"/>
  <c r="D733" i="36"/>
  <c r="C733" i="36"/>
  <c r="B733" i="36"/>
  <c r="H732" i="36"/>
  <c r="G732" i="36"/>
  <c r="F732" i="36"/>
  <c r="E732" i="36"/>
  <c r="D732" i="36"/>
  <c r="C732" i="36"/>
  <c r="B732" i="36"/>
  <c r="H731" i="36"/>
  <c r="G731" i="36"/>
  <c r="F731" i="36"/>
  <c r="E731" i="36"/>
  <c r="D731" i="36"/>
  <c r="C731" i="36"/>
  <c r="B731" i="36"/>
  <c r="H730" i="36"/>
  <c r="G730" i="36"/>
  <c r="F730" i="36"/>
  <c r="E730" i="36"/>
  <c r="D730" i="36"/>
  <c r="C730" i="36"/>
  <c r="B730" i="36"/>
  <c r="H729" i="36"/>
  <c r="G729" i="36"/>
  <c r="F729" i="36"/>
  <c r="E729" i="36"/>
  <c r="D729" i="36"/>
  <c r="C729" i="36"/>
  <c r="B729" i="36"/>
  <c r="H728" i="36"/>
  <c r="G728" i="36"/>
  <c r="F728" i="36"/>
  <c r="E728" i="36"/>
  <c r="D728" i="36"/>
  <c r="C728" i="36"/>
  <c r="B728" i="36"/>
  <c r="H727" i="36"/>
  <c r="G727" i="36"/>
  <c r="F727" i="36"/>
  <c r="E727" i="36"/>
  <c r="D727" i="36"/>
  <c r="C727" i="36"/>
  <c r="B727" i="36"/>
  <c r="H726" i="36"/>
  <c r="G726" i="36"/>
  <c r="F726" i="36"/>
  <c r="E726" i="36"/>
  <c r="D726" i="36"/>
  <c r="C726" i="36"/>
  <c r="B726" i="36"/>
  <c r="H725" i="36"/>
  <c r="G725" i="36"/>
  <c r="F725" i="36"/>
  <c r="E725" i="36"/>
  <c r="D725" i="36"/>
  <c r="C725" i="36"/>
  <c r="B725" i="36"/>
  <c r="H724" i="36"/>
  <c r="G724" i="36"/>
  <c r="F724" i="36"/>
  <c r="E724" i="36"/>
  <c r="D724" i="36"/>
  <c r="C724" i="36"/>
  <c r="B724" i="36"/>
  <c r="H723" i="36"/>
  <c r="G723" i="36"/>
  <c r="F723" i="36"/>
  <c r="E723" i="36"/>
  <c r="D723" i="36"/>
  <c r="C723" i="36"/>
  <c r="B723" i="36"/>
  <c r="H722" i="36"/>
  <c r="G722" i="36"/>
  <c r="F722" i="36"/>
  <c r="E722" i="36"/>
  <c r="D722" i="36"/>
  <c r="C722" i="36"/>
  <c r="B722" i="36"/>
  <c r="H721" i="36"/>
  <c r="G721" i="36"/>
  <c r="F721" i="36"/>
  <c r="E721" i="36"/>
  <c r="D721" i="36"/>
  <c r="C721" i="36"/>
  <c r="B721" i="36"/>
  <c r="H720" i="36"/>
  <c r="G720" i="36"/>
  <c r="F720" i="36"/>
  <c r="E720" i="36"/>
  <c r="D720" i="36"/>
  <c r="C720" i="36"/>
  <c r="B720" i="36"/>
  <c r="H719" i="36"/>
  <c r="G719" i="36"/>
  <c r="F719" i="36"/>
  <c r="E719" i="36"/>
  <c r="D719" i="36"/>
  <c r="C719" i="36"/>
  <c r="B719" i="36"/>
  <c r="H718" i="36"/>
  <c r="G718" i="36"/>
  <c r="F718" i="36"/>
  <c r="E718" i="36"/>
  <c r="D718" i="36"/>
  <c r="C718" i="36"/>
  <c r="B718" i="36"/>
  <c r="H717" i="36"/>
  <c r="G717" i="36"/>
  <c r="F717" i="36"/>
  <c r="E717" i="36"/>
  <c r="D717" i="36"/>
  <c r="C717" i="36"/>
  <c r="B717" i="36"/>
  <c r="H716" i="36"/>
  <c r="G716" i="36"/>
  <c r="F716" i="36"/>
  <c r="E716" i="36"/>
  <c r="D716" i="36"/>
  <c r="C716" i="36"/>
  <c r="B716" i="36"/>
  <c r="H715" i="36"/>
  <c r="G715" i="36"/>
  <c r="F715" i="36"/>
  <c r="E715" i="36"/>
  <c r="D715" i="36"/>
  <c r="C715" i="36"/>
  <c r="B715" i="36"/>
  <c r="H714" i="36"/>
  <c r="G714" i="36"/>
  <c r="F714" i="36"/>
  <c r="E714" i="36"/>
  <c r="D714" i="36"/>
  <c r="C714" i="36"/>
  <c r="B714" i="36"/>
  <c r="H713" i="36"/>
  <c r="G713" i="36"/>
  <c r="F713" i="36"/>
  <c r="E713" i="36"/>
  <c r="D713" i="36"/>
  <c r="C713" i="36"/>
  <c r="B713" i="36"/>
  <c r="H712" i="36"/>
  <c r="G712" i="36"/>
  <c r="F712" i="36"/>
  <c r="E712" i="36"/>
  <c r="D712" i="36"/>
  <c r="C712" i="36"/>
  <c r="B712" i="36"/>
  <c r="H711" i="36"/>
  <c r="G711" i="36"/>
  <c r="F711" i="36"/>
  <c r="E711" i="36"/>
  <c r="D711" i="36"/>
  <c r="C711" i="36"/>
  <c r="B711" i="36"/>
  <c r="H710" i="36"/>
  <c r="G710" i="36"/>
  <c r="F710" i="36"/>
  <c r="E710" i="36"/>
  <c r="D710" i="36"/>
  <c r="C710" i="36"/>
  <c r="B710" i="36"/>
  <c r="H709" i="36"/>
  <c r="G709" i="36"/>
  <c r="F709" i="36"/>
  <c r="E709" i="36"/>
  <c r="D709" i="36"/>
  <c r="C709" i="36"/>
  <c r="B709" i="36"/>
  <c r="H708" i="36"/>
  <c r="G708" i="36"/>
  <c r="F708" i="36"/>
  <c r="E708" i="36"/>
  <c r="D708" i="36"/>
  <c r="C708" i="36"/>
  <c r="B708" i="36"/>
  <c r="H707" i="36"/>
  <c r="G707" i="36"/>
  <c r="F707" i="36"/>
  <c r="E707" i="36"/>
  <c r="D707" i="36"/>
  <c r="C707" i="36"/>
  <c r="B707" i="36"/>
  <c r="H706" i="36"/>
  <c r="G706" i="36"/>
  <c r="F706" i="36"/>
  <c r="E706" i="36"/>
  <c r="D706" i="36"/>
  <c r="C706" i="36"/>
  <c r="B706" i="36"/>
  <c r="H705" i="36"/>
  <c r="G705" i="36"/>
  <c r="F705" i="36"/>
  <c r="E705" i="36"/>
  <c r="D705" i="36"/>
  <c r="C705" i="36"/>
  <c r="B705" i="36"/>
  <c r="H704" i="36"/>
  <c r="G704" i="36"/>
  <c r="F704" i="36"/>
  <c r="E704" i="36"/>
  <c r="D704" i="36"/>
  <c r="C704" i="36"/>
  <c r="B704" i="36"/>
  <c r="H703" i="36"/>
  <c r="G703" i="36"/>
  <c r="F703" i="36"/>
  <c r="E703" i="36"/>
  <c r="D703" i="36"/>
  <c r="C703" i="36"/>
  <c r="B703" i="36"/>
  <c r="H702" i="36"/>
  <c r="G702" i="36"/>
  <c r="F702" i="36"/>
  <c r="E702" i="36"/>
  <c r="D702" i="36"/>
  <c r="C702" i="36"/>
  <c r="B702" i="36"/>
  <c r="H701" i="36"/>
  <c r="G701" i="36"/>
  <c r="F701" i="36"/>
  <c r="E701" i="36"/>
  <c r="D701" i="36"/>
  <c r="C701" i="36"/>
  <c r="B701" i="36"/>
  <c r="H700" i="36"/>
  <c r="G700" i="36"/>
  <c r="F700" i="36"/>
  <c r="E700" i="36"/>
  <c r="D700" i="36"/>
  <c r="C700" i="36"/>
  <c r="B700" i="36"/>
  <c r="H699" i="36"/>
  <c r="G699" i="36"/>
  <c r="F699" i="36"/>
  <c r="E699" i="36"/>
  <c r="D699" i="36"/>
  <c r="C699" i="36"/>
  <c r="B699" i="36"/>
  <c r="H698" i="36"/>
  <c r="G698" i="36"/>
  <c r="F698" i="36"/>
  <c r="E698" i="36"/>
  <c r="D698" i="36"/>
  <c r="C698" i="36"/>
  <c r="B698" i="36"/>
  <c r="H697" i="36"/>
  <c r="G697" i="36"/>
  <c r="F697" i="36"/>
  <c r="E697" i="36"/>
  <c r="D697" i="36"/>
  <c r="C697" i="36"/>
  <c r="B697" i="36"/>
  <c r="H696" i="36"/>
  <c r="G696" i="36"/>
  <c r="F696" i="36"/>
  <c r="E696" i="36"/>
  <c r="D696" i="36"/>
  <c r="C696" i="36"/>
  <c r="B696" i="36"/>
  <c r="H695" i="36"/>
  <c r="G695" i="36"/>
  <c r="F695" i="36"/>
  <c r="E695" i="36"/>
  <c r="D695" i="36"/>
  <c r="C695" i="36"/>
  <c r="B695" i="36"/>
  <c r="H694" i="36"/>
  <c r="G694" i="36"/>
  <c r="F694" i="36"/>
  <c r="E694" i="36"/>
  <c r="D694" i="36"/>
  <c r="C694" i="36"/>
  <c r="B694" i="36"/>
  <c r="H693" i="36"/>
  <c r="G693" i="36"/>
  <c r="F693" i="36"/>
  <c r="E693" i="36"/>
  <c r="D693" i="36"/>
  <c r="C693" i="36"/>
  <c r="B693" i="36"/>
  <c r="H692" i="36"/>
  <c r="G692" i="36"/>
  <c r="F692" i="36"/>
  <c r="E692" i="36"/>
  <c r="D692" i="36"/>
  <c r="C692" i="36"/>
  <c r="B692" i="36"/>
  <c r="H691" i="36"/>
  <c r="G691" i="36"/>
  <c r="F691" i="36"/>
  <c r="E691" i="36"/>
  <c r="D691" i="36"/>
  <c r="C691" i="36"/>
  <c r="B691" i="36"/>
  <c r="H690" i="36"/>
  <c r="G690" i="36"/>
  <c r="F690" i="36"/>
  <c r="E690" i="36"/>
  <c r="D690" i="36"/>
  <c r="C690" i="36"/>
  <c r="B690" i="36"/>
  <c r="H689" i="36"/>
  <c r="G689" i="36"/>
  <c r="F689" i="36"/>
  <c r="E689" i="36"/>
  <c r="D689" i="36"/>
  <c r="C689" i="36"/>
  <c r="B689" i="36"/>
  <c r="H688" i="36"/>
  <c r="G688" i="36"/>
  <c r="F688" i="36"/>
  <c r="E688" i="36"/>
  <c r="D688" i="36"/>
  <c r="C688" i="36"/>
  <c r="B688" i="36"/>
  <c r="H687" i="36"/>
  <c r="G687" i="36"/>
  <c r="F687" i="36"/>
  <c r="E687" i="36"/>
  <c r="D687" i="36"/>
  <c r="C687" i="36"/>
  <c r="B687" i="36"/>
  <c r="H686" i="36"/>
  <c r="G686" i="36"/>
  <c r="F686" i="36"/>
  <c r="E686" i="36"/>
  <c r="D686" i="36"/>
  <c r="C686" i="36"/>
  <c r="B686" i="36"/>
  <c r="H685" i="36"/>
  <c r="G685" i="36"/>
  <c r="F685" i="36"/>
  <c r="E685" i="36"/>
  <c r="D685" i="36"/>
  <c r="C685" i="36"/>
  <c r="B685" i="36"/>
  <c r="H684" i="36"/>
  <c r="G684" i="36"/>
  <c r="F684" i="36"/>
  <c r="E684" i="36"/>
  <c r="D684" i="36"/>
  <c r="C684" i="36"/>
  <c r="B684" i="36"/>
  <c r="H683" i="36"/>
  <c r="G683" i="36"/>
  <c r="F683" i="36"/>
  <c r="E683" i="36"/>
  <c r="D683" i="36"/>
  <c r="C683" i="36"/>
  <c r="B683" i="36"/>
  <c r="H682" i="36"/>
  <c r="G682" i="36"/>
  <c r="F682" i="36"/>
  <c r="E682" i="36"/>
  <c r="D682" i="36"/>
  <c r="C682" i="36"/>
  <c r="B682" i="36"/>
  <c r="H681" i="36"/>
  <c r="G681" i="36"/>
  <c r="F681" i="36"/>
  <c r="E681" i="36"/>
  <c r="D681" i="36"/>
  <c r="C681" i="36"/>
  <c r="B681" i="36"/>
  <c r="H680" i="36"/>
  <c r="G680" i="36"/>
  <c r="F680" i="36"/>
  <c r="E680" i="36"/>
  <c r="D680" i="36"/>
  <c r="C680" i="36"/>
  <c r="B680" i="36"/>
  <c r="H679" i="36"/>
  <c r="G679" i="36"/>
  <c r="F679" i="36"/>
  <c r="E679" i="36"/>
  <c r="D679" i="36"/>
  <c r="C679" i="36"/>
  <c r="B679" i="36"/>
  <c r="H678" i="36"/>
  <c r="G678" i="36"/>
  <c r="F678" i="36"/>
  <c r="E678" i="36"/>
  <c r="D678" i="36"/>
  <c r="C678" i="36"/>
  <c r="B678" i="36"/>
  <c r="H677" i="36"/>
  <c r="G677" i="36"/>
  <c r="F677" i="36"/>
  <c r="E677" i="36"/>
  <c r="D677" i="36"/>
  <c r="C677" i="36"/>
  <c r="B677" i="36"/>
  <c r="H676" i="36"/>
  <c r="G676" i="36"/>
  <c r="F676" i="36"/>
  <c r="E676" i="36"/>
  <c r="D676" i="36"/>
  <c r="C676" i="36"/>
  <c r="B676" i="36"/>
  <c r="H675" i="36"/>
  <c r="G675" i="36"/>
  <c r="F675" i="36"/>
  <c r="E675" i="36"/>
  <c r="D675" i="36"/>
  <c r="C675" i="36"/>
  <c r="B675" i="36"/>
  <c r="H674" i="36"/>
  <c r="G674" i="36"/>
  <c r="F674" i="36"/>
  <c r="E674" i="36"/>
  <c r="D674" i="36"/>
  <c r="C674" i="36"/>
  <c r="B674" i="36"/>
  <c r="H673" i="36"/>
  <c r="G673" i="36"/>
  <c r="F673" i="36"/>
  <c r="E673" i="36"/>
  <c r="D673" i="36"/>
  <c r="C673" i="36"/>
  <c r="B673" i="36"/>
  <c r="H672" i="36"/>
  <c r="G672" i="36"/>
  <c r="F672" i="36"/>
  <c r="E672" i="36"/>
  <c r="D672" i="36"/>
  <c r="C672" i="36"/>
  <c r="B672" i="36"/>
  <c r="H671" i="36"/>
  <c r="G671" i="36"/>
  <c r="F671" i="36"/>
  <c r="E671" i="36"/>
  <c r="D671" i="36"/>
  <c r="C671" i="36"/>
  <c r="B671" i="36"/>
  <c r="H670" i="36"/>
  <c r="G670" i="36"/>
  <c r="F670" i="36"/>
  <c r="E670" i="36"/>
  <c r="D670" i="36"/>
  <c r="C670" i="36"/>
  <c r="B670" i="36"/>
  <c r="H669" i="36"/>
  <c r="G669" i="36"/>
  <c r="F669" i="36"/>
  <c r="E669" i="36"/>
  <c r="D669" i="36"/>
  <c r="C669" i="36"/>
  <c r="B669" i="36"/>
  <c r="H668" i="36"/>
  <c r="G668" i="36"/>
  <c r="F668" i="36"/>
  <c r="E668" i="36"/>
  <c r="D668" i="36"/>
  <c r="C668" i="36"/>
  <c r="B668" i="36"/>
  <c r="H667" i="36"/>
  <c r="G667" i="36"/>
  <c r="F667" i="36"/>
  <c r="E667" i="36"/>
  <c r="D667" i="36"/>
  <c r="C667" i="36"/>
  <c r="B667" i="36"/>
  <c r="H666" i="36"/>
  <c r="G666" i="36"/>
  <c r="F666" i="36"/>
  <c r="E666" i="36"/>
  <c r="D666" i="36"/>
  <c r="C666" i="36"/>
  <c r="B666" i="36"/>
  <c r="H665" i="36"/>
  <c r="G665" i="36"/>
  <c r="F665" i="36"/>
  <c r="E665" i="36"/>
  <c r="D665" i="36"/>
  <c r="C665" i="36"/>
  <c r="B665" i="36"/>
  <c r="H664" i="36"/>
  <c r="G664" i="36"/>
  <c r="F664" i="36"/>
  <c r="E664" i="36"/>
  <c r="D664" i="36"/>
  <c r="C664" i="36"/>
  <c r="B664" i="36"/>
  <c r="H663" i="36"/>
  <c r="G663" i="36"/>
  <c r="F663" i="36"/>
  <c r="E663" i="36"/>
  <c r="D663" i="36"/>
  <c r="C663" i="36"/>
  <c r="B663" i="36"/>
  <c r="H662" i="36"/>
  <c r="G662" i="36"/>
  <c r="F662" i="36"/>
  <c r="E662" i="36"/>
  <c r="D662" i="36"/>
  <c r="C662" i="36"/>
  <c r="B662" i="36"/>
  <c r="H661" i="36"/>
  <c r="G661" i="36"/>
  <c r="F661" i="36"/>
  <c r="E661" i="36"/>
  <c r="D661" i="36"/>
  <c r="C661" i="36"/>
  <c r="B661" i="36"/>
  <c r="H660" i="36"/>
  <c r="G660" i="36"/>
  <c r="F660" i="36"/>
  <c r="E660" i="36"/>
  <c r="D660" i="36"/>
  <c r="C660" i="36"/>
  <c r="B660" i="36"/>
  <c r="H659" i="36"/>
  <c r="G659" i="36"/>
  <c r="F659" i="36"/>
  <c r="E659" i="36"/>
  <c r="D659" i="36"/>
  <c r="C659" i="36"/>
  <c r="B659" i="36"/>
  <c r="H658" i="36"/>
  <c r="G658" i="36"/>
  <c r="F658" i="36"/>
  <c r="E658" i="36"/>
  <c r="D658" i="36"/>
  <c r="C658" i="36"/>
  <c r="B658" i="36"/>
  <c r="H657" i="36"/>
  <c r="G657" i="36"/>
  <c r="F657" i="36"/>
  <c r="E657" i="36"/>
  <c r="D657" i="36"/>
  <c r="C657" i="36"/>
  <c r="B657" i="36"/>
  <c r="H656" i="36"/>
  <c r="G656" i="36"/>
  <c r="F656" i="36"/>
  <c r="E656" i="36"/>
  <c r="D656" i="36"/>
  <c r="C656" i="36"/>
  <c r="B656" i="36"/>
  <c r="H655" i="36"/>
  <c r="G655" i="36"/>
  <c r="F655" i="36"/>
  <c r="E655" i="36"/>
  <c r="D655" i="36"/>
  <c r="C655" i="36"/>
  <c r="B655" i="36"/>
  <c r="H654" i="36"/>
  <c r="G654" i="36"/>
  <c r="F654" i="36"/>
  <c r="E654" i="36"/>
  <c r="D654" i="36"/>
  <c r="C654" i="36"/>
  <c r="B654" i="36"/>
  <c r="H653" i="36"/>
  <c r="G653" i="36"/>
  <c r="F653" i="36"/>
  <c r="E653" i="36"/>
  <c r="D653" i="36"/>
  <c r="C653" i="36"/>
  <c r="B653" i="36"/>
  <c r="H652" i="36"/>
  <c r="G652" i="36"/>
  <c r="F652" i="36"/>
  <c r="E652" i="36"/>
  <c r="D652" i="36"/>
  <c r="C652" i="36"/>
  <c r="B652" i="36"/>
  <c r="H651" i="36"/>
  <c r="G651" i="36"/>
  <c r="F651" i="36"/>
  <c r="E651" i="36"/>
  <c r="D651" i="36"/>
  <c r="C651" i="36"/>
  <c r="B651" i="36"/>
  <c r="H650" i="36"/>
  <c r="G650" i="36"/>
  <c r="F650" i="36"/>
  <c r="E650" i="36"/>
  <c r="D650" i="36"/>
  <c r="C650" i="36"/>
  <c r="B650" i="36"/>
  <c r="H649" i="36"/>
  <c r="G649" i="36"/>
  <c r="F649" i="36"/>
  <c r="E649" i="36"/>
  <c r="D649" i="36"/>
  <c r="C649" i="36"/>
  <c r="B649" i="36"/>
  <c r="H648" i="36"/>
  <c r="G648" i="36"/>
  <c r="F648" i="36"/>
  <c r="E648" i="36"/>
  <c r="D648" i="36"/>
  <c r="C648" i="36"/>
  <c r="B648" i="36"/>
  <c r="H647" i="36"/>
  <c r="G647" i="36"/>
  <c r="F647" i="36"/>
  <c r="E647" i="36"/>
  <c r="D647" i="36"/>
  <c r="C647" i="36"/>
  <c r="B647" i="36"/>
  <c r="H646" i="36"/>
  <c r="G646" i="36"/>
  <c r="F646" i="36"/>
  <c r="E646" i="36"/>
  <c r="D646" i="36"/>
  <c r="C646" i="36"/>
  <c r="B646" i="36"/>
  <c r="H645" i="36"/>
  <c r="G645" i="36"/>
  <c r="F645" i="36"/>
  <c r="E645" i="36"/>
  <c r="D645" i="36"/>
  <c r="C645" i="36"/>
  <c r="B645" i="36"/>
  <c r="H644" i="36"/>
  <c r="G644" i="36"/>
  <c r="F644" i="36"/>
  <c r="E644" i="36"/>
  <c r="D644" i="36"/>
  <c r="C644" i="36"/>
  <c r="B644" i="36"/>
  <c r="H643" i="36"/>
  <c r="G643" i="36"/>
  <c r="F643" i="36"/>
  <c r="E643" i="36"/>
  <c r="D643" i="36"/>
  <c r="C643" i="36"/>
  <c r="B643" i="36"/>
  <c r="H642" i="36"/>
  <c r="G642" i="36"/>
  <c r="F642" i="36"/>
  <c r="E642" i="36"/>
  <c r="D642" i="36"/>
  <c r="C642" i="36"/>
  <c r="B642" i="36"/>
  <c r="H641" i="36"/>
  <c r="G641" i="36"/>
  <c r="F641" i="36"/>
  <c r="E641" i="36"/>
  <c r="D641" i="36"/>
  <c r="C641" i="36"/>
  <c r="B641" i="36"/>
  <c r="H640" i="36"/>
  <c r="G640" i="36"/>
  <c r="F640" i="36"/>
  <c r="E640" i="36"/>
  <c r="D640" i="36"/>
  <c r="C640" i="36"/>
  <c r="B640" i="36"/>
  <c r="H639" i="36"/>
  <c r="G639" i="36"/>
  <c r="F639" i="36"/>
  <c r="E639" i="36"/>
  <c r="D639" i="36"/>
  <c r="C639" i="36"/>
  <c r="B639" i="36"/>
  <c r="H638" i="36"/>
  <c r="G638" i="36"/>
  <c r="F638" i="36"/>
  <c r="E638" i="36"/>
  <c r="D638" i="36"/>
  <c r="C638" i="36"/>
  <c r="B638" i="36"/>
  <c r="H637" i="36"/>
  <c r="G637" i="36"/>
  <c r="F637" i="36"/>
  <c r="E637" i="36"/>
  <c r="D637" i="36"/>
  <c r="C637" i="36"/>
  <c r="B637" i="36"/>
  <c r="H636" i="36"/>
  <c r="G636" i="36"/>
  <c r="F636" i="36"/>
  <c r="E636" i="36"/>
  <c r="D636" i="36"/>
  <c r="C636" i="36"/>
  <c r="B636" i="36"/>
  <c r="H635" i="36"/>
  <c r="G635" i="36"/>
  <c r="F635" i="36"/>
  <c r="E635" i="36"/>
  <c r="D635" i="36"/>
  <c r="C635" i="36"/>
  <c r="B635" i="36"/>
  <c r="H634" i="36"/>
  <c r="G634" i="36"/>
  <c r="F634" i="36"/>
  <c r="E634" i="36"/>
  <c r="D634" i="36"/>
  <c r="C634" i="36"/>
  <c r="B634" i="36"/>
  <c r="H633" i="36"/>
  <c r="G633" i="36"/>
  <c r="F633" i="36"/>
  <c r="E633" i="36"/>
  <c r="D633" i="36"/>
  <c r="C633" i="36"/>
  <c r="B633" i="36"/>
  <c r="H632" i="36"/>
  <c r="G632" i="36"/>
  <c r="F632" i="36"/>
  <c r="E632" i="36"/>
  <c r="D632" i="36"/>
  <c r="C632" i="36"/>
  <c r="B632" i="36"/>
  <c r="H631" i="36"/>
  <c r="G631" i="36"/>
  <c r="F631" i="36"/>
  <c r="E631" i="36"/>
  <c r="D631" i="36"/>
  <c r="C631" i="36"/>
  <c r="B631" i="36"/>
  <c r="H630" i="36"/>
  <c r="G630" i="36"/>
  <c r="F630" i="36"/>
  <c r="E630" i="36"/>
  <c r="D630" i="36"/>
  <c r="C630" i="36"/>
  <c r="B630" i="36"/>
  <c r="H629" i="36"/>
  <c r="G629" i="36"/>
  <c r="F629" i="36"/>
  <c r="E629" i="36"/>
  <c r="D629" i="36"/>
  <c r="C629" i="36"/>
  <c r="B629" i="36"/>
  <c r="H628" i="36"/>
  <c r="G628" i="36"/>
  <c r="F628" i="36"/>
  <c r="E628" i="36"/>
  <c r="D628" i="36"/>
  <c r="C628" i="36"/>
  <c r="B628" i="36"/>
  <c r="H627" i="36"/>
  <c r="G627" i="36"/>
  <c r="F627" i="36"/>
  <c r="E627" i="36"/>
  <c r="D627" i="36"/>
  <c r="C627" i="36"/>
  <c r="B627" i="36"/>
  <c r="H626" i="36"/>
  <c r="G626" i="36"/>
  <c r="F626" i="36"/>
  <c r="E626" i="36"/>
  <c r="D626" i="36"/>
  <c r="C626" i="36"/>
  <c r="B626" i="36"/>
  <c r="H625" i="36"/>
  <c r="G625" i="36"/>
  <c r="F625" i="36"/>
  <c r="E625" i="36"/>
  <c r="D625" i="36"/>
  <c r="C625" i="36"/>
  <c r="B625" i="36"/>
  <c r="H624" i="36"/>
  <c r="G624" i="36"/>
  <c r="F624" i="36"/>
  <c r="E624" i="36"/>
  <c r="D624" i="36"/>
  <c r="C624" i="36"/>
  <c r="B624" i="36"/>
  <c r="H623" i="36"/>
  <c r="G623" i="36"/>
  <c r="F623" i="36"/>
  <c r="E623" i="36"/>
  <c r="D623" i="36"/>
  <c r="C623" i="36"/>
  <c r="B623" i="36"/>
  <c r="H622" i="36"/>
  <c r="G622" i="36"/>
  <c r="F622" i="36"/>
  <c r="E622" i="36"/>
  <c r="D622" i="36"/>
  <c r="C622" i="36"/>
  <c r="B622" i="36"/>
  <c r="H621" i="36"/>
  <c r="G621" i="36"/>
  <c r="F621" i="36"/>
  <c r="E621" i="36"/>
  <c r="D621" i="36"/>
  <c r="C621" i="36"/>
  <c r="B621" i="36"/>
  <c r="H620" i="36"/>
  <c r="G620" i="36"/>
  <c r="F620" i="36"/>
  <c r="E620" i="36"/>
  <c r="D620" i="36"/>
  <c r="C620" i="36"/>
  <c r="B620" i="36"/>
  <c r="H619" i="36"/>
  <c r="G619" i="36"/>
  <c r="F619" i="36"/>
  <c r="E619" i="36"/>
  <c r="D619" i="36"/>
  <c r="C619" i="36"/>
  <c r="B619" i="36"/>
  <c r="H618" i="36"/>
  <c r="G618" i="36"/>
  <c r="F618" i="36"/>
  <c r="E618" i="36"/>
  <c r="D618" i="36"/>
  <c r="C618" i="36"/>
  <c r="B618" i="36"/>
  <c r="H617" i="36"/>
  <c r="G617" i="36"/>
  <c r="F617" i="36"/>
  <c r="E617" i="36"/>
  <c r="D617" i="36"/>
  <c r="C617" i="36"/>
  <c r="B617" i="36"/>
  <c r="H616" i="36"/>
  <c r="G616" i="36"/>
  <c r="F616" i="36"/>
  <c r="E616" i="36"/>
  <c r="D616" i="36"/>
  <c r="C616" i="36"/>
  <c r="B616" i="36"/>
  <c r="H615" i="36"/>
  <c r="G615" i="36"/>
  <c r="F615" i="36"/>
  <c r="E615" i="36"/>
  <c r="D615" i="36"/>
  <c r="C615" i="36"/>
  <c r="B615" i="36"/>
  <c r="H614" i="36"/>
  <c r="G614" i="36"/>
  <c r="F614" i="36"/>
  <c r="E614" i="36"/>
  <c r="D614" i="36"/>
  <c r="C614" i="36"/>
  <c r="B614" i="36"/>
  <c r="H613" i="36"/>
  <c r="G613" i="36"/>
  <c r="F613" i="36"/>
  <c r="E613" i="36"/>
  <c r="D613" i="36"/>
  <c r="C613" i="36"/>
  <c r="B613" i="36"/>
  <c r="H612" i="36"/>
  <c r="G612" i="36"/>
  <c r="F612" i="36"/>
  <c r="E612" i="36"/>
  <c r="D612" i="36"/>
  <c r="C612" i="36"/>
  <c r="B612" i="36"/>
  <c r="H611" i="36"/>
  <c r="G611" i="36"/>
  <c r="F611" i="36"/>
  <c r="E611" i="36"/>
  <c r="D611" i="36"/>
  <c r="C611" i="36"/>
  <c r="B611" i="36"/>
  <c r="H610" i="36"/>
  <c r="G610" i="36"/>
  <c r="F610" i="36"/>
  <c r="E610" i="36"/>
  <c r="D610" i="36"/>
  <c r="C610" i="36"/>
  <c r="B610" i="36"/>
  <c r="H609" i="36"/>
  <c r="G609" i="36"/>
  <c r="F609" i="36"/>
  <c r="E609" i="36"/>
  <c r="D609" i="36"/>
  <c r="C609" i="36"/>
  <c r="B609" i="36"/>
  <c r="H608" i="36"/>
  <c r="G608" i="36"/>
  <c r="F608" i="36"/>
  <c r="E608" i="36"/>
  <c r="D608" i="36"/>
  <c r="C608" i="36"/>
  <c r="B608" i="36"/>
  <c r="H607" i="36"/>
  <c r="G607" i="36"/>
  <c r="F607" i="36"/>
  <c r="E607" i="36"/>
  <c r="D607" i="36"/>
  <c r="C607" i="36"/>
  <c r="B607" i="36"/>
  <c r="H606" i="36"/>
  <c r="G606" i="36"/>
  <c r="F606" i="36"/>
  <c r="E606" i="36"/>
  <c r="D606" i="36"/>
  <c r="C606" i="36"/>
  <c r="B606" i="36"/>
  <c r="H605" i="36"/>
  <c r="G605" i="36"/>
  <c r="F605" i="36"/>
  <c r="E605" i="36"/>
  <c r="D605" i="36"/>
  <c r="C605" i="36"/>
  <c r="B605" i="36"/>
  <c r="H604" i="36"/>
  <c r="G604" i="36"/>
  <c r="F604" i="36"/>
  <c r="E604" i="36"/>
  <c r="D604" i="36"/>
  <c r="C604" i="36"/>
  <c r="B604" i="36"/>
  <c r="H603" i="36"/>
  <c r="G603" i="36"/>
  <c r="F603" i="36"/>
  <c r="E603" i="36"/>
  <c r="D603" i="36"/>
  <c r="C603" i="36"/>
  <c r="B603" i="36"/>
  <c r="H602" i="36"/>
  <c r="G602" i="36"/>
  <c r="F602" i="36"/>
  <c r="E602" i="36"/>
  <c r="D602" i="36"/>
  <c r="C602" i="36"/>
  <c r="B602" i="36"/>
  <c r="H601" i="36"/>
  <c r="G601" i="36"/>
  <c r="F601" i="36"/>
  <c r="E601" i="36"/>
  <c r="D601" i="36"/>
  <c r="C601" i="36"/>
  <c r="B601" i="36"/>
  <c r="H600" i="36"/>
  <c r="G600" i="36"/>
  <c r="F600" i="36"/>
  <c r="E600" i="36"/>
  <c r="D600" i="36"/>
  <c r="C600" i="36"/>
  <c r="B600" i="36"/>
  <c r="H599" i="36"/>
  <c r="G599" i="36"/>
  <c r="F599" i="36"/>
  <c r="E599" i="36"/>
  <c r="D599" i="36"/>
  <c r="C599" i="36"/>
  <c r="B599" i="36"/>
  <c r="H598" i="36"/>
  <c r="G598" i="36"/>
  <c r="F598" i="36"/>
  <c r="E598" i="36"/>
  <c r="D598" i="36"/>
  <c r="C598" i="36"/>
  <c r="B598" i="36"/>
  <c r="H597" i="36"/>
  <c r="G597" i="36"/>
  <c r="F597" i="36"/>
  <c r="E597" i="36"/>
  <c r="D597" i="36"/>
  <c r="C597" i="36"/>
  <c r="B597" i="36"/>
  <c r="H596" i="36"/>
  <c r="G596" i="36"/>
  <c r="F596" i="36"/>
  <c r="E596" i="36"/>
  <c r="D596" i="36"/>
  <c r="C596" i="36"/>
  <c r="B596" i="36"/>
  <c r="H595" i="36"/>
  <c r="G595" i="36"/>
  <c r="F595" i="36"/>
  <c r="E595" i="36"/>
  <c r="D595" i="36"/>
  <c r="C595" i="36"/>
  <c r="B595" i="36"/>
  <c r="H594" i="36"/>
  <c r="G594" i="36"/>
  <c r="F594" i="36"/>
  <c r="E594" i="36"/>
  <c r="D594" i="36"/>
  <c r="C594" i="36"/>
  <c r="B594" i="36"/>
  <c r="H593" i="36"/>
  <c r="G593" i="36"/>
  <c r="F593" i="36"/>
  <c r="E593" i="36"/>
  <c r="D593" i="36"/>
  <c r="C593" i="36"/>
  <c r="B593" i="36"/>
  <c r="H592" i="36"/>
  <c r="G592" i="36"/>
  <c r="F592" i="36"/>
  <c r="E592" i="36"/>
  <c r="D592" i="36"/>
  <c r="C592" i="36"/>
  <c r="B592" i="36"/>
  <c r="H591" i="36"/>
  <c r="G591" i="36"/>
  <c r="F591" i="36"/>
  <c r="E591" i="36"/>
  <c r="D591" i="36"/>
  <c r="C591" i="36"/>
  <c r="B591" i="36"/>
  <c r="H590" i="36"/>
  <c r="G590" i="36"/>
  <c r="F590" i="36"/>
  <c r="E590" i="36"/>
  <c r="D590" i="36"/>
  <c r="C590" i="36"/>
  <c r="B590" i="36"/>
  <c r="H589" i="36"/>
  <c r="G589" i="36"/>
  <c r="F589" i="36"/>
  <c r="E589" i="36"/>
  <c r="D589" i="36"/>
  <c r="C589" i="36"/>
  <c r="B589" i="36"/>
  <c r="H588" i="36"/>
  <c r="G588" i="36"/>
  <c r="F588" i="36"/>
  <c r="E588" i="36"/>
  <c r="D588" i="36"/>
  <c r="C588" i="36"/>
  <c r="B588" i="36"/>
  <c r="H587" i="36"/>
  <c r="G587" i="36"/>
  <c r="F587" i="36"/>
  <c r="E587" i="36"/>
  <c r="D587" i="36"/>
  <c r="C587" i="36"/>
  <c r="B587" i="36"/>
  <c r="H586" i="36"/>
  <c r="G586" i="36"/>
  <c r="F586" i="36"/>
  <c r="E586" i="36"/>
  <c r="D586" i="36"/>
  <c r="C586" i="36"/>
  <c r="B586" i="36"/>
  <c r="H585" i="36"/>
  <c r="G585" i="36"/>
  <c r="F585" i="36"/>
  <c r="E585" i="36"/>
  <c r="D585" i="36"/>
  <c r="C585" i="36"/>
  <c r="B585" i="36"/>
  <c r="H584" i="36"/>
  <c r="G584" i="36"/>
  <c r="F584" i="36"/>
  <c r="E584" i="36"/>
  <c r="D584" i="36"/>
  <c r="C584" i="36"/>
  <c r="B584" i="36"/>
  <c r="H583" i="36"/>
  <c r="G583" i="36"/>
  <c r="F583" i="36"/>
  <c r="E583" i="36"/>
  <c r="D583" i="36"/>
  <c r="C583" i="36"/>
  <c r="B583" i="36"/>
  <c r="H582" i="36"/>
  <c r="G582" i="36"/>
  <c r="F582" i="36"/>
  <c r="E582" i="36"/>
  <c r="D582" i="36"/>
  <c r="C582" i="36"/>
  <c r="B582" i="36"/>
  <c r="H581" i="36"/>
  <c r="G581" i="36"/>
  <c r="F581" i="36"/>
  <c r="E581" i="36"/>
  <c r="D581" i="36"/>
  <c r="C581" i="36"/>
  <c r="B581" i="36"/>
  <c r="H580" i="36"/>
  <c r="G580" i="36"/>
  <c r="F580" i="36"/>
  <c r="E580" i="36"/>
  <c r="D580" i="36"/>
  <c r="C580" i="36"/>
  <c r="B580" i="36"/>
  <c r="H579" i="36"/>
  <c r="G579" i="36"/>
  <c r="F579" i="36"/>
  <c r="E579" i="36"/>
  <c r="D579" i="36"/>
  <c r="C579" i="36"/>
  <c r="B579" i="36"/>
  <c r="H578" i="36"/>
  <c r="G578" i="36"/>
  <c r="F578" i="36"/>
  <c r="E578" i="36"/>
  <c r="D578" i="36"/>
  <c r="C578" i="36"/>
  <c r="B578" i="36"/>
  <c r="H577" i="36"/>
  <c r="G577" i="36"/>
  <c r="F577" i="36"/>
  <c r="E577" i="36"/>
  <c r="D577" i="36"/>
  <c r="C577" i="36"/>
  <c r="B577" i="36"/>
  <c r="H576" i="36"/>
  <c r="G576" i="36"/>
  <c r="F576" i="36"/>
  <c r="E576" i="36"/>
  <c r="D576" i="36"/>
  <c r="C576" i="36"/>
  <c r="B576" i="36"/>
  <c r="H575" i="36"/>
  <c r="G575" i="36"/>
  <c r="F575" i="36"/>
  <c r="E575" i="36"/>
  <c r="D575" i="36"/>
  <c r="C575" i="36"/>
  <c r="B575" i="36"/>
  <c r="H574" i="36"/>
  <c r="G574" i="36"/>
  <c r="F574" i="36"/>
  <c r="E574" i="36"/>
  <c r="D574" i="36"/>
  <c r="C574" i="36"/>
  <c r="B574" i="36"/>
  <c r="H573" i="36"/>
  <c r="G573" i="36"/>
  <c r="F573" i="36"/>
  <c r="E573" i="36"/>
  <c r="D573" i="36"/>
  <c r="C573" i="36"/>
  <c r="B573" i="36"/>
  <c r="H572" i="36"/>
  <c r="G572" i="36"/>
  <c r="F572" i="36"/>
  <c r="E572" i="36"/>
  <c r="D572" i="36"/>
  <c r="C572" i="36"/>
  <c r="B572" i="36"/>
  <c r="H571" i="36"/>
  <c r="G571" i="36"/>
  <c r="F571" i="36"/>
  <c r="E571" i="36"/>
  <c r="D571" i="36"/>
  <c r="C571" i="36"/>
  <c r="B571" i="36"/>
  <c r="H570" i="36"/>
  <c r="G570" i="36"/>
  <c r="F570" i="36"/>
  <c r="E570" i="36"/>
  <c r="D570" i="36"/>
  <c r="C570" i="36"/>
  <c r="B570" i="36"/>
  <c r="H569" i="36"/>
  <c r="G569" i="36"/>
  <c r="F569" i="36"/>
  <c r="E569" i="36"/>
  <c r="D569" i="36"/>
  <c r="C569" i="36"/>
  <c r="B569" i="36"/>
  <c r="H568" i="36"/>
  <c r="G568" i="36"/>
  <c r="F568" i="36"/>
  <c r="E568" i="36"/>
  <c r="D568" i="36"/>
  <c r="C568" i="36"/>
  <c r="B568" i="36"/>
  <c r="H567" i="36"/>
  <c r="G567" i="36"/>
  <c r="F567" i="36"/>
  <c r="E567" i="36"/>
  <c r="D567" i="36"/>
  <c r="C567" i="36"/>
  <c r="B567" i="36"/>
  <c r="H566" i="36"/>
  <c r="G566" i="36"/>
  <c r="F566" i="36"/>
  <c r="E566" i="36"/>
  <c r="D566" i="36"/>
  <c r="C566" i="36"/>
  <c r="B566" i="36"/>
  <c r="H565" i="36"/>
  <c r="G565" i="36"/>
  <c r="F565" i="36"/>
  <c r="E565" i="36"/>
  <c r="D565" i="36"/>
  <c r="C565" i="36"/>
  <c r="B565" i="36"/>
  <c r="H564" i="36"/>
  <c r="G564" i="36"/>
  <c r="F564" i="36"/>
  <c r="E564" i="36"/>
  <c r="D564" i="36"/>
  <c r="C564" i="36"/>
  <c r="B564" i="36"/>
  <c r="H563" i="36"/>
  <c r="G563" i="36"/>
  <c r="F563" i="36"/>
  <c r="E563" i="36"/>
  <c r="D563" i="36"/>
  <c r="C563" i="36"/>
  <c r="B563" i="36"/>
  <c r="H562" i="36"/>
  <c r="G562" i="36"/>
  <c r="F562" i="36"/>
  <c r="E562" i="36"/>
  <c r="D562" i="36"/>
  <c r="C562" i="36"/>
  <c r="B562" i="36"/>
  <c r="H561" i="36"/>
  <c r="G561" i="36"/>
  <c r="F561" i="36"/>
  <c r="E561" i="36"/>
  <c r="D561" i="36"/>
  <c r="C561" i="36"/>
  <c r="B561" i="36"/>
  <c r="H560" i="36"/>
  <c r="G560" i="36"/>
  <c r="F560" i="36"/>
  <c r="E560" i="36"/>
  <c r="D560" i="36"/>
  <c r="C560" i="36"/>
  <c r="B560" i="36"/>
  <c r="H559" i="36"/>
  <c r="G559" i="36"/>
  <c r="F559" i="36"/>
  <c r="E559" i="36"/>
  <c r="D559" i="36"/>
  <c r="C559" i="36"/>
  <c r="B559" i="36"/>
  <c r="H558" i="36"/>
  <c r="G558" i="36"/>
  <c r="F558" i="36"/>
  <c r="E558" i="36"/>
  <c r="D558" i="36"/>
  <c r="C558" i="36"/>
  <c r="B558" i="36"/>
  <c r="H557" i="36"/>
  <c r="G557" i="36"/>
  <c r="F557" i="36"/>
  <c r="E557" i="36"/>
  <c r="D557" i="36"/>
  <c r="C557" i="36"/>
  <c r="B557" i="36"/>
  <c r="H556" i="36"/>
  <c r="G556" i="36"/>
  <c r="F556" i="36"/>
  <c r="E556" i="36"/>
  <c r="D556" i="36"/>
  <c r="C556" i="36"/>
  <c r="B556" i="36"/>
  <c r="H555" i="36"/>
  <c r="G555" i="36"/>
  <c r="F555" i="36"/>
  <c r="E555" i="36"/>
  <c r="D555" i="36"/>
  <c r="C555" i="36"/>
  <c r="B555" i="36"/>
  <c r="H554" i="36"/>
  <c r="G554" i="36"/>
  <c r="F554" i="36"/>
  <c r="E554" i="36"/>
  <c r="D554" i="36"/>
  <c r="C554" i="36"/>
  <c r="B554" i="36"/>
  <c r="H553" i="36"/>
  <c r="G553" i="36"/>
  <c r="F553" i="36"/>
  <c r="E553" i="36"/>
  <c r="D553" i="36"/>
  <c r="C553" i="36"/>
  <c r="B553" i="36"/>
  <c r="H552" i="36"/>
  <c r="G552" i="36"/>
  <c r="F552" i="36"/>
  <c r="E552" i="36"/>
  <c r="D552" i="36"/>
  <c r="C552" i="36"/>
  <c r="B552" i="36"/>
  <c r="H551" i="36"/>
  <c r="G551" i="36"/>
  <c r="F551" i="36"/>
  <c r="E551" i="36"/>
  <c r="D551" i="36"/>
  <c r="C551" i="36"/>
  <c r="B551" i="36"/>
  <c r="H550" i="36"/>
  <c r="G550" i="36"/>
  <c r="F550" i="36"/>
  <c r="E550" i="36"/>
  <c r="D550" i="36"/>
  <c r="C550" i="36"/>
  <c r="B550" i="36"/>
  <c r="H549" i="36"/>
  <c r="G549" i="36"/>
  <c r="F549" i="36"/>
  <c r="E549" i="36"/>
  <c r="D549" i="36"/>
  <c r="C549" i="36"/>
  <c r="B549" i="36"/>
  <c r="H548" i="36"/>
  <c r="G548" i="36"/>
  <c r="F548" i="36"/>
  <c r="E548" i="36"/>
  <c r="D548" i="36"/>
  <c r="C548" i="36"/>
  <c r="B548" i="36"/>
  <c r="H547" i="36"/>
  <c r="G547" i="36"/>
  <c r="F547" i="36"/>
  <c r="E547" i="36"/>
  <c r="D547" i="36"/>
  <c r="C547" i="36"/>
  <c r="B547" i="36"/>
  <c r="H546" i="36"/>
  <c r="G546" i="36"/>
  <c r="F546" i="36"/>
  <c r="E546" i="36"/>
  <c r="D546" i="36"/>
  <c r="C546" i="36"/>
  <c r="B546" i="36"/>
  <c r="H545" i="36"/>
  <c r="G545" i="36"/>
  <c r="F545" i="36"/>
  <c r="E545" i="36"/>
  <c r="D545" i="36"/>
  <c r="C545" i="36"/>
  <c r="B545" i="36"/>
  <c r="H544" i="36"/>
  <c r="G544" i="36"/>
  <c r="F544" i="36"/>
  <c r="E544" i="36"/>
  <c r="D544" i="36"/>
  <c r="C544" i="36"/>
  <c r="B544" i="36"/>
  <c r="H543" i="36"/>
  <c r="G543" i="36"/>
  <c r="F543" i="36"/>
  <c r="E543" i="36"/>
  <c r="D543" i="36"/>
  <c r="C543" i="36"/>
  <c r="B543" i="36"/>
  <c r="H542" i="36"/>
  <c r="G542" i="36"/>
  <c r="F542" i="36"/>
  <c r="E542" i="36"/>
  <c r="D542" i="36"/>
  <c r="C542" i="36"/>
  <c r="B542" i="36"/>
  <c r="H541" i="36"/>
  <c r="G541" i="36"/>
  <c r="F541" i="36"/>
  <c r="E541" i="36"/>
  <c r="D541" i="36"/>
  <c r="C541" i="36"/>
  <c r="B541" i="36"/>
  <c r="H540" i="36"/>
  <c r="G540" i="36"/>
  <c r="F540" i="36"/>
  <c r="E540" i="36"/>
  <c r="D540" i="36"/>
  <c r="C540" i="36"/>
  <c r="B540" i="36"/>
  <c r="H539" i="36"/>
  <c r="G539" i="36"/>
  <c r="F539" i="36"/>
  <c r="E539" i="36"/>
  <c r="D539" i="36"/>
  <c r="C539" i="36"/>
  <c r="B539" i="36"/>
  <c r="H538" i="36"/>
  <c r="G538" i="36"/>
  <c r="F538" i="36"/>
  <c r="E538" i="36"/>
  <c r="D538" i="36"/>
  <c r="C538" i="36"/>
  <c r="B538" i="36"/>
  <c r="H537" i="36"/>
  <c r="G537" i="36"/>
  <c r="F537" i="36"/>
  <c r="E537" i="36"/>
  <c r="D537" i="36"/>
  <c r="C537" i="36"/>
  <c r="B537" i="36"/>
  <c r="H536" i="36"/>
  <c r="G536" i="36"/>
  <c r="F536" i="36"/>
  <c r="E536" i="36"/>
  <c r="D536" i="36"/>
  <c r="C536" i="36"/>
  <c r="B536" i="36"/>
  <c r="H535" i="36"/>
  <c r="G535" i="36"/>
  <c r="F535" i="36"/>
  <c r="E535" i="36"/>
  <c r="D535" i="36"/>
  <c r="C535" i="36"/>
  <c r="B535" i="36"/>
  <c r="H534" i="36"/>
  <c r="G534" i="36"/>
  <c r="F534" i="36"/>
  <c r="E534" i="36"/>
  <c r="D534" i="36"/>
  <c r="C534" i="36"/>
  <c r="B534" i="36"/>
  <c r="H533" i="36"/>
  <c r="G533" i="36"/>
  <c r="F533" i="36"/>
  <c r="E533" i="36"/>
  <c r="D533" i="36"/>
  <c r="C533" i="36"/>
  <c r="B533" i="36"/>
  <c r="H532" i="36"/>
  <c r="G532" i="36"/>
  <c r="F532" i="36"/>
  <c r="E532" i="36"/>
  <c r="D532" i="36"/>
  <c r="C532" i="36"/>
  <c r="B532" i="36"/>
  <c r="H531" i="36"/>
  <c r="G531" i="36"/>
  <c r="F531" i="36"/>
  <c r="E531" i="36"/>
  <c r="D531" i="36"/>
  <c r="C531" i="36"/>
  <c r="B531" i="36"/>
  <c r="H530" i="36"/>
  <c r="G530" i="36"/>
  <c r="F530" i="36"/>
  <c r="E530" i="36"/>
  <c r="D530" i="36"/>
  <c r="C530" i="36"/>
  <c r="B530" i="36"/>
  <c r="H529" i="36"/>
  <c r="G529" i="36"/>
  <c r="F529" i="36"/>
  <c r="E529" i="36"/>
  <c r="D529" i="36"/>
  <c r="C529" i="36"/>
  <c r="B529" i="36"/>
  <c r="H528" i="36"/>
  <c r="G528" i="36"/>
  <c r="F528" i="36"/>
  <c r="E528" i="36"/>
  <c r="D528" i="36"/>
  <c r="C528" i="36"/>
  <c r="B528" i="36"/>
  <c r="H527" i="36"/>
  <c r="G527" i="36"/>
  <c r="F527" i="36"/>
  <c r="E527" i="36"/>
  <c r="D527" i="36"/>
  <c r="C527" i="36"/>
  <c r="B527" i="36"/>
  <c r="H526" i="36"/>
  <c r="G526" i="36"/>
  <c r="F526" i="36"/>
  <c r="E526" i="36"/>
  <c r="D526" i="36"/>
  <c r="C526" i="36"/>
  <c r="B526" i="36"/>
  <c r="H525" i="36"/>
  <c r="G525" i="36"/>
  <c r="F525" i="36"/>
  <c r="E525" i="36"/>
  <c r="D525" i="36"/>
  <c r="C525" i="36"/>
  <c r="B525" i="36"/>
  <c r="H524" i="36"/>
  <c r="G524" i="36"/>
  <c r="F524" i="36"/>
  <c r="E524" i="36"/>
  <c r="D524" i="36"/>
  <c r="C524" i="36"/>
  <c r="B524" i="36"/>
  <c r="H523" i="36"/>
  <c r="G523" i="36"/>
  <c r="F523" i="36"/>
  <c r="E523" i="36"/>
  <c r="D523" i="36"/>
  <c r="C523" i="36"/>
  <c r="B523" i="36"/>
  <c r="H522" i="36"/>
  <c r="G522" i="36"/>
  <c r="F522" i="36"/>
  <c r="E522" i="36"/>
  <c r="D522" i="36"/>
  <c r="C522" i="36"/>
  <c r="B522" i="36"/>
  <c r="H521" i="36"/>
  <c r="G521" i="36"/>
  <c r="F521" i="36"/>
  <c r="E521" i="36"/>
  <c r="D521" i="36"/>
  <c r="C521" i="36"/>
  <c r="B521" i="36"/>
  <c r="H520" i="36"/>
  <c r="G520" i="36"/>
  <c r="F520" i="36"/>
  <c r="E520" i="36"/>
  <c r="D520" i="36"/>
  <c r="C520" i="36"/>
  <c r="B520" i="36"/>
  <c r="H519" i="36"/>
  <c r="G519" i="36"/>
  <c r="F519" i="36"/>
  <c r="E519" i="36"/>
  <c r="D519" i="36"/>
  <c r="C519" i="36"/>
  <c r="B519" i="36"/>
  <c r="H518" i="36"/>
  <c r="G518" i="36"/>
  <c r="F518" i="36"/>
  <c r="E518" i="36"/>
  <c r="D518" i="36"/>
  <c r="C518" i="36"/>
  <c r="B518" i="36"/>
  <c r="H517" i="36"/>
  <c r="G517" i="36"/>
  <c r="F517" i="36"/>
  <c r="E517" i="36"/>
  <c r="D517" i="36"/>
  <c r="C517" i="36"/>
  <c r="B517" i="36"/>
  <c r="H516" i="36"/>
  <c r="G516" i="36"/>
  <c r="F516" i="36"/>
  <c r="E516" i="36"/>
  <c r="D516" i="36"/>
  <c r="C516" i="36"/>
  <c r="B516" i="36"/>
  <c r="H515" i="36"/>
  <c r="G515" i="36"/>
  <c r="F515" i="36"/>
  <c r="E515" i="36"/>
  <c r="D515" i="36"/>
  <c r="C515" i="36"/>
  <c r="B515" i="36"/>
  <c r="H514" i="36"/>
  <c r="G514" i="36"/>
  <c r="F514" i="36"/>
  <c r="E514" i="36"/>
  <c r="D514" i="36"/>
  <c r="C514" i="36"/>
  <c r="B514" i="36"/>
  <c r="H513" i="36"/>
  <c r="G513" i="36"/>
  <c r="F513" i="36"/>
  <c r="E513" i="36"/>
  <c r="D513" i="36"/>
  <c r="C513" i="36"/>
  <c r="B513" i="36"/>
  <c r="H512" i="36"/>
  <c r="G512" i="36"/>
  <c r="F512" i="36"/>
  <c r="E512" i="36"/>
  <c r="D512" i="36"/>
  <c r="C512" i="36"/>
  <c r="B512" i="36"/>
  <c r="H511" i="36"/>
  <c r="G511" i="36"/>
  <c r="F511" i="36"/>
  <c r="E511" i="36"/>
  <c r="D511" i="36"/>
  <c r="C511" i="36"/>
  <c r="B511" i="36"/>
  <c r="H510" i="36"/>
  <c r="G510" i="36"/>
  <c r="F510" i="36"/>
  <c r="E510" i="36"/>
  <c r="D510" i="36"/>
  <c r="C510" i="36"/>
  <c r="B510" i="36"/>
  <c r="H509" i="36"/>
  <c r="G509" i="36"/>
  <c r="F509" i="36"/>
  <c r="E509" i="36"/>
  <c r="D509" i="36"/>
  <c r="C509" i="36"/>
  <c r="B509" i="36"/>
  <c r="H508" i="36"/>
  <c r="G508" i="36"/>
  <c r="F508" i="36"/>
  <c r="E508" i="36"/>
  <c r="D508" i="36"/>
  <c r="C508" i="36"/>
  <c r="B508" i="36"/>
  <c r="H507" i="36"/>
  <c r="G507" i="36"/>
  <c r="F507" i="36"/>
  <c r="E507" i="36"/>
  <c r="D507" i="36"/>
  <c r="C507" i="36"/>
  <c r="B507" i="36"/>
  <c r="H506" i="36"/>
  <c r="G506" i="36"/>
  <c r="F506" i="36"/>
  <c r="E506" i="36"/>
  <c r="D506" i="36"/>
  <c r="C506" i="36"/>
  <c r="B506" i="36"/>
  <c r="H505" i="36"/>
  <c r="G505" i="36"/>
  <c r="F505" i="36"/>
  <c r="E505" i="36"/>
  <c r="D505" i="36"/>
  <c r="C505" i="36"/>
  <c r="B505" i="36"/>
  <c r="H504" i="36"/>
  <c r="G504" i="36"/>
  <c r="F504" i="36"/>
  <c r="E504" i="36"/>
  <c r="D504" i="36"/>
  <c r="C504" i="36"/>
  <c r="B504" i="36"/>
  <c r="H503" i="36"/>
  <c r="G503" i="36"/>
  <c r="F503" i="36"/>
  <c r="E503" i="36"/>
  <c r="D503" i="36"/>
  <c r="C503" i="36"/>
  <c r="B503" i="36"/>
  <c r="H502" i="36"/>
  <c r="G502" i="36"/>
  <c r="F502" i="36"/>
  <c r="E502" i="36"/>
  <c r="D502" i="36"/>
  <c r="C502" i="36"/>
  <c r="B502" i="36"/>
  <c r="H501" i="36"/>
  <c r="G501" i="36"/>
  <c r="F501" i="36"/>
  <c r="E501" i="36"/>
  <c r="D501" i="36"/>
  <c r="C501" i="36"/>
  <c r="B501" i="36"/>
  <c r="H500" i="36"/>
  <c r="G500" i="36"/>
  <c r="F500" i="36"/>
  <c r="E500" i="36"/>
  <c r="D500" i="36"/>
  <c r="C500" i="36"/>
  <c r="B500" i="36"/>
  <c r="H499" i="36"/>
  <c r="G499" i="36"/>
  <c r="F499" i="36"/>
  <c r="E499" i="36"/>
  <c r="D499" i="36"/>
  <c r="C499" i="36"/>
  <c r="B499" i="36"/>
  <c r="H498" i="36"/>
  <c r="G498" i="36"/>
  <c r="F498" i="36"/>
  <c r="E498" i="36"/>
  <c r="D498" i="36"/>
  <c r="C498" i="36"/>
  <c r="B498" i="36"/>
  <c r="H497" i="36"/>
  <c r="G497" i="36"/>
  <c r="F497" i="36"/>
  <c r="E497" i="36"/>
  <c r="D497" i="36"/>
  <c r="C497" i="36"/>
  <c r="B497" i="36"/>
  <c r="H496" i="36"/>
  <c r="G496" i="36"/>
  <c r="F496" i="36"/>
  <c r="E496" i="36"/>
  <c r="D496" i="36"/>
  <c r="C496" i="36"/>
  <c r="B496" i="36"/>
  <c r="H495" i="36"/>
  <c r="G495" i="36"/>
  <c r="F495" i="36"/>
  <c r="E495" i="36"/>
  <c r="D495" i="36"/>
  <c r="C495" i="36"/>
  <c r="B495" i="36"/>
  <c r="H494" i="36"/>
  <c r="G494" i="36"/>
  <c r="F494" i="36"/>
  <c r="E494" i="36"/>
  <c r="D494" i="36"/>
  <c r="C494" i="36"/>
  <c r="B494" i="36"/>
  <c r="H493" i="36"/>
  <c r="G493" i="36"/>
  <c r="F493" i="36"/>
  <c r="E493" i="36"/>
  <c r="D493" i="36"/>
  <c r="C493" i="36"/>
  <c r="B493" i="36"/>
  <c r="H492" i="36"/>
  <c r="G492" i="36"/>
  <c r="F492" i="36"/>
  <c r="E492" i="36"/>
  <c r="D492" i="36"/>
  <c r="C492" i="36"/>
  <c r="B492" i="36"/>
  <c r="H491" i="36"/>
  <c r="G491" i="36"/>
  <c r="F491" i="36"/>
  <c r="E491" i="36"/>
  <c r="D491" i="36"/>
  <c r="C491" i="36"/>
  <c r="B491" i="36"/>
  <c r="H490" i="36"/>
  <c r="G490" i="36"/>
  <c r="F490" i="36"/>
  <c r="E490" i="36"/>
  <c r="D490" i="36"/>
  <c r="C490" i="36"/>
  <c r="B490" i="36"/>
  <c r="H489" i="36"/>
  <c r="G489" i="36"/>
  <c r="F489" i="36"/>
  <c r="E489" i="36"/>
  <c r="D489" i="36"/>
  <c r="C489" i="36"/>
  <c r="B489" i="36"/>
  <c r="H488" i="36"/>
  <c r="G488" i="36"/>
  <c r="F488" i="36"/>
  <c r="E488" i="36"/>
  <c r="D488" i="36"/>
  <c r="C488" i="36"/>
  <c r="B488" i="36"/>
  <c r="H487" i="36"/>
  <c r="G487" i="36"/>
  <c r="F487" i="36"/>
  <c r="E487" i="36"/>
  <c r="D487" i="36"/>
  <c r="C487" i="36"/>
  <c r="B487" i="36"/>
  <c r="H486" i="36"/>
  <c r="G486" i="36"/>
  <c r="F486" i="36"/>
  <c r="E486" i="36"/>
  <c r="D486" i="36"/>
  <c r="C486" i="36"/>
  <c r="B486" i="36"/>
  <c r="H485" i="36"/>
  <c r="G485" i="36"/>
  <c r="F485" i="36"/>
  <c r="E485" i="36"/>
  <c r="D485" i="36"/>
  <c r="C485" i="36"/>
  <c r="B485" i="36"/>
  <c r="H484" i="36"/>
  <c r="G484" i="36"/>
  <c r="F484" i="36"/>
  <c r="E484" i="36"/>
  <c r="D484" i="36"/>
  <c r="C484" i="36"/>
  <c r="B484" i="36"/>
  <c r="H483" i="36"/>
  <c r="G483" i="36"/>
  <c r="F483" i="36"/>
  <c r="E483" i="36"/>
  <c r="D483" i="36"/>
  <c r="C483" i="36"/>
  <c r="B483" i="36"/>
  <c r="H482" i="36"/>
  <c r="G482" i="36"/>
  <c r="F482" i="36"/>
  <c r="E482" i="36"/>
  <c r="D482" i="36"/>
  <c r="C482" i="36"/>
  <c r="B482" i="36"/>
  <c r="H481" i="36"/>
  <c r="G481" i="36"/>
  <c r="F481" i="36"/>
  <c r="E481" i="36"/>
  <c r="D481" i="36"/>
  <c r="C481" i="36"/>
  <c r="B481" i="36"/>
  <c r="H480" i="36"/>
  <c r="G480" i="36"/>
  <c r="F480" i="36"/>
  <c r="E480" i="36"/>
  <c r="D480" i="36"/>
  <c r="C480" i="36"/>
  <c r="B480" i="36"/>
  <c r="H479" i="36"/>
  <c r="G479" i="36"/>
  <c r="F479" i="36"/>
  <c r="E479" i="36"/>
  <c r="D479" i="36"/>
  <c r="C479" i="36"/>
  <c r="B479" i="36"/>
  <c r="H478" i="36"/>
  <c r="G478" i="36"/>
  <c r="F478" i="36"/>
  <c r="E478" i="36"/>
  <c r="D478" i="36"/>
  <c r="C478" i="36"/>
  <c r="B478" i="36"/>
  <c r="H477" i="36"/>
  <c r="G477" i="36"/>
  <c r="F477" i="36"/>
  <c r="E477" i="36"/>
  <c r="D477" i="36"/>
  <c r="C477" i="36"/>
  <c r="B477" i="36"/>
  <c r="H476" i="36"/>
  <c r="G476" i="36"/>
  <c r="F476" i="36"/>
  <c r="E476" i="36"/>
  <c r="D476" i="36"/>
  <c r="C476" i="36"/>
  <c r="B476" i="36"/>
  <c r="H475" i="36"/>
  <c r="G475" i="36"/>
  <c r="F475" i="36"/>
  <c r="E475" i="36"/>
  <c r="D475" i="36"/>
  <c r="C475" i="36"/>
  <c r="B475" i="36"/>
  <c r="H474" i="36"/>
  <c r="G474" i="36"/>
  <c r="F474" i="36"/>
  <c r="E474" i="36"/>
  <c r="D474" i="36"/>
  <c r="C474" i="36"/>
  <c r="B474" i="36"/>
  <c r="H473" i="36"/>
  <c r="G473" i="36"/>
  <c r="F473" i="36"/>
  <c r="E473" i="36"/>
  <c r="D473" i="36"/>
  <c r="C473" i="36"/>
  <c r="B473" i="36"/>
  <c r="H472" i="36"/>
  <c r="G472" i="36"/>
  <c r="F472" i="36"/>
  <c r="E472" i="36"/>
  <c r="D472" i="36"/>
  <c r="C472" i="36"/>
  <c r="B472" i="36"/>
  <c r="H471" i="36"/>
  <c r="G471" i="36"/>
  <c r="F471" i="36"/>
  <c r="E471" i="36"/>
  <c r="D471" i="36"/>
  <c r="C471" i="36"/>
  <c r="B471" i="36"/>
  <c r="H470" i="36"/>
  <c r="G470" i="36"/>
  <c r="F470" i="36"/>
  <c r="E470" i="36"/>
  <c r="D470" i="36"/>
  <c r="C470" i="36"/>
  <c r="B470" i="36"/>
  <c r="H469" i="36"/>
  <c r="G469" i="36"/>
  <c r="F469" i="36"/>
  <c r="E469" i="36"/>
  <c r="D469" i="36"/>
  <c r="C469" i="36"/>
  <c r="B469" i="36"/>
  <c r="H468" i="36"/>
  <c r="G468" i="36"/>
  <c r="F468" i="36"/>
  <c r="E468" i="36"/>
  <c r="D468" i="36"/>
  <c r="C468" i="36"/>
  <c r="B468" i="36"/>
  <c r="H467" i="36"/>
  <c r="G467" i="36"/>
  <c r="F467" i="36"/>
  <c r="E467" i="36"/>
  <c r="D467" i="36"/>
  <c r="C467" i="36"/>
  <c r="B467" i="36"/>
  <c r="H466" i="36"/>
  <c r="G466" i="36"/>
  <c r="F466" i="36"/>
  <c r="E466" i="36"/>
  <c r="D466" i="36"/>
  <c r="C466" i="36"/>
  <c r="B466" i="36"/>
  <c r="H465" i="36"/>
  <c r="G465" i="36"/>
  <c r="F465" i="36"/>
  <c r="E465" i="36"/>
  <c r="D465" i="36"/>
  <c r="C465" i="36"/>
  <c r="B465" i="36"/>
  <c r="H464" i="36"/>
  <c r="G464" i="36"/>
  <c r="F464" i="36"/>
  <c r="E464" i="36"/>
  <c r="D464" i="36"/>
  <c r="C464" i="36"/>
  <c r="B464" i="36"/>
  <c r="H463" i="36"/>
  <c r="G463" i="36"/>
  <c r="F463" i="36"/>
  <c r="E463" i="36"/>
  <c r="D463" i="36"/>
  <c r="C463" i="36"/>
  <c r="B463" i="36"/>
  <c r="H462" i="36"/>
  <c r="G462" i="36"/>
  <c r="F462" i="36"/>
  <c r="E462" i="36"/>
  <c r="D462" i="36"/>
  <c r="C462" i="36"/>
  <c r="B462" i="36"/>
  <c r="H461" i="36"/>
  <c r="G461" i="36"/>
  <c r="F461" i="36"/>
  <c r="E461" i="36"/>
  <c r="D461" i="36"/>
  <c r="C461" i="36"/>
  <c r="B461" i="36"/>
  <c r="H460" i="36"/>
  <c r="G460" i="36"/>
  <c r="F460" i="36"/>
  <c r="E460" i="36"/>
  <c r="D460" i="36"/>
  <c r="C460" i="36"/>
  <c r="B460" i="36"/>
  <c r="H459" i="36"/>
  <c r="G459" i="36"/>
  <c r="F459" i="36"/>
  <c r="E459" i="36"/>
  <c r="D459" i="36"/>
  <c r="C459" i="36"/>
  <c r="B459" i="36"/>
  <c r="H458" i="36"/>
  <c r="G458" i="36"/>
  <c r="F458" i="36"/>
  <c r="E458" i="36"/>
  <c r="D458" i="36"/>
  <c r="C458" i="36"/>
  <c r="B458" i="36"/>
  <c r="H457" i="36"/>
  <c r="G457" i="36"/>
  <c r="F457" i="36"/>
  <c r="E457" i="36"/>
  <c r="D457" i="36"/>
  <c r="C457" i="36"/>
  <c r="B457" i="36"/>
  <c r="H456" i="36"/>
  <c r="G456" i="36"/>
  <c r="F456" i="36"/>
  <c r="E456" i="36"/>
  <c r="D456" i="36"/>
  <c r="C456" i="36"/>
  <c r="B456" i="36"/>
  <c r="H455" i="36"/>
  <c r="G455" i="36"/>
  <c r="F455" i="36"/>
  <c r="E455" i="36"/>
  <c r="D455" i="36"/>
  <c r="C455" i="36"/>
  <c r="B455" i="36"/>
  <c r="H454" i="36"/>
  <c r="G454" i="36"/>
  <c r="F454" i="36"/>
  <c r="E454" i="36"/>
  <c r="D454" i="36"/>
  <c r="C454" i="36"/>
  <c r="B454" i="36"/>
  <c r="H453" i="36"/>
  <c r="G453" i="36"/>
  <c r="F453" i="36"/>
  <c r="E453" i="36"/>
  <c r="D453" i="36"/>
  <c r="C453" i="36"/>
  <c r="B453" i="36"/>
  <c r="H452" i="36"/>
  <c r="G452" i="36"/>
  <c r="F452" i="36"/>
  <c r="E452" i="36"/>
  <c r="D452" i="36"/>
  <c r="C452" i="36"/>
  <c r="B452" i="36"/>
  <c r="H451" i="36"/>
  <c r="G451" i="36"/>
  <c r="F451" i="36"/>
  <c r="E451" i="36"/>
  <c r="D451" i="36"/>
  <c r="C451" i="36"/>
  <c r="B451" i="36"/>
  <c r="H450" i="36"/>
  <c r="G450" i="36"/>
  <c r="F450" i="36"/>
  <c r="E450" i="36"/>
  <c r="D450" i="36"/>
  <c r="C450" i="36"/>
  <c r="B450" i="36"/>
  <c r="H449" i="36"/>
  <c r="G449" i="36"/>
  <c r="F449" i="36"/>
  <c r="E449" i="36"/>
  <c r="D449" i="36"/>
  <c r="C449" i="36"/>
  <c r="B449" i="36"/>
  <c r="H448" i="36"/>
  <c r="G448" i="36"/>
  <c r="F448" i="36"/>
  <c r="E448" i="36"/>
  <c r="D448" i="36"/>
  <c r="C448" i="36"/>
  <c r="B448" i="36"/>
  <c r="H447" i="36"/>
  <c r="G447" i="36"/>
  <c r="F447" i="36"/>
  <c r="E447" i="36"/>
  <c r="D447" i="36"/>
  <c r="C447" i="36"/>
  <c r="B447" i="36"/>
  <c r="H446" i="36"/>
  <c r="G446" i="36"/>
  <c r="F446" i="36"/>
  <c r="E446" i="36"/>
  <c r="D446" i="36"/>
  <c r="C446" i="36"/>
  <c r="B446" i="36"/>
  <c r="H445" i="36"/>
  <c r="G445" i="36"/>
  <c r="F445" i="36"/>
  <c r="E445" i="36"/>
  <c r="D445" i="36"/>
  <c r="C445" i="36"/>
  <c r="B445" i="36"/>
  <c r="H444" i="36"/>
  <c r="G444" i="36"/>
  <c r="F444" i="36"/>
  <c r="E444" i="36"/>
  <c r="D444" i="36"/>
  <c r="C444" i="36"/>
  <c r="B444" i="36"/>
  <c r="H443" i="36"/>
  <c r="G443" i="36"/>
  <c r="F443" i="36"/>
  <c r="E443" i="36"/>
  <c r="D443" i="36"/>
  <c r="C443" i="36"/>
  <c r="B443" i="36"/>
  <c r="H442" i="36"/>
  <c r="G442" i="36"/>
  <c r="F442" i="36"/>
  <c r="E442" i="36"/>
  <c r="D442" i="36"/>
  <c r="C442" i="36"/>
  <c r="B442" i="36"/>
  <c r="H441" i="36"/>
  <c r="G441" i="36"/>
  <c r="F441" i="36"/>
  <c r="E441" i="36"/>
  <c r="D441" i="36"/>
  <c r="C441" i="36"/>
  <c r="B441" i="36"/>
  <c r="H440" i="36"/>
  <c r="G440" i="36"/>
  <c r="F440" i="36"/>
  <c r="E440" i="36"/>
  <c r="D440" i="36"/>
  <c r="C440" i="36"/>
  <c r="B440" i="36"/>
  <c r="H439" i="36"/>
  <c r="G439" i="36"/>
  <c r="F439" i="36"/>
  <c r="E439" i="36"/>
  <c r="D439" i="36"/>
  <c r="C439" i="36"/>
  <c r="B439" i="36"/>
  <c r="H438" i="36"/>
  <c r="G438" i="36"/>
  <c r="F438" i="36"/>
  <c r="E438" i="36"/>
  <c r="D438" i="36"/>
  <c r="C438" i="36"/>
  <c r="B438" i="36"/>
  <c r="H437" i="36"/>
  <c r="G437" i="36"/>
  <c r="F437" i="36"/>
  <c r="E437" i="36"/>
  <c r="D437" i="36"/>
  <c r="C437" i="36"/>
  <c r="B437" i="36"/>
  <c r="H436" i="36"/>
  <c r="G436" i="36"/>
  <c r="F436" i="36"/>
  <c r="E436" i="36"/>
  <c r="D436" i="36"/>
  <c r="C436" i="36"/>
  <c r="B436" i="36"/>
  <c r="H435" i="36"/>
  <c r="G435" i="36"/>
  <c r="F435" i="36"/>
  <c r="E435" i="36"/>
  <c r="D435" i="36"/>
  <c r="C435" i="36"/>
  <c r="B435" i="36"/>
  <c r="H434" i="36"/>
  <c r="G434" i="36"/>
  <c r="F434" i="36"/>
  <c r="E434" i="36"/>
  <c r="D434" i="36"/>
  <c r="C434" i="36"/>
  <c r="B434" i="36"/>
  <c r="H433" i="36"/>
  <c r="G433" i="36"/>
  <c r="F433" i="36"/>
  <c r="E433" i="36"/>
  <c r="D433" i="36"/>
  <c r="C433" i="36"/>
  <c r="B433" i="36"/>
  <c r="H432" i="36"/>
  <c r="G432" i="36"/>
  <c r="F432" i="36"/>
  <c r="E432" i="36"/>
  <c r="D432" i="36"/>
  <c r="C432" i="36"/>
  <c r="B432" i="36"/>
  <c r="H431" i="36"/>
  <c r="G431" i="36"/>
  <c r="F431" i="36"/>
  <c r="E431" i="36"/>
  <c r="D431" i="36"/>
  <c r="C431" i="36"/>
  <c r="B431" i="36"/>
  <c r="H430" i="36"/>
  <c r="G430" i="36"/>
  <c r="F430" i="36"/>
  <c r="E430" i="36"/>
  <c r="D430" i="36"/>
  <c r="C430" i="36"/>
  <c r="B430" i="36"/>
  <c r="H429" i="36"/>
  <c r="G429" i="36"/>
  <c r="F429" i="36"/>
  <c r="E429" i="36"/>
  <c r="D429" i="36"/>
  <c r="C429" i="36"/>
  <c r="B429" i="36"/>
  <c r="H428" i="36"/>
  <c r="G428" i="36"/>
  <c r="F428" i="36"/>
  <c r="E428" i="36"/>
  <c r="D428" i="36"/>
  <c r="C428" i="36"/>
  <c r="B428" i="36"/>
  <c r="H427" i="36"/>
  <c r="G427" i="36"/>
  <c r="F427" i="36"/>
  <c r="E427" i="36"/>
  <c r="D427" i="36"/>
  <c r="C427" i="36"/>
  <c r="B427" i="36"/>
  <c r="H426" i="36"/>
  <c r="G426" i="36"/>
  <c r="F426" i="36"/>
  <c r="E426" i="36"/>
  <c r="D426" i="36"/>
  <c r="C426" i="36"/>
  <c r="B426" i="36"/>
  <c r="H425" i="36"/>
  <c r="G425" i="36"/>
  <c r="F425" i="36"/>
  <c r="E425" i="36"/>
  <c r="D425" i="36"/>
  <c r="C425" i="36"/>
  <c r="B425" i="36"/>
  <c r="H424" i="36"/>
  <c r="G424" i="36"/>
  <c r="F424" i="36"/>
  <c r="E424" i="36"/>
  <c r="D424" i="36"/>
  <c r="C424" i="36"/>
  <c r="B424" i="36"/>
  <c r="H423" i="36"/>
  <c r="G423" i="36"/>
  <c r="F423" i="36"/>
  <c r="E423" i="36"/>
  <c r="D423" i="36"/>
  <c r="C423" i="36"/>
  <c r="B423" i="36"/>
  <c r="H422" i="36"/>
  <c r="G422" i="36"/>
  <c r="F422" i="36"/>
  <c r="E422" i="36"/>
  <c r="D422" i="36"/>
  <c r="C422" i="36"/>
  <c r="B422" i="36"/>
  <c r="H421" i="36"/>
  <c r="G421" i="36"/>
  <c r="F421" i="36"/>
  <c r="E421" i="36"/>
  <c r="D421" i="36"/>
  <c r="C421" i="36"/>
  <c r="B421" i="36"/>
  <c r="H420" i="36"/>
  <c r="G420" i="36"/>
  <c r="F420" i="36"/>
  <c r="E420" i="36"/>
  <c r="D420" i="36"/>
  <c r="C420" i="36"/>
  <c r="B420" i="36"/>
  <c r="H419" i="36"/>
  <c r="G419" i="36"/>
  <c r="F419" i="36"/>
  <c r="E419" i="36"/>
  <c r="D419" i="36"/>
  <c r="C419" i="36"/>
  <c r="B419" i="36"/>
  <c r="H418" i="36"/>
  <c r="G418" i="36"/>
  <c r="F418" i="36"/>
  <c r="E418" i="36"/>
  <c r="D418" i="36"/>
  <c r="C418" i="36"/>
  <c r="B418" i="36"/>
  <c r="H417" i="36"/>
  <c r="G417" i="36"/>
  <c r="F417" i="36"/>
  <c r="E417" i="36"/>
  <c r="D417" i="36"/>
  <c r="C417" i="36"/>
  <c r="B417" i="36"/>
  <c r="H416" i="36"/>
  <c r="G416" i="36"/>
  <c r="F416" i="36"/>
  <c r="E416" i="36"/>
  <c r="D416" i="36"/>
  <c r="C416" i="36"/>
  <c r="B416" i="36"/>
  <c r="H415" i="36"/>
  <c r="G415" i="36"/>
  <c r="F415" i="36"/>
  <c r="E415" i="36"/>
  <c r="D415" i="36"/>
  <c r="C415" i="36"/>
  <c r="B415" i="36"/>
  <c r="H414" i="36"/>
  <c r="G414" i="36"/>
  <c r="F414" i="36"/>
  <c r="E414" i="36"/>
  <c r="D414" i="36"/>
  <c r="C414" i="36"/>
  <c r="B414" i="36"/>
  <c r="H413" i="36"/>
  <c r="G413" i="36"/>
  <c r="F413" i="36"/>
  <c r="E413" i="36"/>
  <c r="D413" i="36"/>
  <c r="C413" i="36"/>
  <c r="B413" i="36"/>
  <c r="H412" i="36"/>
  <c r="G412" i="36"/>
  <c r="F412" i="36"/>
  <c r="E412" i="36"/>
  <c r="D412" i="36"/>
  <c r="C412" i="36"/>
  <c r="B412" i="36"/>
  <c r="H411" i="36"/>
  <c r="G411" i="36"/>
  <c r="F411" i="36"/>
  <c r="E411" i="36"/>
  <c r="D411" i="36"/>
  <c r="C411" i="36"/>
  <c r="B411" i="36"/>
  <c r="H410" i="36"/>
  <c r="G410" i="36"/>
  <c r="F410" i="36"/>
  <c r="E410" i="36"/>
  <c r="D410" i="36"/>
  <c r="C410" i="36"/>
  <c r="B410" i="36"/>
  <c r="H409" i="36"/>
  <c r="G409" i="36"/>
  <c r="F409" i="36"/>
  <c r="E409" i="36"/>
  <c r="D409" i="36"/>
  <c r="C409" i="36"/>
  <c r="B409" i="36"/>
  <c r="H408" i="36"/>
  <c r="G408" i="36"/>
  <c r="F408" i="36"/>
  <c r="E408" i="36"/>
  <c r="D408" i="36"/>
  <c r="C408" i="36"/>
  <c r="B408" i="36"/>
  <c r="H407" i="36"/>
  <c r="G407" i="36"/>
  <c r="F407" i="36"/>
  <c r="E407" i="36"/>
  <c r="D407" i="36"/>
  <c r="C407" i="36"/>
  <c r="B407" i="36"/>
  <c r="H406" i="36"/>
  <c r="G406" i="36"/>
  <c r="F406" i="36"/>
  <c r="E406" i="36"/>
  <c r="D406" i="36"/>
  <c r="C406" i="36"/>
  <c r="B406" i="36"/>
  <c r="H405" i="36"/>
  <c r="G405" i="36"/>
  <c r="F405" i="36"/>
  <c r="E405" i="36"/>
  <c r="D405" i="36"/>
  <c r="C405" i="36"/>
  <c r="B405" i="36"/>
  <c r="H404" i="36"/>
  <c r="G404" i="36"/>
  <c r="F404" i="36"/>
  <c r="E404" i="36"/>
  <c r="D404" i="36"/>
  <c r="C404" i="36"/>
  <c r="B404" i="36"/>
  <c r="H403" i="36"/>
  <c r="G403" i="36"/>
  <c r="F403" i="36"/>
  <c r="E403" i="36"/>
  <c r="D403" i="36"/>
  <c r="C403" i="36"/>
  <c r="B403" i="36"/>
  <c r="H402" i="36"/>
  <c r="G402" i="36"/>
  <c r="F402" i="36"/>
  <c r="E402" i="36"/>
  <c r="D402" i="36"/>
  <c r="C402" i="36"/>
  <c r="B402" i="36"/>
  <c r="H401" i="36"/>
  <c r="G401" i="36"/>
  <c r="F401" i="36"/>
  <c r="E401" i="36"/>
  <c r="D401" i="36"/>
  <c r="C401" i="36"/>
  <c r="B401" i="36"/>
  <c r="H400" i="36"/>
  <c r="G400" i="36"/>
  <c r="F400" i="36"/>
  <c r="E400" i="36"/>
  <c r="D400" i="36"/>
  <c r="C400" i="36"/>
  <c r="B400" i="36"/>
  <c r="H399" i="36"/>
  <c r="G399" i="36"/>
  <c r="F399" i="36"/>
  <c r="E399" i="36"/>
  <c r="D399" i="36"/>
  <c r="C399" i="36"/>
  <c r="B399" i="36"/>
  <c r="H398" i="36"/>
  <c r="G398" i="36"/>
  <c r="F398" i="36"/>
  <c r="E398" i="36"/>
  <c r="D398" i="36"/>
  <c r="C398" i="36"/>
  <c r="B398" i="36"/>
  <c r="H397" i="36"/>
  <c r="G397" i="36"/>
  <c r="F397" i="36"/>
  <c r="E397" i="36"/>
  <c r="D397" i="36"/>
  <c r="C397" i="36"/>
  <c r="B397" i="36"/>
  <c r="H396" i="36"/>
  <c r="G396" i="36"/>
  <c r="F396" i="36"/>
  <c r="E396" i="36"/>
  <c r="D396" i="36"/>
  <c r="C396" i="36"/>
  <c r="B396" i="36"/>
  <c r="H395" i="36"/>
  <c r="G395" i="36"/>
  <c r="F395" i="36"/>
  <c r="E395" i="36"/>
  <c r="D395" i="36"/>
  <c r="C395" i="36"/>
  <c r="B395" i="36"/>
  <c r="H394" i="36"/>
  <c r="G394" i="36"/>
  <c r="F394" i="36"/>
  <c r="E394" i="36"/>
  <c r="D394" i="36"/>
  <c r="C394" i="36"/>
  <c r="B394" i="36"/>
  <c r="H393" i="36"/>
  <c r="G393" i="36"/>
  <c r="F393" i="36"/>
  <c r="E393" i="36"/>
  <c r="D393" i="36"/>
  <c r="C393" i="36"/>
  <c r="B393" i="36"/>
  <c r="H392" i="36"/>
  <c r="G392" i="36"/>
  <c r="F392" i="36"/>
  <c r="E392" i="36"/>
  <c r="D392" i="36"/>
  <c r="C392" i="36"/>
  <c r="B392" i="36"/>
  <c r="H391" i="36"/>
  <c r="G391" i="36"/>
  <c r="F391" i="36"/>
  <c r="E391" i="36"/>
  <c r="D391" i="36"/>
  <c r="C391" i="36"/>
  <c r="B391" i="36"/>
  <c r="H390" i="36"/>
  <c r="G390" i="36"/>
  <c r="F390" i="36"/>
  <c r="E390" i="36"/>
  <c r="D390" i="36"/>
  <c r="C390" i="36"/>
  <c r="B390" i="36"/>
  <c r="H389" i="36"/>
  <c r="G389" i="36"/>
  <c r="F389" i="36"/>
  <c r="E389" i="36"/>
  <c r="D389" i="36"/>
  <c r="C389" i="36"/>
  <c r="B389" i="36"/>
  <c r="H388" i="36"/>
  <c r="G388" i="36"/>
  <c r="F388" i="36"/>
  <c r="E388" i="36"/>
  <c r="D388" i="36"/>
  <c r="C388" i="36"/>
  <c r="B388" i="36"/>
  <c r="H387" i="36"/>
  <c r="G387" i="36"/>
  <c r="F387" i="36"/>
  <c r="E387" i="36"/>
  <c r="D387" i="36"/>
  <c r="C387" i="36"/>
  <c r="B387" i="36"/>
  <c r="H386" i="36"/>
  <c r="G386" i="36"/>
  <c r="F386" i="36"/>
  <c r="E386" i="36"/>
  <c r="D386" i="36"/>
  <c r="C386" i="36"/>
  <c r="B386" i="36"/>
  <c r="H385" i="36"/>
  <c r="G385" i="36"/>
  <c r="F385" i="36"/>
  <c r="E385" i="36"/>
  <c r="D385" i="36"/>
  <c r="C385" i="36"/>
  <c r="B385" i="36"/>
  <c r="H384" i="36"/>
  <c r="G384" i="36"/>
  <c r="F384" i="36"/>
  <c r="E384" i="36"/>
  <c r="D384" i="36"/>
  <c r="C384" i="36"/>
  <c r="B384" i="36"/>
  <c r="H383" i="36"/>
  <c r="G383" i="36"/>
  <c r="F383" i="36"/>
  <c r="E383" i="36"/>
  <c r="D383" i="36"/>
  <c r="C383" i="36"/>
  <c r="B383" i="36"/>
  <c r="H382" i="36"/>
  <c r="G382" i="36"/>
  <c r="F382" i="36"/>
  <c r="E382" i="36"/>
  <c r="D382" i="36"/>
  <c r="C382" i="36"/>
  <c r="B382" i="36"/>
  <c r="H381" i="36"/>
  <c r="G381" i="36"/>
  <c r="F381" i="36"/>
  <c r="E381" i="36"/>
  <c r="D381" i="36"/>
  <c r="C381" i="36"/>
  <c r="B381" i="36"/>
  <c r="H380" i="36"/>
  <c r="G380" i="36"/>
  <c r="F380" i="36"/>
  <c r="E380" i="36"/>
  <c r="D380" i="36"/>
  <c r="C380" i="36"/>
  <c r="B380" i="36"/>
  <c r="H379" i="36"/>
  <c r="G379" i="36"/>
  <c r="F379" i="36"/>
  <c r="E379" i="36"/>
  <c r="D379" i="36"/>
  <c r="C379" i="36"/>
  <c r="B379" i="36"/>
  <c r="H378" i="36"/>
  <c r="G378" i="36"/>
  <c r="F378" i="36"/>
  <c r="E378" i="36"/>
  <c r="D378" i="36"/>
  <c r="C378" i="36"/>
  <c r="B378" i="36"/>
  <c r="H377" i="36"/>
  <c r="G377" i="36"/>
  <c r="F377" i="36"/>
  <c r="E377" i="36"/>
  <c r="D377" i="36"/>
  <c r="C377" i="36"/>
  <c r="B377" i="36"/>
  <c r="H376" i="36"/>
  <c r="G376" i="36"/>
  <c r="F376" i="36"/>
  <c r="E376" i="36"/>
  <c r="D376" i="36"/>
  <c r="C376" i="36"/>
  <c r="B376" i="36"/>
  <c r="H375" i="36"/>
  <c r="G375" i="36"/>
  <c r="F375" i="36"/>
  <c r="E375" i="36"/>
  <c r="D375" i="36"/>
  <c r="C375" i="36"/>
  <c r="B375" i="36"/>
  <c r="H374" i="36"/>
  <c r="G374" i="36"/>
  <c r="F374" i="36"/>
  <c r="E374" i="36"/>
  <c r="D374" i="36"/>
  <c r="C374" i="36"/>
  <c r="B374" i="36"/>
  <c r="H373" i="36"/>
  <c r="G373" i="36"/>
  <c r="F373" i="36"/>
  <c r="E373" i="36"/>
  <c r="D373" i="36"/>
  <c r="C373" i="36"/>
  <c r="B373" i="36"/>
  <c r="H372" i="36"/>
  <c r="G372" i="36"/>
  <c r="F372" i="36"/>
  <c r="E372" i="36"/>
  <c r="D372" i="36"/>
  <c r="C372" i="36"/>
  <c r="B372" i="36"/>
  <c r="H371" i="36"/>
  <c r="G371" i="36"/>
  <c r="F371" i="36"/>
  <c r="E371" i="36"/>
  <c r="D371" i="36"/>
  <c r="C371" i="36"/>
  <c r="B371" i="36"/>
  <c r="H370" i="36"/>
  <c r="G370" i="36"/>
  <c r="F370" i="36"/>
  <c r="E370" i="36"/>
  <c r="D370" i="36"/>
  <c r="C370" i="36"/>
  <c r="B370" i="36"/>
  <c r="H369" i="36"/>
  <c r="G369" i="36"/>
  <c r="F369" i="36"/>
  <c r="E369" i="36"/>
  <c r="D369" i="36"/>
  <c r="C369" i="36"/>
  <c r="B369" i="36"/>
  <c r="H368" i="36"/>
  <c r="G368" i="36"/>
  <c r="F368" i="36"/>
  <c r="E368" i="36"/>
  <c r="D368" i="36"/>
  <c r="C368" i="36"/>
  <c r="B368" i="36"/>
  <c r="H367" i="36"/>
  <c r="G367" i="36"/>
  <c r="F367" i="36"/>
  <c r="E367" i="36"/>
  <c r="D367" i="36"/>
  <c r="C367" i="36"/>
  <c r="B367" i="36"/>
  <c r="H366" i="36"/>
  <c r="G366" i="36"/>
  <c r="F366" i="36"/>
  <c r="E366" i="36"/>
  <c r="D366" i="36"/>
  <c r="C366" i="36"/>
  <c r="B366" i="36"/>
  <c r="H365" i="36"/>
  <c r="G365" i="36"/>
  <c r="F365" i="36"/>
  <c r="E365" i="36"/>
  <c r="D365" i="36"/>
  <c r="C365" i="36"/>
  <c r="B365" i="36"/>
  <c r="H364" i="36"/>
  <c r="G364" i="36"/>
  <c r="F364" i="36"/>
  <c r="E364" i="36"/>
  <c r="D364" i="36"/>
  <c r="C364" i="36"/>
  <c r="B364" i="36"/>
  <c r="H363" i="36"/>
  <c r="G363" i="36"/>
  <c r="F363" i="36"/>
  <c r="E363" i="36"/>
  <c r="D363" i="36"/>
  <c r="C363" i="36"/>
  <c r="B363" i="36"/>
  <c r="H362" i="36"/>
  <c r="G362" i="36"/>
  <c r="F362" i="36"/>
  <c r="E362" i="36"/>
  <c r="D362" i="36"/>
  <c r="C362" i="36"/>
  <c r="B362" i="36"/>
  <c r="H361" i="36"/>
  <c r="G361" i="36"/>
  <c r="F361" i="36"/>
  <c r="E361" i="36"/>
  <c r="D361" i="36"/>
  <c r="C361" i="36"/>
  <c r="B361" i="36"/>
  <c r="H360" i="36"/>
  <c r="G360" i="36"/>
  <c r="F360" i="36"/>
  <c r="E360" i="36"/>
  <c r="D360" i="36"/>
  <c r="C360" i="36"/>
  <c r="B360" i="36"/>
  <c r="H359" i="36"/>
  <c r="G359" i="36"/>
  <c r="F359" i="36"/>
  <c r="E359" i="36"/>
  <c r="D359" i="36"/>
  <c r="C359" i="36"/>
  <c r="B359" i="36"/>
  <c r="H358" i="36"/>
  <c r="G358" i="36"/>
  <c r="F358" i="36"/>
  <c r="E358" i="36"/>
  <c r="D358" i="36"/>
  <c r="C358" i="36"/>
  <c r="B358" i="36"/>
  <c r="H357" i="36"/>
  <c r="G357" i="36"/>
  <c r="F357" i="36"/>
  <c r="E357" i="36"/>
  <c r="D357" i="36"/>
  <c r="C357" i="36"/>
  <c r="B357" i="36"/>
  <c r="H356" i="36"/>
  <c r="G356" i="36"/>
  <c r="F356" i="36"/>
  <c r="E356" i="36"/>
  <c r="D356" i="36"/>
  <c r="C356" i="36"/>
  <c r="B356" i="36"/>
  <c r="H355" i="36"/>
  <c r="G355" i="36"/>
  <c r="F355" i="36"/>
  <c r="E355" i="36"/>
  <c r="D355" i="36"/>
  <c r="C355" i="36"/>
  <c r="B355" i="36"/>
  <c r="H354" i="36"/>
  <c r="G354" i="36"/>
  <c r="F354" i="36"/>
  <c r="E354" i="36"/>
  <c r="D354" i="36"/>
  <c r="C354" i="36"/>
  <c r="B354" i="36"/>
  <c r="H353" i="36"/>
  <c r="G353" i="36"/>
  <c r="F353" i="36"/>
  <c r="E353" i="36"/>
  <c r="D353" i="36"/>
  <c r="C353" i="36"/>
  <c r="B353" i="36"/>
  <c r="H352" i="36"/>
  <c r="G352" i="36"/>
  <c r="F352" i="36"/>
  <c r="E352" i="36"/>
  <c r="D352" i="36"/>
  <c r="C352" i="36"/>
  <c r="B352" i="36"/>
  <c r="H351" i="36"/>
  <c r="G351" i="36"/>
  <c r="F351" i="36"/>
  <c r="E351" i="36"/>
  <c r="D351" i="36"/>
  <c r="C351" i="36"/>
  <c r="B351" i="36"/>
  <c r="H350" i="36"/>
  <c r="G350" i="36"/>
  <c r="F350" i="36"/>
  <c r="E350" i="36"/>
  <c r="D350" i="36"/>
  <c r="C350" i="36"/>
  <c r="B350" i="36"/>
  <c r="H349" i="36"/>
  <c r="G349" i="36"/>
  <c r="F349" i="36"/>
  <c r="E349" i="36"/>
  <c r="D349" i="36"/>
  <c r="C349" i="36"/>
  <c r="B349" i="36"/>
  <c r="H348" i="36"/>
  <c r="G348" i="36"/>
  <c r="F348" i="36"/>
  <c r="E348" i="36"/>
  <c r="D348" i="36"/>
  <c r="C348" i="36"/>
  <c r="B348" i="36"/>
  <c r="H347" i="36"/>
  <c r="G347" i="36"/>
  <c r="F347" i="36"/>
  <c r="E347" i="36"/>
  <c r="D347" i="36"/>
  <c r="C347" i="36"/>
  <c r="B347" i="36"/>
  <c r="H346" i="36"/>
  <c r="G346" i="36"/>
  <c r="F346" i="36"/>
  <c r="E346" i="36"/>
  <c r="D346" i="36"/>
  <c r="C346" i="36"/>
  <c r="B346" i="36"/>
  <c r="H345" i="36"/>
  <c r="G345" i="36"/>
  <c r="F345" i="36"/>
  <c r="E345" i="36"/>
  <c r="D345" i="36"/>
  <c r="C345" i="36"/>
  <c r="B345" i="36"/>
  <c r="H344" i="36"/>
  <c r="G344" i="36"/>
  <c r="F344" i="36"/>
  <c r="E344" i="36"/>
  <c r="D344" i="36"/>
  <c r="C344" i="36"/>
  <c r="B344" i="36"/>
  <c r="H343" i="36"/>
  <c r="G343" i="36"/>
  <c r="F343" i="36"/>
  <c r="E343" i="36"/>
  <c r="D343" i="36"/>
  <c r="C343" i="36"/>
  <c r="B343" i="36"/>
  <c r="H342" i="36"/>
  <c r="G342" i="36"/>
  <c r="F342" i="36"/>
  <c r="E342" i="36"/>
  <c r="D342" i="36"/>
  <c r="C342" i="36"/>
  <c r="B342" i="36"/>
  <c r="H341" i="36"/>
  <c r="G341" i="36"/>
  <c r="F341" i="36"/>
  <c r="E341" i="36"/>
  <c r="D341" i="36"/>
  <c r="C341" i="36"/>
  <c r="B341" i="36"/>
  <c r="H340" i="36"/>
  <c r="G340" i="36"/>
  <c r="F340" i="36"/>
  <c r="E340" i="36"/>
  <c r="D340" i="36"/>
  <c r="C340" i="36"/>
  <c r="B340" i="36"/>
  <c r="H339" i="36"/>
  <c r="G339" i="36"/>
  <c r="F339" i="36"/>
  <c r="E339" i="36"/>
  <c r="D339" i="36"/>
  <c r="C339" i="36"/>
  <c r="B339" i="36"/>
  <c r="H338" i="36"/>
  <c r="G338" i="36"/>
  <c r="F338" i="36"/>
  <c r="E338" i="36"/>
  <c r="D338" i="36"/>
  <c r="C338" i="36"/>
  <c r="B338" i="36"/>
  <c r="H337" i="36"/>
  <c r="G337" i="36"/>
  <c r="F337" i="36"/>
  <c r="E337" i="36"/>
  <c r="D337" i="36"/>
  <c r="C337" i="36"/>
  <c r="B337" i="36"/>
  <c r="H336" i="36"/>
  <c r="G336" i="36"/>
  <c r="F336" i="36"/>
  <c r="E336" i="36"/>
  <c r="D336" i="36"/>
  <c r="C336" i="36"/>
  <c r="B336" i="36"/>
  <c r="H335" i="36"/>
  <c r="G335" i="36"/>
  <c r="F335" i="36"/>
  <c r="E335" i="36"/>
  <c r="D335" i="36"/>
  <c r="C335" i="36"/>
  <c r="B335" i="36"/>
  <c r="H334" i="36"/>
  <c r="G334" i="36"/>
  <c r="F334" i="36"/>
  <c r="E334" i="36"/>
  <c r="D334" i="36"/>
  <c r="C334" i="36"/>
  <c r="B334" i="36"/>
  <c r="H333" i="36"/>
  <c r="G333" i="36"/>
  <c r="F333" i="36"/>
  <c r="E333" i="36"/>
  <c r="D333" i="36"/>
  <c r="C333" i="36"/>
  <c r="B333" i="36"/>
  <c r="H332" i="36"/>
  <c r="G332" i="36"/>
  <c r="F332" i="36"/>
  <c r="E332" i="36"/>
  <c r="D332" i="36"/>
  <c r="C332" i="36"/>
  <c r="B332" i="36"/>
  <c r="H331" i="36"/>
  <c r="G331" i="36"/>
  <c r="F331" i="36"/>
  <c r="E331" i="36"/>
  <c r="D331" i="36"/>
  <c r="C331" i="36"/>
  <c r="B331" i="36"/>
  <c r="H330" i="36"/>
  <c r="G330" i="36"/>
  <c r="F330" i="36"/>
  <c r="E330" i="36"/>
  <c r="D330" i="36"/>
  <c r="C330" i="36"/>
  <c r="B330" i="36"/>
  <c r="H329" i="36"/>
  <c r="G329" i="36"/>
  <c r="F329" i="36"/>
  <c r="E329" i="36"/>
  <c r="D329" i="36"/>
  <c r="C329" i="36"/>
  <c r="B329" i="36"/>
  <c r="H328" i="36"/>
  <c r="G328" i="36"/>
  <c r="F328" i="36"/>
  <c r="E328" i="36"/>
  <c r="D328" i="36"/>
  <c r="C328" i="36"/>
  <c r="B328" i="36"/>
  <c r="H327" i="36"/>
  <c r="G327" i="36"/>
  <c r="F327" i="36"/>
  <c r="E327" i="36"/>
  <c r="D327" i="36"/>
  <c r="C327" i="36"/>
  <c r="B327" i="36"/>
  <c r="H326" i="36"/>
  <c r="G326" i="36"/>
  <c r="F326" i="36"/>
  <c r="E326" i="36"/>
  <c r="D326" i="36"/>
  <c r="C326" i="36"/>
  <c r="B326" i="36"/>
  <c r="H325" i="36"/>
  <c r="G325" i="36"/>
  <c r="F325" i="36"/>
  <c r="E325" i="36"/>
  <c r="D325" i="36"/>
  <c r="C325" i="36"/>
  <c r="B325" i="36"/>
  <c r="H324" i="36"/>
  <c r="G324" i="36"/>
  <c r="F324" i="36"/>
  <c r="E324" i="36"/>
  <c r="D324" i="36"/>
  <c r="C324" i="36"/>
  <c r="B324" i="36"/>
  <c r="H323" i="36"/>
  <c r="G323" i="36"/>
  <c r="F323" i="36"/>
  <c r="E323" i="36"/>
  <c r="D323" i="36"/>
  <c r="C323" i="36"/>
  <c r="B323" i="36"/>
  <c r="H322" i="36"/>
  <c r="G322" i="36"/>
  <c r="F322" i="36"/>
  <c r="E322" i="36"/>
  <c r="D322" i="36"/>
  <c r="C322" i="36"/>
  <c r="B322" i="36"/>
  <c r="H321" i="36"/>
  <c r="G321" i="36"/>
  <c r="F321" i="36"/>
  <c r="E321" i="36"/>
  <c r="D321" i="36"/>
  <c r="C321" i="36"/>
  <c r="B321" i="36"/>
  <c r="H320" i="36"/>
  <c r="G320" i="36"/>
  <c r="F320" i="36"/>
  <c r="E320" i="36"/>
  <c r="D320" i="36"/>
  <c r="C320" i="36"/>
  <c r="B320" i="36"/>
  <c r="H319" i="36"/>
  <c r="G319" i="36"/>
  <c r="F319" i="36"/>
  <c r="E319" i="36"/>
  <c r="D319" i="36"/>
  <c r="C319" i="36"/>
  <c r="B319" i="36"/>
  <c r="H318" i="36"/>
  <c r="G318" i="36"/>
  <c r="F318" i="36"/>
  <c r="E318" i="36"/>
  <c r="D318" i="36"/>
  <c r="C318" i="36"/>
  <c r="B318" i="36"/>
  <c r="H317" i="36"/>
  <c r="G317" i="36"/>
  <c r="F317" i="36"/>
  <c r="E317" i="36"/>
  <c r="D317" i="36"/>
  <c r="C317" i="36"/>
  <c r="B317" i="36"/>
  <c r="H316" i="36"/>
  <c r="G316" i="36"/>
  <c r="F316" i="36"/>
  <c r="E316" i="36"/>
  <c r="D316" i="36"/>
  <c r="C316" i="36"/>
  <c r="B316" i="36"/>
  <c r="H315" i="36"/>
  <c r="G315" i="36"/>
  <c r="F315" i="36"/>
  <c r="E315" i="36"/>
  <c r="D315" i="36"/>
  <c r="C315" i="36"/>
  <c r="B315" i="36"/>
  <c r="H314" i="36"/>
  <c r="G314" i="36"/>
  <c r="F314" i="36"/>
  <c r="E314" i="36"/>
  <c r="D314" i="36"/>
  <c r="C314" i="36"/>
  <c r="B314" i="36"/>
  <c r="H313" i="36"/>
  <c r="G313" i="36"/>
  <c r="F313" i="36"/>
  <c r="E313" i="36"/>
  <c r="D313" i="36"/>
  <c r="C313" i="36"/>
  <c r="B313" i="36"/>
  <c r="H312" i="36"/>
  <c r="G312" i="36"/>
  <c r="F312" i="36"/>
  <c r="E312" i="36"/>
  <c r="D312" i="36"/>
  <c r="C312" i="36"/>
  <c r="B312" i="36"/>
  <c r="H311" i="36"/>
  <c r="G311" i="36"/>
  <c r="F311" i="36"/>
  <c r="E311" i="36"/>
  <c r="D311" i="36"/>
  <c r="C311" i="36"/>
  <c r="B311" i="36"/>
  <c r="H310" i="36"/>
  <c r="G310" i="36"/>
  <c r="F310" i="36"/>
  <c r="E310" i="36"/>
  <c r="D310" i="36"/>
  <c r="C310" i="36"/>
  <c r="B310" i="36"/>
  <c r="H309" i="36"/>
  <c r="G309" i="36"/>
  <c r="F309" i="36"/>
  <c r="E309" i="36"/>
  <c r="D309" i="36"/>
  <c r="C309" i="36"/>
  <c r="B309" i="36"/>
  <c r="H308" i="36"/>
  <c r="G308" i="36"/>
  <c r="F308" i="36"/>
  <c r="E308" i="36"/>
  <c r="D308" i="36"/>
  <c r="C308" i="36"/>
  <c r="B308" i="36"/>
  <c r="H307" i="36"/>
  <c r="G307" i="36"/>
  <c r="F307" i="36"/>
  <c r="E307" i="36"/>
  <c r="D307" i="36"/>
  <c r="C307" i="36"/>
  <c r="B307" i="36"/>
  <c r="H306" i="36"/>
  <c r="G306" i="36"/>
  <c r="F306" i="36"/>
  <c r="E306" i="36"/>
  <c r="D306" i="36"/>
  <c r="C306" i="36"/>
  <c r="B306" i="36"/>
  <c r="H305" i="36"/>
  <c r="G305" i="36"/>
  <c r="F305" i="36"/>
  <c r="E305" i="36"/>
  <c r="D305" i="36"/>
  <c r="C305" i="36"/>
  <c r="B305" i="36"/>
  <c r="H304" i="36"/>
  <c r="G304" i="36"/>
  <c r="F304" i="36"/>
  <c r="E304" i="36"/>
  <c r="D304" i="36"/>
  <c r="C304" i="36"/>
  <c r="B304" i="36"/>
  <c r="H303" i="36"/>
  <c r="G303" i="36"/>
  <c r="F303" i="36"/>
  <c r="E303" i="36"/>
  <c r="D303" i="36"/>
  <c r="C303" i="36"/>
  <c r="B303" i="36"/>
  <c r="H302" i="36"/>
  <c r="G302" i="36"/>
  <c r="F302" i="36"/>
  <c r="E302" i="36"/>
  <c r="D302" i="36"/>
  <c r="C302" i="36"/>
  <c r="B302" i="36"/>
  <c r="H301" i="36"/>
  <c r="G301" i="36"/>
  <c r="F301" i="36"/>
  <c r="E301" i="36"/>
  <c r="D301" i="36"/>
  <c r="C301" i="36"/>
  <c r="B301" i="36"/>
  <c r="H300" i="36"/>
  <c r="G300" i="36"/>
  <c r="F300" i="36"/>
  <c r="E300" i="36"/>
  <c r="D300" i="36"/>
  <c r="C300" i="36"/>
  <c r="B300" i="36"/>
  <c r="H299" i="36"/>
  <c r="G299" i="36"/>
  <c r="F299" i="36"/>
  <c r="E299" i="36"/>
  <c r="D299" i="36"/>
  <c r="C299" i="36"/>
  <c r="B299" i="36"/>
  <c r="H298" i="36"/>
  <c r="G298" i="36"/>
  <c r="F298" i="36"/>
  <c r="E298" i="36"/>
  <c r="D298" i="36"/>
  <c r="C298" i="36"/>
  <c r="B298" i="36"/>
  <c r="H297" i="36"/>
  <c r="G297" i="36"/>
  <c r="F297" i="36"/>
  <c r="E297" i="36"/>
  <c r="D297" i="36"/>
  <c r="C297" i="36"/>
  <c r="B297" i="36"/>
  <c r="H296" i="36"/>
  <c r="G296" i="36"/>
  <c r="F296" i="36"/>
  <c r="E296" i="36"/>
  <c r="D296" i="36"/>
  <c r="C296" i="36"/>
  <c r="B296" i="36"/>
  <c r="H295" i="36"/>
  <c r="G295" i="36"/>
  <c r="F295" i="36"/>
  <c r="E295" i="36"/>
  <c r="D295" i="36"/>
  <c r="C295" i="36"/>
  <c r="B295" i="36"/>
  <c r="H294" i="36"/>
  <c r="G294" i="36"/>
  <c r="F294" i="36"/>
  <c r="E294" i="36"/>
  <c r="D294" i="36"/>
  <c r="C294" i="36"/>
  <c r="B294" i="36"/>
  <c r="H293" i="36"/>
  <c r="G293" i="36"/>
  <c r="F293" i="36"/>
  <c r="E293" i="36"/>
  <c r="D293" i="36"/>
  <c r="C293" i="36"/>
  <c r="B293" i="36"/>
  <c r="H292" i="36"/>
  <c r="G292" i="36"/>
  <c r="F292" i="36"/>
  <c r="E292" i="36"/>
  <c r="D292" i="36"/>
  <c r="C292" i="36"/>
  <c r="B292" i="36"/>
  <c r="H291" i="36"/>
  <c r="G291" i="36"/>
  <c r="F291" i="36"/>
  <c r="E291" i="36"/>
  <c r="D291" i="36"/>
  <c r="C291" i="36"/>
  <c r="B291" i="36"/>
  <c r="H290" i="36"/>
  <c r="G290" i="36"/>
  <c r="F290" i="36"/>
  <c r="E290" i="36"/>
  <c r="D290" i="36"/>
  <c r="C290" i="36"/>
  <c r="B290" i="36"/>
  <c r="H289" i="36"/>
  <c r="G289" i="36"/>
  <c r="F289" i="36"/>
  <c r="E289" i="36"/>
  <c r="D289" i="36"/>
  <c r="C289" i="36"/>
  <c r="B289" i="36"/>
  <c r="H288" i="36"/>
  <c r="G288" i="36"/>
  <c r="F288" i="36"/>
  <c r="E288" i="36"/>
  <c r="D288" i="36"/>
  <c r="C288" i="36"/>
  <c r="B288" i="36"/>
  <c r="H287" i="36"/>
  <c r="G287" i="36"/>
  <c r="F287" i="36"/>
  <c r="E287" i="36"/>
  <c r="D287" i="36"/>
  <c r="C287" i="36"/>
  <c r="B287" i="36"/>
  <c r="H286" i="36"/>
  <c r="G286" i="36"/>
  <c r="F286" i="36"/>
  <c r="E286" i="36"/>
  <c r="D286" i="36"/>
  <c r="C286" i="36"/>
  <c r="B286" i="36"/>
  <c r="H285" i="36"/>
  <c r="G285" i="36"/>
  <c r="F285" i="36"/>
  <c r="E285" i="36"/>
  <c r="D285" i="36"/>
  <c r="C285" i="36"/>
  <c r="B285" i="36"/>
  <c r="H284" i="36"/>
  <c r="G284" i="36"/>
  <c r="F284" i="36"/>
  <c r="E284" i="36"/>
  <c r="D284" i="36"/>
  <c r="C284" i="36"/>
  <c r="B284" i="36"/>
  <c r="H283" i="36"/>
  <c r="G283" i="36"/>
  <c r="F283" i="36"/>
  <c r="E283" i="36"/>
  <c r="D283" i="36"/>
  <c r="C283" i="36"/>
  <c r="B283" i="36"/>
  <c r="H282" i="36"/>
  <c r="G282" i="36"/>
  <c r="F282" i="36"/>
  <c r="E282" i="36"/>
  <c r="D282" i="36"/>
  <c r="C282" i="36"/>
  <c r="B282" i="36"/>
  <c r="H281" i="36"/>
  <c r="G281" i="36"/>
  <c r="F281" i="36"/>
  <c r="E281" i="36"/>
  <c r="D281" i="36"/>
  <c r="C281" i="36"/>
  <c r="B281" i="36"/>
  <c r="H280" i="36"/>
  <c r="G280" i="36"/>
  <c r="F280" i="36"/>
  <c r="E280" i="36"/>
  <c r="D280" i="36"/>
  <c r="C280" i="36"/>
  <c r="B280" i="36"/>
  <c r="H279" i="36"/>
  <c r="G279" i="36"/>
  <c r="F279" i="36"/>
  <c r="E279" i="36"/>
  <c r="D279" i="36"/>
  <c r="C279" i="36"/>
  <c r="B279" i="36"/>
  <c r="H278" i="36"/>
  <c r="G278" i="36"/>
  <c r="F278" i="36"/>
  <c r="E278" i="36"/>
  <c r="D278" i="36"/>
  <c r="C278" i="36"/>
  <c r="B278" i="36"/>
  <c r="H277" i="36"/>
  <c r="G277" i="36"/>
  <c r="F277" i="36"/>
  <c r="E277" i="36"/>
  <c r="D277" i="36"/>
  <c r="C277" i="36"/>
  <c r="B277" i="36"/>
  <c r="H276" i="36"/>
  <c r="G276" i="36"/>
  <c r="F276" i="36"/>
  <c r="E276" i="36"/>
  <c r="D276" i="36"/>
  <c r="C276" i="36"/>
  <c r="B276" i="36"/>
  <c r="H275" i="36"/>
  <c r="G275" i="36"/>
  <c r="F275" i="36"/>
  <c r="E275" i="36"/>
  <c r="D275" i="36"/>
  <c r="C275" i="36"/>
  <c r="B275" i="36"/>
  <c r="H274" i="36"/>
  <c r="G274" i="36"/>
  <c r="F274" i="36"/>
  <c r="E274" i="36"/>
  <c r="D274" i="36"/>
  <c r="C274" i="36"/>
  <c r="B274" i="36"/>
  <c r="H273" i="36"/>
  <c r="G273" i="36"/>
  <c r="F273" i="36"/>
  <c r="E273" i="36"/>
  <c r="D273" i="36"/>
  <c r="C273" i="36"/>
  <c r="B273" i="36"/>
  <c r="H272" i="36"/>
  <c r="G272" i="36"/>
  <c r="F272" i="36"/>
  <c r="E272" i="36"/>
  <c r="D272" i="36"/>
  <c r="C272" i="36"/>
  <c r="B272" i="36"/>
  <c r="H271" i="36"/>
  <c r="G271" i="36"/>
  <c r="F271" i="36"/>
  <c r="E271" i="36"/>
  <c r="D271" i="36"/>
  <c r="C271" i="36"/>
  <c r="B271" i="36"/>
  <c r="H270" i="36"/>
  <c r="G270" i="36"/>
  <c r="F270" i="36"/>
  <c r="E270" i="36"/>
  <c r="D270" i="36"/>
  <c r="C270" i="36"/>
  <c r="B270" i="36"/>
  <c r="H269" i="36"/>
  <c r="G269" i="36"/>
  <c r="F269" i="36"/>
  <c r="E269" i="36"/>
  <c r="D269" i="36"/>
  <c r="C269" i="36"/>
  <c r="B269" i="36"/>
  <c r="H268" i="36"/>
  <c r="G268" i="36"/>
  <c r="F268" i="36"/>
  <c r="E268" i="36"/>
  <c r="D268" i="36"/>
  <c r="C268" i="36"/>
  <c r="B268" i="36"/>
  <c r="H267" i="36"/>
  <c r="G267" i="36"/>
  <c r="F267" i="36"/>
  <c r="E267" i="36"/>
  <c r="D267" i="36"/>
  <c r="C267" i="36"/>
  <c r="B267" i="36"/>
  <c r="H266" i="36"/>
  <c r="G266" i="36"/>
  <c r="F266" i="36"/>
  <c r="E266" i="36"/>
  <c r="D266" i="36"/>
  <c r="C266" i="36"/>
  <c r="B266" i="36"/>
  <c r="H265" i="36"/>
  <c r="G265" i="36"/>
  <c r="F265" i="36"/>
  <c r="E265" i="36"/>
  <c r="D265" i="36"/>
  <c r="C265" i="36"/>
  <c r="B265" i="36"/>
  <c r="H264" i="36"/>
  <c r="G264" i="36"/>
  <c r="F264" i="36"/>
  <c r="E264" i="36"/>
  <c r="D264" i="36"/>
  <c r="C264" i="36"/>
  <c r="B264" i="36"/>
  <c r="H263" i="36"/>
  <c r="G263" i="36"/>
  <c r="F263" i="36"/>
  <c r="E263" i="36"/>
  <c r="D263" i="36"/>
  <c r="C263" i="36"/>
  <c r="B263" i="36"/>
  <c r="H262" i="36"/>
  <c r="G262" i="36"/>
  <c r="F262" i="36"/>
  <c r="E262" i="36"/>
  <c r="D262" i="36"/>
  <c r="C262" i="36"/>
  <c r="B262" i="36"/>
  <c r="H261" i="36"/>
  <c r="G261" i="36"/>
  <c r="F261" i="36"/>
  <c r="E261" i="36"/>
  <c r="D261" i="36"/>
  <c r="C261" i="36"/>
  <c r="B261" i="36"/>
  <c r="H260" i="36"/>
  <c r="G260" i="36"/>
  <c r="F260" i="36"/>
  <c r="E260" i="36"/>
  <c r="D260" i="36"/>
  <c r="C260" i="36"/>
  <c r="B260" i="36"/>
  <c r="H259" i="36"/>
  <c r="G259" i="36"/>
  <c r="F259" i="36"/>
  <c r="E259" i="36"/>
  <c r="D259" i="36"/>
  <c r="C259" i="36"/>
  <c r="B259" i="36"/>
  <c r="H258" i="36"/>
  <c r="G258" i="36"/>
  <c r="F258" i="36"/>
  <c r="E258" i="36"/>
  <c r="D258" i="36"/>
  <c r="C258" i="36"/>
  <c r="B258" i="36"/>
  <c r="H257" i="36"/>
  <c r="G257" i="36"/>
  <c r="F257" i="36"/>
  <c r="E257" i="36"/>
  <c r="D257" i="36"/>
  <c r="C257" i="36"/>
  <c r="B257" i="36"/>
  <c r="H256" i="36"/>
  <c r="G256" i="36"/>
  <c r="F256" i="36"/>
  <c r="E256" i="36"/>
  <c r="D256" i="36"/>
  <c r="C256" i="36"/>
  <c r="B256" i="36"/>
  <c r="H255" i="36"/>
  <c r="G255" i="36"/>
  <c r="F255" i="36"/>
  <c r="E255" i="36"/>
  <c r="D255" i="36"/>
  <c r="C255" i="36"/>
  <c r="B255" i="36"/>
  <c r="H254" i="36"/>
  <c r="G254" i="36"/>
  <c r="F254" i="36"/>
  <c r="E254" i="36"/>
  <c r="D254" i="36"/>
  <c r="C254" i="36"/>
  <c r="B254" i="36"/>
  <c r="H253" i="36"/>
  <c r="G253" i="36"/>
  <c r="F253" i="36"/>
  <c r="E253" i="36"/>
  <c r="D253" i="36"/>
  <c r="C253" i="36"/>
  <c r="B253" i="36"/>
  <c r="H252" i="36"/>
  <c r="G252" i="36"/>
  <c r="F252" i="36"/>
  <c r="E252" i="36"/>
  <c r="D252" i="36"/>
  <c r="C252" i="36"/>
  <c r="B252" i="36"/>
  <c r="H251" i="36"/>
  <c r="G251" i="36"/>
  <c r="F251" i="36"/>
  <c r="E251" i="36"/>
  <c r="D251" i="36"/>
  <c r="C251" i="36"/>
  <c r="B251" i="36"/>
  <c r="H250" i="36"/>
  <c r="G250" i="36"/>
  <c r="F250" i="36"/>
  <c r="E250" i="36"/>
  <c r="D250" i="36"/>
  <c r="C250" i="36"/>
  <c r="B250" i="36"/>
  <c r="H249" i="36"/>
  <c r="G249" i="36"/>
  <c r="F249" i="36"/>
  <c r="E249" i="36"/>
  <c r="D249" i="36"/>
  <c r="C249" i="36"/>
  <c r="B249" i="36"/>
  <c r="H248" i="36"/>
  <c r="G248" i="36"/>
  <c r="F248" i="36"/>
  <c r="E248" i="36"/>
  <c r="D248" i="36"/>
  <c r="C248" i="36"/>
  <c r="B248" i="36"/>
  <c r="H247" i="36"/>
  <c r="G247" i="36"/>
  <c r="F247" i="36"/>
  <c r="E247" i="36"/>
  <c r="D247" i="36"/>
  <c r="C247" i="36"/>
  <c r="B247" i="36"/>
  <c r="H246" i="36"/>
  <c r="G246" i="36"/>
  <c r="F246" i="36"/>
  <c r="E246" i="36"/>
  <c r="D246" i="36"/>
  <c r="C246" i="36"/>
  <c r="B246" i="36"/>
  <c r="H245" i="36"/>
  <c r="G245" i="36"/>
  <c r="F245" i="36"/>
  <c r="E245" i="36"/>
  <c r="D245" i="36"/>
  <c r="C245" i="36"/>
  <c r="B245" i="36"/>
  <c r="H244" i="36"/>
  <c r="G244" i="36"/>
  <c r="F244" i="36"/>
  <c r="E244" i="36"/>
  <c r="D244" i="36"/>
  <c r="C244" i="36"/>
  <c r="B244" i="36"/>
  <c r="H243" i="36"/>
  <c r="G243" i="36"/>
  <c r="F243" i="36"/>
  <c r="E243" i="36"/>
  <c r="D243" i="36"/>
  <c r="C243" i="36"/>
  <c r="B243" i="36"/>
  <c r="H242" i="36"/>
  <c r="G242" i="36"/>
  <c r="F242" i="36"/>
  <c r="E242" i="36"/>
  <c r="D242" i="36"/>
  <c r="C242" i="36"/>
  <c r="B242" i="36"/>
  <c r="H241" i="36"/>
  <c r="G241" i="36"/>
  <c r="F241" i="36"/>
  <c r="E241" i="36"/>
  <c r="D241" i="36"/>
  <c r="C241" i="36"/>
  <c r="B241" i="36"/>
  <c r="H240" i="36"/>
  <c r="G240" i="36"/>
  <c r="F240" i="36"/>
  <c r="E240" i="36"/>
  <c r="D240" i="36"/>
  <c r="C240" i="36"/>
  <c r="B240" i="36"/>
  <c r="H239" i="36"/>
  <c r="G239" i="36"/>
  <c r="F239" i="36"/>
  <c r="E239" i="36"/>
  <c r="D239" i="36"/>
  <c r="C239" i="36"/>
  <c r="B239" i="36"/>
  <c r="H238" i="36"/>
  <c r="G238" i="36"/>
  <c r="F238" i="36"/>
  <c r="E238" i="36"/>
  <c r="D238" i="36"/>
  <c r="C238" i="36"/>
  <c r="B238" i="36"/>
  <c r="H237" i="36"/>
  <c r="G237" i="36"/>
  <c r="F237" i="36"/>
  <c r="E237" i="36"/>
  <c r="D237" i="36"/>
  <c r="C237" i="36"/>
  <c r="B237" i="36"/>
  <c r="H236" i="36"/>
  <c r="G236" i="36"/>
  <c r="F236" i="36"/>
  <c r="E236" i="36"/>
  <c r="D236" i="36"/>
  <c r="C236" i="36"/>
  <c r="B236" i="36"/>
  <c r="H235" i="36"/>
  <c r="G235" i="36"/>
  <c r="F235" i="36"/>
  <c r="E235" i="36"/>
  <c r="D235" i="36"/>
  <c r="C235" i="36"/>
  <c r="B235" i="36"/>
  <c r="H234" i="36"/>
  <c r="G234" i="36"/>
  <c r="F234" i="36"/>
  <c r="E234" i="36"/>
  <c r="D234" i="36"/>
  <c r="C234" i="36"/>
  <c r="B234" i="36"/>
  <c r="H233" i="36"/>
  <c r="G233" i="36"/>
  <c r="F233" i="36"/>
  <c r="E233" i="36"/>
  <c r="D233" i="36"/>
  <c r="C233" i="36"/>
  <c r="B233" i="36"/>
  <c r="H232" i="36"/>
  <c r="G232" i="36"/>
  <c r="F232" i="36"/>
  <c r="E232" i="36"/>
  <c r="D232" i="36"/>
  <c r="C232" i="36"/>
  <c r="B232" i="36"/>
  <c r="H231" i="36"/>
  <c r="G231" i="36"/>
  <c r="F231" i="36"/>
  <c r="E231" i="36"/>
  <c r="D231" i="36"/>
  <c r="C231" i="36"/>
  <c r="B231" i="36"/>
  <c r="H230" i="36"/>
  <c r="G230" i="36"/>
  <c r="F230" i="36"/>
  <c r="E230" i="36"/>
  <c r="D230" i="36"/>
  <c r="C230" i="36"/>
  <c r="B230" i="36"/>
  <c r="H229" i="36"/>
  <c r="G229" i="36"/>
  <c r="F229" i="36"/>
  <c r="E229" i="36"/>
  <c r="D229" i="36"/>
  <c r="C229" i="36"/>
  <c r="B229" i="36"/>
  <c r="H228" i="36"/>
  <c r="G228" i="36"/>
  <c r="F228" i="36"/>
  <c r="E228" i="36"/>
  <c r="D228" i="36"/>
  <c r="C228" i="36"/>
  <c r="B228" i="36"/>
  <c r="H227" i="36"/>
  <c r="G227" i="36"/>
  <c r="F227" i="36"/>
  <c r="E227" i="36"/>
  <c r="D227" i="36"/>
  <c r="C227" i="36"/>
  <c r="B227" i="36"/>
  <c r="H226" i="36"/>
  <c r="G226" i="36"/>
  <c r="F226" i="36"/>
  <c r="E226" i="36"/>
  <c r="D226" i="36"/>
  <c r="C226" i="36"/>
  <c r="B226" i="36"/>
  <c r="H225" i="36"/>
  <c r="G225" i="36"/>
  <c r="F225" i="36"/>
  <c r="E225" i="36"/>
  <c r="D225" i="36"/>
  <c r="C225" i="36"/>
  <c r="B225" i="36"/>
  <c r="H224" i="36"/>
  <c r="G224" i="36"/>
  <c r="F224" i="36"/>
  <c r="E224" i="36"/>
  <c r="D224" i="36"/>
  <c r="C224" i="36"/>
  <c r="B224" i="36"/>
  <c r="H223" i="36"/>
  <c r="G223" i="36"/>
  <c r="F223" i="36"/>
  <c r="E223" i="36"/>
  <c r="D223" i="36"/>
  <c r="C223" i="36"/>
  <c r="B223" i="36"/>
  <c r="H222" i="36"/>
  <c r="G222" i="36"/>
  <c r="F222" i="36"/>
  <c r="E222" i="36"/>
  <c r="D222" i="36"/>
  <c r="C222" i="36"/>
  <c r="B222" i="36"/>
  <c r="H221" i="36"/>
  <c r="G221" i="36"/>
  <c r="F221" i="36"/>
  <c r="E221" i="36"/>
  <c r="D221" i="36"/>
  <c r="C221" i="36"/>
  <c r="B221" i="36"/>
  <c r="H220" i="36"/>
  <c r="G220" i="36"/>
  <c r="F220" i="36"/>
  <c r="E220" i="36"/>
  <c r="D220" i="36"/>
  <c r="C220" i="36"/>
  <c r="B220" i="36"/>
  <c r="H219" i="36"/>
  <c r="G219" i="36"/>
  <c r="F219" i="36"/>
  <c r="E219" i="36"/>
  <c r="D219" i="36"/>
  <c r="C219" i="36"/>
  <c r="B219" i="36"/>
  <c r="H218" i="36"/>
  <c r="G218" i="36"/>
  <c r="F218" i="36"/>
  <c r="E218" i="36"/>
  <c r="D218" i="36"/>
  <c r="C218" i="36"/>
  <c r="B218" i="36"/>
  <c r="H217" i="36"/>
  <c r="G217" i="36"/>
  <c r="F217" i="36"/>
  <c r="E217" i="36"/>
  <c r="D217" i="36"/>
  <c r="C217" i="36"/>
  <c r="B217" i="36"/>
  <c r="H216" i="36"/>
  <c r="G216" i="36"/>
  <c r="F216" i="36"/>
  <c r="E216" i="36"/>
  <c r="D216" i="36"/>
  <c r="C216" i="36"/>
  <c r="B216" i="36"/>
  <c r="H215" i="36"/>
  <c r="G215" i="36"/>
  <c r="F215" i="36"/>
  <c r="E215" i="36"/>
  <c r="D215" i="36"/>
  <c r="C215" i="36"/>
  <c r="B215" i="36"/>
  <c r="H214" i="36"/>
  <c r="G214" i="36"/>
  <c r="F214" i="36"/>
  <c r="E214" i="36"/>
  <c r="D214" i="36"/>
  <c r="C214" i="36"/>
  <c r="B214" i="36"/>
  <c r="H213" i="36"/>
  <c r="G213" i="36"/>
  <c r="F213" i="36"/>
  <c r="E213" i="36"/>
  <c r="D213" i="36"/>
  <c r="C213" i="36"/>
  <c r="B213" i="36"/>
  <c r="H212" i="36"/>
  <c r="G212" i="36"/>
  <c r="F212" i="36"/>
  <c r="E212" i="36"/>
  <c r="D212" i="36"/>
  <c r="C212" i="36"/>
  <c r="B212" i="36"/>
  <c r="H211" i="36"/>
  <c r="G211" i="36"/>
  <c r="F211" i="36"/>
  <c r="E211" i="36"/>
  <c r="D211" i="36"/>
  <c r="C211" i="36"/>
  <c r="B211" i="36"/>
  <c r="H210" i="36"/>
  <c r="G210" i="36"/>
  <c r="F210" i="36"/>
  <c r="E210" i="36"/>
  <c r="D210" i="36"/>
  <c r="C210" i="36"/>
  <c r="B210" i="36"/>
  <c r="H209" i="36"/>
  <c r="G209" i="36"/>
  <c r="F209" i="36"/>
  <c r="E209" i="36"/>
  <c r="D209" i="36"/>
  <c r="C209" i="36"/>
  <c r="B209" i="36"/>
  <c r="H208" i="36"/>
  <c r="G208" i="36"/>
  <c r="F208" i="36"/>
  <c r="E208" i="36"/>
  <c r="D208" i="36"/>
  <c r="C208" i="36"/>
  <c r="B208" i="36"/>
  <c r="H207" i="36"/>
  <c r="G207" i="36"/>
  <c r="F207" i="36"/>
  <c r="E207" i="36"/>
  <c r="D207" i="36"/>
  <c r="C207" i="36"/>
  <c r="B207" i="36"/>
  <c r="H206" i="36"/>
  <c r="G206" i="36"/>
  <c r="F206" i="36"/>
  <c r="E206" i="36"/>
  <c r="D206" i="36"/>
  <c r="C206" i="36"/>
  <c r="B206" i="36"/>
  <c r="H205" i="36"/>
  <c r="G205" i="36"/>
  <c r="F205" i="36"/>
  <c r="E205" i="36"/>
  <c r="D205" i="36"/>
  <c r="C205" i="36"/>
  <c r="B205" i="36"/>
  <c r="H204" i="36"/>
  <c r="G204" i="36"/>
  <c r="F204" i="36"/>
  <c r="E204" i="36"/>
  <c r="D204" i="36"/>
  <c r="C204" i="36"/>
  <c r="B204" i="36"/>
  <c r="H203" i="36"/>
  <c r="G203" i="36"/>
  <c r="F203" i="36"/>
  <c r="E203" i="36"/>
  <c r="D203" i="36"/>
  <c r="C203" i="36"/>
  <c r="B203" i="36"/>
  <c r="H202" i="36"/>
  <c r="G202" i="36"/>
  <c r="F202" i="36"/>
  <c r="E202" i="36"/>
  <c r="D202" i="36"/>
  <c r="C202" i="36"/>
  <c r="B202" i="36"/>
  <c r="H201" i="36"/>
  <c r="G201" i="36"/>
  <c r="F201" i="36"/>
  <c r="E201" i="36"/>
  <c r="D201" i="36"/>
  <c r="C201" i="36"/>
  <c r="B201" i="36"/>
  <c r="H200" i="36"/>
  <c r="G200" i="36"/>
  <c r="F200" i="36"/>
  <c r="E200" i="36"/>
  <c r="D200" i="36"/>
  <c r="C200" i="36"/>
  <c r="B200" i="36"/>
  <c r="H199" i="36"/>
  <c r="G199" i="36"/>
  <c r="F199" i="36"/>
  <c r="E199" i="36"/>
  <c r="D199" i="36"/>
  <c r="C199" i="36"/>
  <c r="B199" i="36"/>
  <c r="H198" i="36"/>
  <c r="G198" i="36"/>
  <c r="F198" i="36"/>
  <c r="E198" i="36"/>
  <c r="D198" i="36"/>
  <c r="C198" i="36"/>
  <c r="B198" i="36"/>
  <c r="H197" i="36"/>
  <c r="G197" i="36"/>
  <c r="F197" i="36"/>
  <c r="E197" i="36"/>
  <c r="D197" i="36"/>
  <c r="C197" i="36"/>
  <c r="B197" i="36"/>
  <c r="H196" i="36"/>
  <c r="G196" i="36"/>
  <c r="F196" i="36"/>
  <c r="E196" i="36"/>
  <c r="D196" i="36"/>
  <c r="C196" i="36"/>
  <c r="B196" i="36"/>
  <c r="H195" i="36"/>
  <c r="G195" i="36"/>
  <c r="F195" i="36"/>
  <c r="E195" i="36"/>
  <c r="D195" i="36"/>
  <c r="C195" i="36"/>
  <c r="B195" i="36"/>
  <c r="H194" i="36"/>
  <c r="G194" i="36"/>
  <c r="F194" i="36"/>
  <c r="E194" i="36"/>
  <c r="D194" i="36"/>
  <c r="C194" i="36"/>
  <c r="B194" i="36"/>
  <c r="H193" i="36"/>
  <c r="G193" i="36"/>
  <c r="F193" i="36"/>
  <c r="E193" i="36"/>
  <c r="D193" i="36"/>
  <c r="C193" i="36"/>
  <c r="B193" i="36"/>
  <c r="H192" i="36"/>
  <c r="G192" i="36"/>
  <c r="F192" i="36"/>
  <c r="E192" i="36"/>
  <c r="D192" i="36"/>
  <c r="C192" i="36"/>
  <c r="B192" i="36"/>
  <c r="H191" i="36"/>
  <c r="G191" i="36"/>
  <c r="F191" i="36"/>
  <c r="E191" i="36"/>
  <c r="D191" i="36"/>
  <c r="C191" i="36"/>
  <c r="B191" i="36"/>
  <c r="H190" i="36"/>
  <c r="G190" i="36"/>
  <c r="F190" i="36"/>
  <c r="E190" i="36"/>
  <c r="D190" i="36"/>
  <c r="C190" i="36"/>
  <c r="B190" i="36"/>
  <c r="H189" i="36"/>
  <c r="G189" i="36"/>
  <c r="F189" i="36"/>
  <c r="E189" i="36"/>
  <c r="D189" i="36"/>
  <c r="C189" i="36"/>
  <c r="B189" i="36"/>
  <c r="H188" i="36"/>
  <c r="G188" i="36"/>
  <c r="F188" i="36"/>
  <c r="E188" i="36"/>
  <c r="D188" i="36"/>
  <c r="C188" i="36"/>
  <c r="B188" i="36"/>
  <c r="H187" i="36"/>
  <c r="G187" i="36"/>
  <c r="F187" i="36"/>
  <c r="E187" i="36"/>
  <c r="D187" i="36"/>
  <c r="C187" i="36"/>
  <c r="B187" i="36"/>
  <c r="H186" i="36"/>
  <c r="G186" i="36"/>
  <c r="F186" i="36"/>
  <c r="E186" i="36"/>
  <c r="D186" i="36"/>
  <c r="C186" i="36"/>
  <c r="B186" i="36"/>
  <c r="H185" i="36"/>
  <c r="G185" i="36"/>
  <c r="F185" i="36"/>
  <c r="E185" i="36"/>
  <c r="D185" i="36"/>
  <c r="C185" i="36"/>
  <c r="B185" i="36"/>
  <c r="H184" i="36"/>
  <c r="G184" i="36"/>
  <c r="F184" i="36"/>
  <c r="E184" i="36"/>
  <c r="D184" i="36"/>
  <c r="C184" i="36"/>
  <c r="B184" i="36"/>
  <c r="H183" i="36"/>
  <c r="G183" i="36"/>
  <c r="F183" i="36"/>
  <c r="E183" i="36"/>
  <c r="D183" i="36"/>
  <c r="C183" i="36"/>
  <c r="B183" i="36"/>
  <c r="H182" i="36"/>
  <c r="G182" i="36"/>
  <c r="F182" i="36"/>
  <c r="E182" i="36"/>
  <c r="D182" i="36"/>
  <c r="C182" i="36"/>
  <c r="B182" i="36"/>
  <c r="H181" i="36"/>
  <c r="G181" i="36"/>
  <c r="F181" i="36"/>
  <c r="E181" i="36"/>
  <c r="D181" i="36"/>
  <c r="C181" i="36"/>
  <c r="B181" i="36"/>
  <c r="H180" i="36"/>
  <c r="G180" i="36"/>
  <c r="F180" i="36"/>
  <c r="E180" i="36"/>
  <c r="D180" i="36"/>
  <c r="C180" i="36"/>
  <c r="B180" i="36"/>
  <c r="H179" i="36"/>
  <c r="G179" i="36"/>
  <c r="F179" i="36"/>
  <c r="E179" i="36"/>
  <c r="D179" i="36"/>
  <c r="C179" i="36"/>
  <c r="B179" i="36"/>
  <c r="H178" i="36"/>
  <c r="G178" i="36"/>
  <c r="F178" i="36"/>
  <c r="E178" i="36"/>
  <c r="D178" i="36"/>
  <c r="C178" i="36"/>
  <c r="B178" i="36"/>
  <c r="H177" i="36"/>
  <c r="G177" i="36"/>
  <c r="F177" i="36"/>
  <c r="E177" i="36"/>
  <c r="D177" i="36"/>
  <c r="C177" i="36"/>
  <c r="B177" i="36"/>
  <c r="H176" i="36"/>
  <c r="G176" i="36"/>
  <c r="F176" i="36"/>
  <c r="E176" i="36"/>
  <c r="D176" i="36"/>
  <c r="C176" i="36"/>
  <c r="B176" i="36"/>
  <c r="H175" i="36"/>
  <c r="G175" i="36"/>
  <c r="F175" i="36"/>
  <c r="E175" i="36"/>
  <c r="D175" i="36"/>
  <c r="C175" i="36"/>
  <c r="B175" i="36"/>
  <c r="H174" i="36"/>
  <c r="G174" i="36"/>
  <c r="F174" i="36"/>
  <c r="E174" i="36"/>
  <c r="D174" i="36"/>
  <c r="C174" i="36"/>
  <c r="B174" i="36"/>
  <c r="H173" i="36"/>
  <c r="G173" i="36"/>
  <c r="F173" i="36"/>
  <c r="E173" i="36"/>
  <c r="D173" i="36"/>
  <c r="C173" i="36"/>
  <c r="B173" i="36"/>
  <c r="H172" i="36"/>
  <c r="G172" i="36"/>
  <c r="F172" i="36"/>
  <c r="E172" i="36"/>
  <c r="D172" i="36"/>
  <c r="C172" i="36"/>
  <c r="B172" i="36"/>
  <c r="H171" i="36"/>
  <c r="G171" i="36"/>
  <c r="F171" i="36"/>
  <c r="E171" i="36"/>
  <c r="D171" i="36"/>
  <c r="C171" i="36"/>
  <c r="B171" i="36"/>
  <c r="H170" i="36"/>
  <c r="G170" i="36"/>
  <c r="F170" i="36"/>
  <c r="E170" i="36"/>
  <c r="D170" i="36"/>
  <c r="C170" i="36"/>
  <c r="B170" i="36"/>
  <c r="H169" i="36"/>
  <c r="G169" i="36"/>
  <c r="F169" i="36"/>
  <c r="E169" i="36"/>
  <c r="D169" i="36"/>
  <c r="C169" i="36"/>
  <c r="B169" i="36"/>
  <c r="H168" i="36"/>
  <c r="G168" i="36"/>
  <c r="F168" i="36"/>
  <c r="E168" i="36"/>
  <c r="D168" i="36"/>
  <c r="C168" i="36"/>
  <c r="B168" i="36"/>
  <c r="H167" i="36"/>
  <c r="G167" i="36"/>
  <c r="F167" i="36"/>
  <c r="E167" i="36"/>
  <c r="D167" i="36"/>
  <c r="C167" i="36"/>
  <c r="B167" i="36"/>
  <c r="H166" i="36"/>
  <c r="G166" i="36"/>
  <c r="F166" i="36"/>
  <c r="E166" i="36"/>
  <c r="D166" i="36"/>
  <c r="C166" i="36"/>
  <c r="B166" i="36"/>
  <c r="H165" i="36"/>
  <c r="G165" i="36"/>
  <c r="F165" i="36"/>
  <c r="E165" i="36"/>
  <c r="D165" i="36"/>
  <c r="C165" i="36"/>
  <c r="B165" i="36"/>
  <c r="H164" i="36"/>
  <c r="G164" i="36"/>
  <c r="F164" i="36"/>
  <c r="E164" i="36"/>
  <c r="D164" i="36"/>
  <c r="C164" i="36"/>
  <c r="B164" i="36"/>
  <c r="H163" i="36"/>
  <c r="G163" i="36"/>
  <c r="F163" i="36"/>
  <c r="E163" i="36"/>
  <c r="D163" i="36"/>
  <c r="C163" i="36"/>
  <c r="B163" i="36"/>
  <c r="H162" i="36"/>
  <c r="G162" i="36"/>
  <c r="F162" i="36"/>
  <c r="E162" i="36"/>
  <c r="D162" i="36"/>
  <c r="C162" i="36"/>
  <c r="B162" i="36"/>
  <c r="H161" i="36"/>
  <c r="G161" i="36"/>
  <c r="F161" i="36"/>
  <c r="E161" i="36"/>
  <c r="D161" i="36"/>
  <c r="C161" i="36"/>
  <c r="B161" i="36"/>
  <c r="H160" i="36"/>
  <c r="G160" i="36"/>
  <c r="F160" i="36"/>
  <c r="E160" i="36"/>
  <c r="D160" i="36"/>
  <c r="C160" i="36"/>
  <c r="B160" i="36"/>
  <c r="H159" i="36"/>
  <c r="G159" i="36"/>
  <c r="F159" i="36"/>
  <c r="E159" i="36"/>
  <c r="D159" i="36"/>
  <c r="C159" i="36"/>
  <c r="B159" i="36"/>
  <c r="H158" i="36"/>
  <c r="G158" i="36"/>
  <c r="F158" i="36"/>
  <c r="E158" i="36"/>
  <c r="D158" i="36"/>
  <c r="C158" i="36"/>
  <c r="B158" i="36"/>
  <c r="H157" i="36"/>
  <c r="G157" i="36"/>
  <c r="F157" i="36"/>
  <c r="E157" i="36"/>
  <c r="D157" i="36"/>
  <c r="C157" i="36"/>
  <c r="B157" i="36"/>
  <c r="H156" i="36"/>
  <c r="G156" i="36"/>
  <c r="F156" i="36"/>
  <c r="E156" i="36"/>
  <c r="D156" i="36"/>
  <c r="C156" i="36"/>
  <c r="B156" i="36"/>
  <c r="H155" i="36"/>
  <c r="G155" i="36"/>
  <c r="F155" i="36"/>
  <c r="E155" i="36"/>
  <c r="D155" i="36"/>
  <c r="C155" i="36"/>
  <c r="B155" i="36"/>
  <c r="H154" i="36"/>
  <c r="G154" i="36"/>
  <c r="F154" i="36"/>
  <c r="E154" i="36"/>
  <c r="D154" i="36"/>
  <c r="C154" i="36"/>
  <c r="B154" i="36"/>
  <c r="H153" i="36"/>
  <c r="G153" i="36"/>
  <c r="F153" i="36"/>
  <c r="E153" i="36"/>
  <c r="D153" i="36"/>
  <c r="C153" i="36"/>
  <c r="B153" i="36"/>
  <c r="H152" i="36"/>
  <c r="G152" i="36"/>
  <c r="F152" i="36"/>
  <c r="E152" i="36"/>
  <c r="D152" i="36"/>
  <c r="C152" i="36"/>
  <c r="B152" i="36"/>
  <c r="H151" i="36"/>
  <c r="G151" i="36"/>
  <c r="F151" i="36"/>
  <c r="E151" i="36"/>
  <c r="D151" i="36"/>
  <c r="C151" i="36"/>
  <c r="B151" i="36"/>
  <c r="H150" i="36"/>
  <c r="G150" i="36"/>
  <c r="F150" i="36"/>
  <c r="E150" i="36"/>
  <c r="D150" i="36"/>
  <c r="C150" i="36"/>
  <c r="B150" i="36"/>
  <c r="H149" i="36"/>
  <c r="G149" i="36"/>
  <c r="F149" i="36"/>
  <c r="E149" i="36"/>
  <c r="D149" i="36"/>
  <c r="C149" i="36"/>
  <c r="B149" i="36"/>
  <c r="H148" i="36"/>
  <c r="G148" i="36"/>
  <c r="F148" i="36"/>
  <c r="E148" i="36"/>
  <c r="D148" i="36"/>
  <c r="C148" i="36"/>
  <c r="B148" i="36"/>
  <c r="H147" i="36"/>
  <c r="G147" i="36"/>
  <c r="F147" i="36"/>
  <c r="E147" i="36"/>
  <c r="D147" i="36"/>
  <c r="C147" i="36"/>
  <c r="B147" i="36"/>
  <c r="H146" i="36"/>
  <c r="G146" i="36"/>
  <c r="F146" i="36"/>
  <c r="E146" i="36"/>
  <c r="D146" i="36"/>
  <c r="C146" i="36"/>
  <c r="B146" i="36"/>
  <c r="H145" i="36"/>
  <c r="G145" i="36"/>
  <c r="F145" i="36"/>
  <c r="E145" i="36"/>
  <c r="D145" i="36"/>
  <c r="C145" i="36"/>
  <c r="B145" i="36"/>
  <c r="H144" i="36"/>
  <c r="G144" i="36"/>
  <c r="F144" i="36"/>
  <c r="E144" i="36"/>
  <c r="D144" i="36"/>
  <c r="C144" i="36"/>
  <c r="B144" i="36"/>
  <c r="H143" i="36"/>
  <c r="G143" i="36"/>
  <c r="F143" i="36"/>
  <c r="E143" i="36"/>
  <c r="D143" i="36"/>
  <c r="C143" i="36"/>
  <c r="B143" i="36"/>
  <c r="H142" i="36"/>
  <c r="G142" i="36"/>
  <c r="F142" i="36"/>
  <c r="E142" i="36"/>
  <c r="D142" i="36"/>
  <c r="C142" i="36"/>
  <c r="B142" i="36"/>
  <c r="H141" i="36"/>
  <c r="G141" i="36"/>
  <c r="F141" i="36"/>
  <c r="E141" i="36"/>
  <c r="D141" i="36"/>
  <c r="C141" i="36"/>
  <c r="B141" i="36"/>
  <c r="H140" i="36"/>
  <c r="G140" i="36"/>
  <c r="F140" i="36"/>
  <c r="E140" i="36"/>
  <c r="D140" i="36"/>
  <c r="C140" i="36"/>
  <c r="B140" i="36"/>
  <c r="H139" i="36"/>
  <c r="G139" i="36"/>
  <c r="F139" i="36"/>
  <c r="E139" i="36"/>
  <c r="D139" i="36"/>
  <c r="C139" i="36"/>
  <c r="B139" i="36"/>
  <c r="H138" i="36"/>
  <c r="G138" i="36"/>
  <c r="F138" i="36"/>
  <c r="E138" i="36"/>
  <c r="D138" i="36"/>
  <c r="C138" i="36"/>
  <c r="B138" i="36"/>
  <c r="H137" i="36"/>
  <c r="G137" i="36"/>
  <c r="F137" i="36"/>
  <c r="E137" i="36"/>
  <c r="D137" i="36"/>
  <c r="C137" i="36"/>
  <c r="B137" i="36"/>
  <c r="H136" i="36"/>
  <c r="G136" i="36"/>
  <c r="F136" i="36"/>
  <c r="E136" i="36"/>
  <c r="D136" i="36"/>
  <c r="C136" i="36"/>
  <c r="B136" i="36"/>
  <c r="H135" i="36"/>
  <c r="G135" i="36"/>
  <c r="F135" i="36"/>
  <c r="E135" i="36"/>
  <c r="D135" i="36"/>
  <c r="C135" i="36"/>
  <c r="B135" i="36"/>
  <c r="H134" i="36"/>
  <c r="G134" i="36"/>
  <c r="F134" i="36"/>
  <c r="E134" i="36"/>
  <c r="D134" i="36"/>
  <c r="C134" i="36"/>
  <c r="B134" i="36"/>
  <c r="H133" i="36"/>
  <c r="G133" i="36"/>
  <c r="F133" i="36"/>
  <c r="E133" i="36"/>
  <c r="D133" i="36"/>
  <c r="C133" i="36"/>
  <c r="B133" i="36"/>
  <c r="H132" i="36"/>
  <c r="G132" i="36"/>
  <c r="F132" i="36"/>
  <c r="E132" i="36"/>
  <c r="D132" i="36"/>
  <c r="C132" i="36"/>
  <c r="B132" i="36"/>
  <c r="H131" i="36"/>
  <c r="G131" i="36"/>
  <c r="F131" i="36"/>
  <c r="E131" i="36"/>
  <c r="D131" i="36"/>
  <c r="C131" i="36"/>
  <c r="B131" i="36"/>
  <c r="H130" i="36"/>
  <c r="G130" i="36"/>
  <c r="F130" i="36"/>
  <c r="E130" i="36"/>
  <c r="D130" i="36"/>
  <c r="C130" i="36"/>
  <c r="B130" i="36"/>
  <c r="H129" i="36"/>
  <c r="G129" i="36"/>
  <c r="F129" i="36"/>
  <c r="E129" i="36"/>
  <c r="D129" i="36"/>
  <c r="C129" i="36"/>
  <c r="B129" i="36"/>
  <c r="H128" i="36"/>
  <c r="G128" i="36"/>
  <c r="F128" i="36"/>
  <c r="E128" i="36"/>
  <c r="D128" i="36"/>
  <c r="C128" i="36"/>
  <c r="B128" i="36"/>
  <c r="H127" i="36"/>
  <c r="G127" i="36"/>
  <c r="F127" i="36"/>
  <c r="E127" i="36"/>
  <c r="D127" i="36"/>
  <c r="C127" i="36"/>
  <c r="B127" i="36"/>
  <c r="H126" i="36"/>
  <c r="G126" i="36"/>
  <c r="F126" i="36"/>
  <c r="E126" i="36"/>
  <c r="D126" i="36"/>
  <c r="C126" i="36"/>
  <c r="B126" i="36"/>
  <c r="H125" i="36"/>
  <c r="G125" i="36"/>
  <c r="F125" i="36"/>
  <c r="E125" i="36"/>
  <c r="D125" i="36"/>
  <c r="C125" i="36"/>
  <c r="B125" i="36"/>
  <c r="H124" i="36"/>
  <c r="G124" i="36"/>
  <c r="F124" i="36"/>
  <c r="E124" i="36"/>
  <c r="D124" i="36"/>
  <c r="C124" i="36"/>
  <c r="B124" i="36"/>
  <c r="H123" i="36"/>
  <c r="G123" i="36"/>
  <c r="F123" i="36"/>
  <c r="E123" i="36"/>
  <c r="D123" i="36"/>
  <c r="C123" i="36"/>
  <c r="B123" i="36"/>
  <c r="H122" i="36"/>
  <c r="G122" i="36"/>
  <c r="F122" i="36"/>
  <c r="E122" i="36"/>
  <c r="D122" i="36"/>
  <c r="C122" i="36"/>
  <c r="B122" i="36"/>
  <c r="H121" i="36"/>
  <c r="G121" i="36"/>
  <c r="F121" i="36"/>
  <c r="E121" i="36"/>
  <c r="D121" i="36"/>
  <c r="C121" i="36"/>
  <c r="B121" i="36"/>
  <c r="H120" i="36"/>
  <c r="G120" i="36"/>
  <c r="F120" i="36"/>
  <c r="E120" i="36"/>
  <c r="D120" i="36"/>
  <c r="C120" i="36"/>
  <c r="B120" i="36"/>
  <c r="H119" i="36"/>
  <c r="G119" i="36"/>
  <c r="F119" i="36"/>
  <c r="E119" i="36"/>
  <c r="D119" i="36"/>
  <c r="C119" i="36"/>
  <c r="B119" i="36"/>
  <c r="H118" i="36"/>
  <c r="G118" i="36"/>
  <c r="F118" i="36"/>
  <c r="E118" i="36"/>
  <c r="D118" i="36"/>
  <c r="C118" i="36"/>
  <c r="B118" i="36"/>
  <c r="H117" i="36"/>
  <c r="G117" i="36"/>
  <c r="F117" i="36"/>
  <c r="E117" i="36"/>
  <c r="D117" i="36"/>
  <c r="C117" i="36"/>
  <c r="B117" i="36"/>
  <c r="H116" i="36"/>
  <c r="G116" i="36"/>
  <c r="F116" i="36"/>
  <c r="E116" i="36"/>
  <c r="D116" i="36"/>
  <c r="C116" i="36"/>
  <c r="B116" i="36"/>
  <c r="H115" i="36"/>
  <c r="G115" i="36"/>
  <c r="F115" i="36"/>
  <c r="E115" i="36"/>
  <c r="D115" i="36"/>
  <c r="C115" i="36"/>
  <c r="B115" i="36"/>
  <c r="H114" i="36"/>
  <c r="G114" i="36"/>
  <c r="F114" i="36"/>
  <c r="E114" i="36"/>
  <c r="D114" i="36"/>
  <c r="C114" i="36"/>
  <c r="B114" i="36"/>
  <c r="H113" i="36"/>
  <c r="G113" i="36"/>
  <c r="F113" i="36"/>
  <c r="E113" i="36"/>
  <c r="D113" i="36"/>
  <c r="C113" i="36"/>
  <c r="B113" i="36"/>
  <c r="H112" i="36"/>
  <c r="G112" i="36"/>
  <c r="F112" i="36"/>
  <c r="E112" i="36"/>
  <c r="D112" i="36"/>
  <c r="C112" i="36"/>
  <c r="B112" i="36"/>
  <c r="H111" i="36"/>
  <c r="G111" i="36"/>
  <c r="F111" i="36"/>
  <c r="E111" i="36"/>
  <c r="D111" i="36"/>
  <c r="C111" i="36"/>
  <c r="B111" i="36"/>
  <c r="H110" i="36"/>
  <c r="G110" i="36"/>
  <c r="F110" i="36"/>
  <c r="E110" i="36"/>
  <c r="D110" i="36"/>
  <c r="C110" i="36"/>
  <c r="B110" i="36"/>
  <c r="H109" i="36"/>
  <c r="G109" i="36"/>
  <c r="F109" i="36"/>
  <c r="E109" i="36"/>
  <c r="D109" i="36"/>
  <c r="C109" i="36"/>
  <c r="B109" i="36"/>
  <c r="H108" i="36"/>
  <c r="G108" i="36"/>
  <c r="F108" i="36"/>
  <c r="E108" i="36"/>
  <c r="D108" i="36"/>
  <c r="C108" i="36"/>
  <c r="B108" i="36"/>
  <c r="H107" i="36"/>
  <c r="G107" i="36"/>
  <c r="F107" i="36"/>
  <c r="E107" i="36"/>
  <c r="D107" i="36"/>
  <c r="C107" i="36"/>
  <c r="B107" i="36"/>
  <c r="H106" i="36"/>
  <c r="G106" i="36"/>
  <c r="F106" i="36"/>
  <c r="E106" i="36"/>
  <c r="D106" i="36"/>
  <c r="C106" i="36"/>
  <c r="B106" i="36"/>
  <c r="H105" i="36"/>
  <c r="G105" i="36"/>
  <c r="F105" i="36"/>
  <c r="E105" i="36"/>
  <c r="D105" i="36"/>
  <c r="C105" i="36"/>
  <c r="B105" i="36"/>
  <c r="H104" i="36"/>
  <c r="G104" i="36"/>
  <c r="F104" i="36"/>
  <c r="E104" i="36"/>
  <c r="D104" i="36"/>
  <c r="C104" i="36"/>
  <c r="B104" i="36"/>
  <c r="H103" i="36"/>
  <c r="G103" i="36"/>
  <c r="F103" i="36"/>
  <c r="E103" i="36"/>
  <c r="D103" i="36"/>
  <c r="C103" i="36"/>
  <c r="B103" i="36"/>
  <c r="H102" i="36"/>
  <c r="G102" i="36"/>
  <c r="F102" i="36"/>
  <c r="E102" i="36"/>
  <c r="D102" i="36"/>
  <c r="C102" i="36"/>
  <c r="B102" i="36"/>
  <c r="H101" i="36"/>
  <c r="G101" i="36"/>
  <c r="F101" i="36"/>
  <c r="E101" i="36"/>
  <c r="D101" i="36"/>
  <c r="C101" i="36"/>
  <c r="B101" i="36"/>
  <c r="H100" i="36"/>
  <c r="G100" i="36"/>
  <c r="F100" i="36"/>
  <c r="E100" i="36"/>
  <c r="D100" i="36"/>
  <c r="C100" i="36"/>
  <c r="B100" i="36"/>
  <c r="H99" i="36"/>
  <c r="G99" i="36"/>
  <c r="F99" i="36"/>
  <c r="E99" i="36"/>
  <c r="D99" i="36"/>
  <c r="C99" i="36"/>
  <c r="B99" i="36"/>
  <c r="H98" i="36"/>
  <c r="G98" i="36"/>
  <c r="F98" i="36"/>
  <c r="E98" i="36"/>
  <c r="D98" i="36"/>
  <c r="C98" i="36"/>
  <c r="B98" i="36"/>
  <c r="H97" i="36"/>
  <c r="G97" i="36"/>
  <c r="F97" i="36"/>
  <c r="E97" i="36"/>
  <c r="D97" i="36"/>
  <c r="C97" i="36"/>
  <c r="B97" i="36"/>
  <c r="H96" i="36"/>
  <c r="G96" i="36"/>
  <c r="F96" i="36"/>
  <c r="E96" i="36"/>
  <c r="D96" i="36"/>
  <c r="C96" i="36"/>
  <c r="B96" i="36"/>
  <c r="H95" i="36"/>
  <c r="G95" i="36"/>
  <c r="F95" i="36"/>
  <c r="E95" i="36"/>
  <c r="D95" i="36"/>
  <c r="C95" i="36"/>
  <c r="B95" i="36"/>
  <c r="H94" i="36"/>
  <c r="G94" i="36"/>
  <c r="F94" i="36"/>
  <c r="E94" i="36"/>
  <c r="D94" i="36"/>
  <c r="C94" i="36"/>
  <c r="B94" i="36"/>
  <c r="H93" i="36"/>
  <c r="G93" i="36"/>
  <c r="F93" i="36"/>
  <c r="E93" i="36"/>
  <c r="D93" i="36"/>
  <c r="C93" i="36"/>
  <c r="B93" i="36"/>
  <c r="H92" i="36"/>
  <c r="G92" i="36"/>
  <c r="F92" i="36"/>
  <c r="E92" i="36"/>
  <c r="D92" i="36"/>
  <c r="C92" i="36"/>
  <c r="B92" i="36"/>
  <c r="H90" i="36"/>
  <c r="G90" i="36"/>
  <c r="F90" i="36"/>
  <c r="E90" i="36"/>
  <c r="D90" i="36"/>
  <c r="C90" i="36"/>
  <c r="B90" i="36"/>
  <c r="H89" i="36"/>
  <c r="G89" i="36"/>
  <c r="F89" i="36"/>
  <c r="E89" i="36"/>
  <c r="D89" i="36"/>
  <c r="C89" i="36"/>
  <c r="B89" i="36"/>
  <c r="H87" i="36"/>
  <c r="G87" i="36"/>
  <c r="F87" i="36"/>
  <c r="E87" i="36"/>
  <c r="D87" i="36"/>
  <c r="C87" i="36"/>
  <c r="B87" i="36"/>
  <c r="H86" i="36"/>
  <c r="G86" i="36"/>
  <c r="F86" i="36"/>
  <c r="E86" i="36"/>
  <c r="D86" i="36"/>
  <c r="C86" i="36"/>
  <c r="B86" i="36"/>
  <c r="H85" i="36"/>
  <c r="G85" i="36"/>
  <c r="F85" i="36"/>
  <c r="E85" i="36"/>
  <c r="D85" i="36"/>
  <c r="C85" i="36"/>
  <c r="B85" i="36"/>
  <c r="H84" i="36"/>
  <c r="G84" i="36"/>
  <c r="F84" i="36"/>
  <c r="E84" i="36"/>
  <c r="D84" i="36"/>
  <c r="C84" i="36"/>
  <c r="B84" i="36"/>
  <c r="H83" i="36"/>
  <c r="G83" i="36"/>
  <c r="F83" i="36"/>
  <c r="E83" i="36"/>
  <c r="D83" i="36"/>
  <c r="C83" i="36"/>
  <c r="B83" i="36"/>
  <c r="H82" i="36"/>
  <c r="G82" i="36"/>
  <c r="F82" i="36"/>
  <c r="E82" i="36"/>
  <c r="D82" i="36"/>
  <c r="C82" i="36"/>
  <c r="B82" i="36"/>
  <c r="H81" i="36"/>
  <c r="G81" i="36"/>
  <c r="F81" i="36"/>
  <c r="E81" i="36"/>
  <c r="D81" i="36"/>
  <c r="C81" i="36"/>
  <c r="B81" i="36"/>
  <c r="H80" i="36"/>
  <c r="G80" i="36"/>
  <c r="F80" i="36"/>
  <c r="E80" i="36"/>
  <c r="D80" i="36"/>
  <c r="C80" i="36"/>
  <c r="B80" i="36"/>
  <c r="H79" i="36"/>
  <c r="G79" i="36"/>
  <c r="F79" i="36"/>
  <c r="E79" i="36"/>
  <c r="D79" i="36"/>
  <c r="C79" i="36"/>
  <c r="B79" i="36"/>
  <c r="H78" i="36"/>
  <c r="G78" i="36"/>
  <c r="F78" i="36"/>
  <c r="E78" i="36"/>
  <c r="D78" i="36"/>
  <c r="C78" i="36"/>
  <c r="B78" i="36"/>
  <c r="H77" i="36"/>
  <c r="G77" i="36"/>
  <c r="F77" i="36"/>
  <c r="E77" i="36"/>
  <c r="D77" i="36"/>
  <c r="C77" i="36"/>
  <c r="B77" i="36"/>
  <c r="H76" i="36"/>
  <c r="G76" i="36"/>
  <c r="F76" i="36"/>
  <c r="E76" i="36"/>
  <c r="D76" i="36"/>
  <c r="C76" i="36"/>
  <c r="B76" i="36"/>
  <c r="H75" i="36"/>
  <c r="G75" i="36"/>
  <c r="F75" i="36"/>
  <c r="E75" i="36"/>
  <c r="D75" i="36"/>
  <c r="C75" i="36"/>
  <c r="B75" i="36"/>
  <c r="H74" i="36"/>
  <c r="G74" i="36"/>
  <c r="F74" i="36"/>
  <c r="E74" i="36"/>
  <c r="D74" i="36"/>
  <c r="C74" i="36"/>
  <c r="B74" i="36"/>
  <c r="H73" i="36"/>
  <c r="G73" i="36"/>
  <c r="F73" i="36"/>
  <c r="E73" i="36"/>
  <c r="D73" i="36"/>
  <c r="C73" i="36"/>
  <c r="B73" i="36"/>
  <c r="H72" i="36"/>
  <c r="G72" i="36"/>
  <c r="F72" i="36"/>
  <c r="E72" i="36"/>
  <c r="D72" i="36"/>
  <c r="C72" i="36"/>
  <c r="B72" i="36"/>
  <c r="H71" i="36"/>
  <c r="G71" i="36"/>
  <c r="F71" i="36"/>
  <c r="E71" i="36"/>
  <c r="D71" i="36"/>
  <c r="C71" i="36"/>
  <c r="B71" i="36"/>
  <c r="H70" i="36"/>
  <c r="G70" i="36"/>
  <c r="F70" i="36"/>
  <c r="E70" i="36"/>
  <c r="D70" i="36"/>
  <c r="C70" i="36"/>
  <c r="B70" i="36"/>
  <c r="H69" i="36"/>
  <c r="G69" i="36"/>
  <c r="F69" i="36"/>
  <c r="E69" i="36"/>
  <c r="D69" i="36"/>
  <c r="C69" i="36"/>
  <c r="B69" i="36"/>
  <c r="H68" i="36"/>
  <c r="G68" i="36"/>
  <c r="F68" i="36"/>
  <c r="E68" i="36"/>
  <c r="D68" i="36"/>
  <c r="C68" i="36"/>
  <c r="B68" i="36"/>
  <c r="H67" i="36"/>
  <c r="G67" i="36"/>
  <c r="F67" i="36"/>
  <c r="E67" i="36"/>
  <c r="D67" i="36"/>
  <c r="C67" i="36"/>
  <c r="B67" i="36"/>
  <c r="H66" i="36"/>
  <c r="G66" i="36"/>
  <c r="F66" i="36"/>
  <c r="E66" i="36"/>
  <c r="D66" i="36"/>
  <c r="C66" i="36"/>
  <c r="B66" i="36"/>
  <c r="H65" i="36"/>
  <c r="G65" i="36"/>
  <c r="F65" i="36"/>
  <c r="E65" i="36"/>
  <c r="D65" i="36"/>
  <c r="C65" i="36"/>
  <c r="B65" i="36"/>
  <c r="H64" i="36"/>
  <c r="G64" i="36"/>
  <c r="F64" i="36"/>
  <c r="E64" i="36"/>
  <c r="D64" i="36"/>
  <c r="C64" i="36"/>
  <c r="B64" i="36"/>
  <c r="H63" i="36"/>
  <c r="G63" i="36"/>
  <c r="F63" i="36"/>
  <c r="E63" i="36"/>
  <c r="D63" i="36"/>
  <c r="C63" i="36"/>
  <c r="B63" i="36"/>
  <c r="H62" i="36"/>
  <c r="G62" i="36"/>
  <c r="F62" i="36"/>
  <c r="E62" i="36"/>
  <c r="D62" i="36"/>
  <c r="C62" i="36"/>
  <c r="B62" i="36"/>
  <c r="H61" i="36"/>
  <c r="G61" i="36"/>
  <c r="F61" i="36"/>
  <c r="E61" i="36"/>
  <c r="D61" i="36"/>
  <c r="C61" i="36"/>
  <c r="B61" i="36"/>
  <c r="H60" i="36"/>
  <c r="G60" i="36"/>
  <c r="F60" i="36"/>
  <c r="E60" i="36"/>
  <c r="D60" i="36"/>
  <c r="C60" i="36"/>
  <c r="B60" i="36"/>
  <c r="H59" i="36"/>
  <c r="G59" i="36"/>
  <c r="F59" i="36"/>
  <c r="E59" i="36"/>
  <c r="D59" i="36"/>
  <c r="C59" i="36"/>
  <c r="B59" i="36"/>
  <c r="H58" i="36"/>
  <c r="G58" i="36"/>
  <c r="F58" i="36"/>
  <c r="E58" i="36"/>
  <c r="D58" i="36"/>
  <c r="C58" i="36"/>
  <c r="B58" i="36"/>
  <c r="H57" i="36"/>
  <c r="G57" i="36"/>
  <c r="F57" i="36"/>
  <c r="E57" i="36"/>
  <c r="D57" i="36"/>
  <c r="C57" i="36"/>
  <c r="B57" i="36"/>
  <c r="H56" i="36"/>
  <c r="G56" i="36"/>
  <c r="F56" i="36"/>
  <c r="E56" i="36"/>
  <c r="D56" i="36"/>
  <c r="C56" i="36"/>
  <c r="B56" i="36"/>
  <c r="H55" i="36"/>
  <c r="G55" i="36"/>
  <c r="F55" i="36"/>
  <c r="E55" i="36"/>
  <c r="D55" i="36"/>
  <c r="C55" i="36"/>
  <c r="B55" i="36"/>
  <c r="H54" i="36"/>
  <c r="G54" i="36"/>
  <c r="F54" i="36"/>
  <c r="E54" i="36"/>
  <c r="D54" i="36"/>
  <c r="C54" i="36"/>
  <c r="B54" i="36"/>
  <c r="H53" i="36"/>
  <c r="G53" i="36"/>
  <c r="F53" i="36"/>
  <c r="E53" i="36"/>
  <c r="D53" i="36"/>
  <c r="C53" i="36"/>
  <c r="B53" i="36"/>
  <c r="H52" i="36"/>
  <c r="G52" i="36"/>
  <c r="F52" i="36"/>
  <c r="E52" i="36"/>
  <c r="D52" i="36"/>
  <c r="C52" i="36"/>
  <c r="B52" i="36"/>
  <c r="H51" i="36"/>
  <c r="G51" i="36"/>
  <c r="F51" i="36"/>
  <c r="E51" i="36"/>
  <c r="D51" i="36"/>
  <c r="C51" i="36"/>
  <c r="B51" i="36"/>
  <c r="H50" i="36"/>
  <c r="G50" i="36"/>
  <c r="F50" i="36"/>
  <c r="E50" i="36"/>
  <c r="D50" i="36"/>
  <c r="C50" i="36"/>
  <c r="B50" i="36"/>
  <c r="H49" i="36"/>
  <c r="G49" i="36"/>
  <c r="F49" i="36"/>
  <c r="E49" i="36"/>
  <c r="D49" i="36"/>
  <c r="C49" i="36"/>
  <c r="B49" i="36"/>
  <c r="H48" i="36"/>
  <c r="G48" i="36"/>
  <c r="F48" i="36"/>
  <c r="E48" i="36"/>
  <c r="D48" i="36"/>
  <c r="C48" i="36"/>
  <c r="B48" i="36"/>
  <c r="H47" i="36"/>
  <c r="G47" i="36"/>
  <c r="F47" i="36"/>
  <c r="E47" i="36"/>
  <c r="D47" i="36"/>
  <c r="C47" i="36"/>
  <c r="B47" i="36"/>
  <c r="H46" i="36"/>
  <c r="G46" i="36"/>
  <c r="F46" i="36"/>
  <c r="E46" i="36"/>
  <c r="D46" i="36"/>
  <c r="C46" i="36"/>
  <c r="B46" i="36"/>
  <c r="H45" i="36"/>
  <c r="G45" i="36"/>
  <c r="F45" i="36"/>
  <c r="E45" i="36"/>
  <c r="D45" i="36"/>
  <c r="C45" i="36"/>
  <c r="B45" i="36"/>
  <c r="H44" i="36"/>
  <c r="G44" i="36"/>
  <c r="F44" i="36"/>
  <c r="E44" i="36"/>
  <c r="D44" i="36"/>
  <c r="C44" i="36"/>
  <c r="B44" i="36"/>
  <c r="H43" i="36"/>
  <c r="G43" i="36"/>
  <c r="F43" i="36"/>
  <c r="E43" i="36"/>
  <c r="D43" i="36"/>
  <c r="C43" i="36"/>
  <c r="B43" i="36"/>
  <c r="H42" i="36"/>
  <c r="G42" i="36"/>
  <c r="F42" i="36"/>
  <c r="E42" i="36"/>
  <c r="D42" i="36"/>
  <c r="C42" i="36"/>
  <c r="B42" i="36"/>
  <c r="H41" i="36"/>
  <c r="G41" i="36"/>
  <c r="F41" i="36"/>
  <c r="E41" i="36"/>
  <c r="D41" i="36"/>
  <c r="C41" i="36"/>
  <c r="B41" i="36"/>
  <c r="H40" i="36"/>
  <c r="G40" i="36"/>
  <c r="F40" i="36"/>
  <c r="E40" i="36"/>
  <c r="D40" i="36"/>
  <c r="C40" i="36"/>
  <c r="B40" i="36"/>
  <c r="H39" i="36"/>
  <c r="G39" i="36"/>
  <c r="F39" i="36"/>
  <c r="E39" i="36"/>
  <c r="D39" i="36"/>
  <c r="C39" i="36"/>
  <c r="B39" i="36"/>
  <c r="H38" i="36"/>
  <c r="G38" i="36"/>
  <c r="F38" i="36"/>
  <c r="E38" i="36"/>
  <c r="D38" i="36"/>
  <c r="C38" i="36"/>
  <c r="B38" i="36"/>
  <c r="H37" i="36"/>
  <c r="G37" i="36"/>
  <c r="F37" i="36"/>
  <c r="E37" i="36"/>
  <c r="D37" i="36"/>
  <c r="C37" i="36"/>
  <c r="B37" i="36"/>
  <c r="H36" i="36"/>
  <c r="G36" i="36"/>
  <c r="F36" i="36"/>
  <c r="E36" i="36"/>
  <c r="D36" i="36"/>
  <c r="C36" i="36"/>
  <c r="B36" i="36"/>
  <c r="H35" i="36"/>
  <c r="G35" i="36"/>
  <c r="F35" i="36"/>
  <c r="E35" i="36"/>
  <c r="D35" i="36"/>
  <c r="C35" i="36"/>
  <c r="B35" i="36"/>
  <c r="H34" i="36"/>
  <c r="G34" i="36"/>
  <c r="F34" i="36"/>
  <c r="E34" i="36"/>
  <c r="D34" i="36"/>
  <c r="C34" i="36"/>
  <c r="B34" i="36"/>
  <c r="H33" i="36"/>
  <c r="G33" i="36"/>
  <c r="F33" i="36"/>
  <c r="E33" i="36"/>
  <c r="D33" i="36"/>
  <c r="C33" i="36"/>
  <c r="B33" i="36"/>
  <c r="H32" i="36"/>
  <c r="G32" i="36"/>
  <c r="F32" i="36"/>
  <c r="E32" i="36"/>
  <c r="D32" i="36"/>
  <c r="C32" i="36"/>
  <c r="B32" i="36"/>
  <c r="H31" i="36"/>
  <c r="G31" i="36"/>
  <c r="F31" i="36"/>
  <c r="E31" i="36"/>
  <c r="D31" i="36"/>
  <c r="C31" i="36"/>
  <c r="B31" i="36"/>
  <c r="H30" i="36"/>
  <c r="G30" i="36"/>
  <c r="F30" i="36"/>
  <c r="E30" i="36"/>
  <c r="D30" i="36"/>
  <c r="C30" i="36"/>
  <c r="B30" i="36"/>
  <c r="H29" i="36"/>
  <c r="G29" i="36"/>
  <c r="F29" i="36"/>
  <c r="E29" i="36"/>
  <c r="D29" i="36"/>
  <c r="C29" i="36"/>
  <c r="B29" i="36"/>
  <c r="H28" i="36"/>
  <c r="G28" i="36"/>
  <c r="F28" i="36"/>
  <c r="E28" i="36"/>
  <c r="D28" i="36"/>
  <c r="C28" i="36"/>
  <c r="B28" i="36"/>
  <c r="H27" i="36"/>
  <c r="G27" i="36"/>
  <c r="F27" i="36"/>
  <c r="E27" i="36"/>
  <c r="D27" i="36"/>
  <c r="C27" i="36"/>
  <c r="B27" i="36"/>
  <c r="H26" i="36"/>
  <c r="G26" i="36"/>
  <c r="F26" i="36"/>
  <c r="E26" i="36"/>
  <c r="D26" i="36"/>
  <c r="C26" i="36"/>
  <c r="B26" i="36"/>
  <c r="H25" i="36"/>
  <c r="G25" i="36"/>
  <c r="F25" i="36"/>
  <c r="E25" i="36"/>
  <c r="D25" i="36"/>
  <c r="C25" i="36"/>
  <c r="B25" i="36"/>
  <c r="H24" i="36"/>
  <c r="G24" i="36"/>
  <c r="F24" i="36"/>
  <c r="E24" i="36"/>
  <c r="D24" i="36"/>
  <c r="C24" i="36"/>
  <c r="B24" i="36"/>
  <c r="H23" i="36"/>
  <c r="G23" i="36"/>
  <c r="F23" i="36"/>
  <c r="E23" i="36"/>
  <c r="D23" i="36"/>
  <c r="C23" i="36"/>
  <c r="B23" i="36"/>
  <c r="H22" i="36"/>
  <c r="G22" i="36"/>
  <c r="F22" i="36"/>
  <c r="E22" i="36"/>
  <c r="D22" i="36"/>
  <c r="C22" i="36"/>
  <c r="B22" i="36"/>
  <c r="H21" i="36"/>
  <c r="G21" i="36"/>
  <c r="F21" i="36"/>
  <c r="E21" i="36"/>
  <c r="D21" i="36"/>
  <c r="C21" i="36"/>
  <c r="B21" i="36"/>
  <c r="H20" i="36"/>
  <c r="G20" i="36"/>
  <c r="F20" i="36"/>
  <c r="E20" i="36"/>
  <c r="D20" i="36"/>
  <c r="C20" i="36"/>
  <c r="B20" i="36"/>
  <c r="H19" i="36"/>
  <c r="G19" i="36"/>
  <c r="F19" i="36"/>
  <c r="E19" i="36"/>
  <c r="D19" i="36"/>
  <c r="C19" i="36"/>
  <c r="B19" i="36"/>
  <c r="H18" i="36"/>
  <c r="G18" i="36"/>
  <c r="F18" i="36"/>
  <c r="E18" i="36"/>
  <c r="D18" i="36"/>
  <c r="C18" i="36"/>
  <c r="B18" i="36"/>
  <c r="H17" i="36"/>
  <c r="G17" i="36"/>
  <c r="F17" i="36"/>
  <c r="E17" i="36"/>
  <c r="D17" i="36"/>
  <c r="C17" i="36"/>
  <c r="B17" i="36"/>
  <c r="H16" i="36"/>
  <c r="G16" i="36"/>
  <c r="F16" i="36"/>
  <c r="E16" i="36"/>
  <c r="D16" i="36"/>
  <c r="C16" i="36"/>
  <c r="B16" i="36"/>
  <c r="H15" i="36"/>
  <c r="G15" i="36"/>
  <c r="F15" i="36"/>
  <c r="E15" i="36"/>
  <c r="D15" i="36"/>
  <c r="C15" i="36"/>
  <c r="B15" i="36"/>
  <c r="H14" i="36"/>
  <c r="G14" i="36"/>
  <c r="F14" i="36"/>
  <c r="E14" i="36"/>
  <c r="D14" i="36"/>
  <c r="C14" i="36"/>
  <c r="B14" i="36"/>
  <c r="H13" i="36"/>
  <c r="G13" i="36"/>
  <c r="F13" i="36"/>
  <c r="E13" i="36"/>
  <c r="D13" i="36"/>
  <c r="C13" i="36"/>
  <c r="B13" i="36"/>
  <c r="H12" i="36"/>
  <c r="G12" i="36"/>
  <c r="F12" i="36"/>
  <c r="E12" i="36"/>
  <c r="D12" i="36"/>
  <c r="C12" i="36"/>
  <c r="B12" i="36"/>
  <c r="H11" i="36"/>
  <c r="G11" i="36"/>
  <c r="F11" i="36"/>
  <c r="E11" i="36"/>
  <c r="D11" i="36"/>
  <c r="C11" i="36"/>
  <c r="B11" i="36"/>
  <c r="H10" i="36"/>
  <c r="G10" i="36"/>
  <c r="F10" i="36"/>
  <c r="E10" i="36"/>
  <c r="D10" i="36"/>
  <c r="C10" i="36"/>
  <c r="B10" i="36"/>
  <c r="H9" i="36"/>
  <c r="G9" i="36"/>
  <c r="F9" i="36"/>
  <c r="E9" i="36"/>
  <c r="D9" i="36"/>
  <c r="C9" i="36"/>
  <c r="B9" i="36"/>
  <c r="H8" i="36"/>
  <c r="G8" i="36"/>
  <c r="F8" i="36"/>
  <c r="E8" i="36"/>
  <c r="D8" i="36"/>
  <c r="C8" i="36"/>
  <c r="B8" i="36"/>
  <c r="H7" i="36"/>
  <c r="G7" i="36"/>
  <c r="F7" i="36"/>
  <c r="E7" i="36"/>
  <c r="D7" i="36"/>
  <c r="C7" i="36"/>
  <c r="B7" i="36"/>
  <c r="H6" i="36"/>
  <c r="G6" i="36"/>
  <c r="F6" i="36"/>
  <c r="E6" i="36"/>
  <c r="D6" i="36"/>
  <c r="C6" i="36"/>
  <c r="B6" i="36"/>
  <c r="H5" i="36"/>
  <c r="G5" i="36"/>
  <c r="F5" i="36"/>
  <c r="E5" i="36"/>
  <c r="D5" i="36"/>
  <c r="C5" i="36"/>
  <c r="B5" i="36"/>
  <c r="H4" i="36"/>
  <c r="G4" i="36"/>
  <c r="F4" i="36"/>
  <c r="E4" i="36"/>
  <c r="D4" i="36"/>
  <c r="C4" i="36"/>
  <c r="B4" i="36"/>
  <c r="H3" i="36"/>
  <c r="G3" i="36"/>
  <c r="F3" i="36"/>
  <c r="E3" i="36"/>
  <c r="D3" i="36"/>
  <c r="C3" i="36"/>
  <c r="B3" i="36"/>
</calcChain>
</file>

<file path=xl/sharedStrings.xml><?xml version="1.0" encoding="utf-8"?>
<sst xmlns="http://schemas.openxmlformats.org/spreadsheetml/2006/main" count="2578" uniqueCount="1520">
  <si>
    <t>Especificação</t>
  </si>
  <si>
    <t>Descrição</t>
  </si>
  <si>
    <t>Receitas Correntes</t>
  </si>
  <si>
    <t>Impostos</t>
  </si>
  <si>
    <t>Impostos sobre o Comércio Exterior</t>
  </si>
  <si>
    <t>Imposto sobre a Importação</t>
  </si>
  <si>
    <t>Imposto sobre a Exportação</t>
  </si>
  <si>
    <t>Imposto sobre a Propriedade Territorial Rural</t>
  </si>
  <si>
    <t>Imposto sobre a Propriedade Territorial Rural - Municípios Conveniados</t>
  </si>
  <si>
    <t>Imposto sobre a Propriedade Territorial Rural - Municípios Não-Conveniados</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</si>
  <si>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</si>
  <si>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</si>
  <si>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</si>
  <si>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</si>
  <si>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</si>
  <si>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</si>
  <si>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</si>
  <si>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</si>
  <si>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 sobre Operações Relativas à Circulação de Mercadorias e sobre Prestações de Serviços de Transporte Interestadual e Intermunicipal e de Comunicação</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</si>
  <si>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</si>
  <si>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Adicional ICMS - Fundo Estadual de Combate à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</si>
  <si>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</si>
  <si>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</si>
  <si>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</si>
  <si>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Adicional ISS - Fundo Municipal de Combate à Pobreza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</si>
  <si>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</si>
  <si>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Taxas</t>
  </si>
  <si>
    <t>Taxas pelo Exercício do Poder de Polícia</t>
  </si>
  <si>
    <t>Taxa de Controle e Fiscalização de Produtos Químicos</t>
  </si>
  <si>
    <t>Taxa de Fiscalização de Vigilância Sanitária</t>
  </si>
  <si>
    <t>Taxa de Saúde Suplementar</t>
  </si>
  <si>
    <t>Taxa de Controle e Fiscalização Ambiental</t>
  </si>
  <si>
    <t>Taxas pela Prestação de Serviços</t>
  </si>
  <si>
    <t>Contribuição de Melhoria</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</si>
  <si>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</si>
  <si>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</si>
  <si>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</si>
  <si>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</si>
  <si>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</si>
  <si>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Registra o valor da arrecadação de receita sobre a cobrança decorrente de valorização de propriedades em função da expansão da rede de iluminação pública rural.</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</si>
  <si>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</si>
  <si>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</si>
  <si>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Outras Contribuições de Melhoria</t>
  </si>
  <si>
    <t>Registra o valor de outras contribuições de melhorias, não classificadas nos itens anteriores.</t>
  </si>
  <si>
    <t>Contribuições Sociais</t>
  </si>
  <si>
    <t>Contribuição Social do Salário-Educação</t>
  </si>
  <si>
    <t>Cota-Parte da Contribuição Sindical</t>
  </si>
  <si>
    <t>Contribuição para o Ensino Aeroviário</t>
  </si>
  <si>
    <t>Contribuição para o Desenvolvimento do Ensino Profissional Marítimo</t>
  </si>
  <si>
    <t>Contribuição sobre a Arrecadação dos Fundos de Investimentos Regionais</t>
  </si>
  <si>
    <t>Contribuição sobre Movimentação ou Transmissão de Valores e de Créditos e Direitos de Natureza Financeira</t>
  </si>
  <si>
    <t>Contribuição Industrial Rural</t>
  </si>
  <si>
    <t>Contribuição Relativa à Despedida de Empregado sem Justa Causa</t>
  </si>
  <si>
    <t>Contribuição sobre a Remuneração Devida ao Trabalhador</t>
  </si>
  <si>
    <t>Outras Contribuições Sociais</t>
  </si>
  <si>
    <t>Contribuição sobre Apostas em Competições Hípicas</t>
  </si>
  <si>
    <t>Contribuição sobre a Receita das Empresas Prestadoras de Serviços de Telecomunicações</t>
  </si>
  <si>
    <t>Contribuição sobre a Receita Bruta das Empresas Prestadoras de Serviços de Telecomunicações</t>
  </si>
  <si>
    <t>Contribuição para o Fomento da Radiodifusão Pública</t>
  </si>
  <si>
    <t>Contribuição sobre o Faturamento das Empresas de Informática</t>
  </si>
  <si>
    <t>Outras Contribuições Econômicas</t>
  </si>
  <si>
    <t>Contribuição para o Custeio do Serviço de Iluminação Pública</t>
  </si>
  <si>
    <t>Registra a receita decorrente da contribuição para o custeio do serviço de iluminação pública.</t>
  </si>
  <si>
    <t>Receita Patrimonial</t>
  </si>
  <si>
    <t>Outras Receitas Imobiliárias</t>
  </si>
  <si>
    <t>Juros de Títulos de Renda</t>
  </si>
  <si>
    <t>Dividendos</t>
  </si>
  <si>
    <t>Participações</t>
  </si>
  <si>
    <t>Juros sobre o Capital Próprio</t>
  </si>
  <si>
    <t>Remuneração de Depósitos Bancários</t>
  </si>
  <si>
    <t>Remuneração de Depósitos Especiais</t>
  </si>
  <si>
    <t>Pagamento pela Retenção de Área para Exploração ou Produção</t>
  </si>
  <si>
    <t>Exploração de Recursos Minerais</t>
  </si>
  <si>
    <t>Royalties Mínimos pela Produção de Petróleo em Terra (Qualquer Situação) - Contrato de Concessão</t>
  </si>
  <si>
    <t>Royalties Mínimos pela Produção de Petróleo em Plataforma - Contrato de Concessão - Declaração de Comercialidade antes de 3/12/2012 - Área e Camada Pré-Sal</t>
  </si>
  <si>
    <t>Royalties Mínimos pela Produção de Petróleo em Plataforma - Contrato de Concessão - Declaração de Comercialidade a partir de 3/12/2012 - Qualquer Situação</t>
  </si>
  <si>
    <t>Royalties Excedentes pela Produção de Petróleo em Terra (Qualquer Situação) - Contrato de Concessão</t>
  </si>
  <si>
    <t>Royalties Excedentes pela Produção de Petróleo em Plataforma - Contrato de Concessão - Declaração de Comercialidade antes de 3/12/2012 - Demais Situações</t>
  </si>
  <si>
    <t>Royalties Excedentes pela Produção de Petróleo em Plataforma - Contrato de Concessão - Declaração de Comercialidade a partir de 3/12/2012 - Qualquer Situação</t>
  </si>
  <si>
    <t>Participação Especial pela Produção de Petróleo em Terra (Qualquer Situação) - Contrato de Concessão</t>
  </si>
  <si>
    <t>Participação Especial pela Produção de Petróleo em Plataforma - Contrato de Concessão - Declaração de Comercialidade antes de 3/12/2012 - Área e Camada Pré-Sal</t>
  </si>
  <si>
    <t>Receita Agropecuária</t>
  </si>
  <si>
    <t>Receita Industrial</t>
  </si>
  <si>
    <t>Receita de Serviços</t>
  </si>
  <si>
    <t>Serviços de Transporte</t>
  </si>
  <si>
    <t>Serviços Hospitalares</t>
  </si>
  <si>
    <t>Serviços Radiológicos e Laboratoriais</t>
  </si>
  <si>
    <t>Serviços de Assistência à Saúde Suplementar do Servidor Civil</t>
  </si>
  <si>
    <t>Serviços Ambulatoriais</t>
  </si>
  <si>
    <t>Outros Serviços de Saúde</t>
  </si>
  <si>
    <t>Serviços Portuários</t>
  </si>
  <si>
    <t>Tarifa Aeroportuária</t>
  </si>
  <si>
    <t>Adicional sobre Tarifa Aeroportuária</t>
  </si>
  <si>
    <t>Outros Serviços</t>
  </si>
  <si>
    <t>Transferências Correntes</t>
  </si>
  <si>
    <t>Participação na Receita da União</t>
  </si>
  <si>
    <t>Registra o valor total das receitas recebidas por meio de participação na receita da União.</t>
  </si>
  <si>
    <t>Cota-Parte do Fundo de Participação dos Estados e do Distrito Federal</t>
  </si>
  <si>
    <t>Cota-Parte do Fundo de Participação dos Municípios - Cota Mensal</t>
  </si>
  <si>
    <t>Cota-Parte do Fundo de Participação do Municípios – 1% Cota entregue no mês de dezembro</t>
  </si>
  <si>
    <t>Cota-Parte do Fundo de Participação dos Municípios - 1% Cota entregue no mês de julho</t>
  </si>
  <si>
    <t>Cota-Parte do Imposto Sobre a Propriedade Territorial Rural</t>
  </si>
  <si>
    <t>Cota-Parte do Imposto Sobre Produtos Industrializados – Estados Exportadores de Produtos Industrializados</t>
  </si>
  <si>
    <t>Cota-Parte da Contribuição de Intervenção no Domínio Econômico</t>
  </si>
  <si>
    <t>Cota-Parte do Imposto Sobre Operações de Crédito, Câmbio e Seguro, ou Relativas a Títulos ou Valores Mobiliários – Comercialização do Ouro</t>
  </si>
  <si>
    <t>Transferência da Compensação Financeira pela Exploração de Recursos Naturais</t>
  </si>
  <si>
    <t>Cota-parte da Compensação Financeira de Recursos Hídricos</t>
  </si>
  <si>
    <t>Cota-parte da Compensação Financeira de Recursos Minerais - CFEM</t>
  </si>
  <si>
    <t>Cota-parte Royalties – Compensação Financeira pela Produção de Petróleo – Lei nº 7.990/89</t>
  </si>
  <si>
    <t>Cota-parte Royalties pelo Excedente da Produção do Petróleo – Lei nº 9.478/97, artigo 49, I e II</t>
  </si>
  <si>
    <t>Cota-parte Royalties pela Participação Especial – Lei nº 9.478/97, artigo 50</t>
  </si>
  <si>
    <t>Cota-Parte do Fundo Especial do Petróleo – FEP</t>
  </si>
  <si>
    <t>Outras Transferências decorrentes de Compensação Financeira pela Exploração de Recursos Naturais</t>
  </si>
  <si>
    <t>Transferências de Recursos do Fundo Nacional de Assistência Social – FNAS</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</si>
  <si>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</si>
  <si>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</si>
  <si>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</si>
  <si>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</si>
  <si>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</si>
  <si>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</si>
  <si>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Diretas do FNDE referentes ao Programa Nacional de Alimentação Escolar – PNAE</t>
  </si>
  <si>
    <t>Registra o valor dos recursos de transferências da União aos Estados, Distrito Federal e Municípios, referentes ao Programa Nacional de Alimentação Escolar – PNAE.</t>
  </si>
  <si>
    <t>Transferências Diretas do FNDE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</si>
  <si>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</si>
  <si>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</si>
  <si>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</si>
  <si>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 Financeira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</si>
  <si>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</si>
  <si>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Registra a receita repassada pela União a consórcios públicos, mediante contrato ou outro instrumento.</t>
  </si>
  <si>
    <t>Transferências da União a Consórcios Públicos</t>
  </si>
  <si>
    <t>Outras Transferências da União</t>
  </si>
  <si>
    <t>Registra o valor total das receitas recebidas por meio de outras transferências da União que não se enquadram nos itens anteriores,.</t>
  </si>
  <si>
    <t>Registra o valor total dos recursos recebidos pelas demais esferas de governo e respectivas entidades da administração descentralizada, transferidos pelos Estados.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</si>
  <si>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</si>
  <si>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</si>
  <si>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Cota-Parte do ICMS</t>
  </si>
  <si>
    <t>Registra o valor da arrecadação de receita de transferência da participação de municípios na arrecadação do Imposto sobre a Circulação de Mercadorias e Prestação de Serviços – ICMS, pelo estado.</t>
  </si>
  <si>
    <t>Cota-Parte do IPVA</t>
  </si>
  <si>
    <t>Registra o valor da arrecadação de receita de transferência da participação de municípios na arrecadação do Imposto sobre a Propriedade de Veículos Automotores – IPVA, pelo estado.</t>
  </si>
  <si>
    <t>Cota-Parte do IPI - Municípios</t>
  </si>
  <si>
    <t>Registra o valor recebido pelo município decorrente da participação deste na Cota-Parte do Estado na arrecadação do Imposto sobre Produtos Industrializados – IPI realizada pela União.</t>
  </si>
  <si>
    <t>Registra o valor total das receitas recebidas pelos Municípios por meio de transferências constitucionais da contribuição de intervenção no domínio econômico (Emenda Constitucional nº 42, de 19/12/2003).</t>
  </si>
  <si>
    <t>Outras Participações na Receita dos Estados</t>
  </si>
  <si>
    <t>Registra o valor total da arrecadação de outras participações na receita dos Estados, não classificadas nos itens anteriores.</t>
  </si>
  <si>
    <t>Outras Transferências dos Estados</t>
  </si>
  <si>
    <t>Registra o valor decorrente de outras transferências dos Estados.</t>
  </si>
  <si>
    <t>Transferência da Cota-parte da Compensação Financeira (25%)</t>
  </si>
  <si>
    <t>Registra o valor da arrecadação de receita com a transferência da cota-parte da compensação financeira proveniente da exploração de recursos naturais.</t>
  </si>
  <si>
    <t>Registra o valor da arrecadação da receita com a cota-parte da compensação financeira de recursos hídricos.</t>
  </si>
  <si>
    <t>Registra o valor da arrecadação da receita com a cota-parte da compensação financeira de recursos minerais.</t>
  </si>
  <si>
    <t>Cota-parte Royalties – Compensação Financeira pela Produção do Petróleo – Lei nº 7.990/89, artigo 9º</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</si>
  <si>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</si>
  <si>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</si>
  <si>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</si>
  <si>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</si>
  <si>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</si>
  <si>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Registra a receita repassada pelos Estados a consórcios públicos, mediante contrato ou outro instrumento.</t>
  </si>
  <si>
    <t>Transferências de Estados a Consórcios Públicos</t>
  </si>
  <si>
    <t>Para atender às suas necessidades de identificação, as demais esferas de governo poderão desdobrar esse item, discriminando os recursos transferidos pelos Estados que não estejam especificados.</t>
  </si>
  <si>
    <t>Transferências de Recursos do Sistema Único de Saúde – SUS</t>
  </si>
  <si>
    <t>Registra o valor total dos recursos de transferências de municípios para municípios, referente ao Sistema Único de Saúde – SUS, exceto as transferências vinculadas a convênios.</t>
  </si>
  <si>
    <t>Registra a receita repassada pelos Municípios a consórcios públicos, mediante contrato ou outro instrumento.</t>
  </si>
  <si>
    <t>Transferências de Municípios a Consórcios Públicos</t>
  </si>
  <si>
    <t>Outras Transferências dos Municípios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</si>
  <si>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</si>
  <si>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Transferências de Recursos do Fundo de Manutenção e Desenvolvimento da Educação Básica e de Valorização dos Profissionais da Educação – FUNDEB</t>
  </si>
  <si>
    <t>Registra o valor total dos recursos de transferências recebidos diretamente do FUNDEB, pelos Estados, Distrito Federal e Municípios, independente do valor que foi deduzido no ente para a formação do FUNDEB.</t>
  </si>
  <si>
    <t>Transferências de Recursos da Complementação da União ao Fundo de Manutenção e Desenvolvimento da Educação Básica e de Valorização dos Profissionais da Educação – FUNDEB</t>
  </si>
  <si>
    <t>Outras Transferências Multigovernamentais</t>
  </si>
  <si>
    <t>Registra o valor da receita de outras transferências multigovernamentais, não classificadas nos itens anteriores.</t>
  </si>
  <si>
    <t>Transferências de Instituições Privadas</t>
  </si>
  <si>
    <t>Transferências do Exterior</t>
  </si>
  <si>
    <t>Transferências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</si>
  <si>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</si>
  <si>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</si>
  <si>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</si>
  <si>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</si>
  <si>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Registra o valor da receita de transferências de convênios da União destinadas a programas de educação.</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</si>
  <si>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</si>
  <si>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</si>
  <si>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</si>
  <si>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</si>
  <si>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Saneamento Básico</t>
  </si>
  <si>
    <t>Registra o valor da receita de transferências de convênios da União destinadas a programas de saneamento básico.</t>
  </si>
  <si>
    <t>Outras Transferências de Convênios da União</t>
  </si>
  <si>
    <t>Registra o valor da receita de outras transferências de convênios da União, não compreendidas nos itens anteriores.</t>
  </si>
  <si>
    <t>Transferência de Convênios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</si>
  <si>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</si>
  <si>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 dos Estados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</si>
  <si>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</si>
  <si>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</si>
  <si>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</si>
  <si>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de Convênio dos Estados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</si>
  <si>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</si>
  <si>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</si>
  <si>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</si>
  <si>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</si>
  <si>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</si>
  <si>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</si>
  <si>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</si>
  <si>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Outras Transferências de Convênios dos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</si>
  <si>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</si>
  <si>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Transferência de Convênios do Exterior</t>
  </si>
  <si>
    <t>Outras Receitas Correntes</t>
  </si>
  <si>
    <t>Multas Previstas na Lei Geral das Telecomunicações</t>
  </si>
  <si>
    <t>Multas Previstas na Legislação do Seguro-Desemprego e Abono Salarial</t>
  </si>
  <si>
    <t>Multas Previstas na Legislação sobre Defesa dos Direitos Difusos</t>
  </si>
  <si>
    <t>Multas e Juros Previstos em Contratos</t>
  </si>
  <si>
    <t>Multas Decorrentes de Sentenças Judiciais</t>
  </si>
  <si>
    <t>Multas por Danos Ambientais</t>
  </si>
  <si>
    <t>Multas Administrativas por Danos Ambientais</t>
  </si>
  <si>
    <t>Multas Judiciais por Danos Ambientais</t>
  </si>
  <si>
    <t>Multas Aplicadas pelos Tribunais de Contas</t>
  </si>
  <si>
    <t>Multas Previstas na Legislação sobre Regime de Previdência Privada Complementar</t>
  </si>
  <si>
    <t>Indenizações</t>
  </si>
  <si>
    <t>Indenizações por Danos Causados ao Patrimônio Público</t>
  </si>
  <si>
    <t>Outras Indenizações</t>
  </si>
  <si>
    <t>Restituições</t>
  </si>
  <si>
    <t>Restituição de Contribuições Previdenciárias Complementares</t>
  </si>
  <si>
    <t>Compensações Financeiras entre o Regime Geral e os Regimes Próprios de Previdência dos Servidores</t>
  </si>
  <si>
    <t>Restituição de Parcelas do Seguro Desemprego Recebidas Indevidamente</t>
  </si>
  <si>
    <t>Restituição de Recursos de Fomento</t>
  </si>
  <si>
    <t>Outras Restituições</t>
  </si>
  <si>
    <t>Encargos Legais pela Inscrição em Dívida Ativa e Receitas de Ônus de Sucumbência</t>
  </si>
  <si>
    <t>Encargos Legais pela Inscrição em Dívida Ativa</t>
  </si>
  <si>
    <t>Disponibilidades de Recursos do Fundo Social</t>
  </si>
  <si>
    <t>Outras Receitas</t>
  </si>
  <si>
    <t>Outras Receitas - Primárias</t>
  </si>
  <si>
    <t>Outras Receitas - Financeiras</t>
  </si>
  <si>
    <t>Receitas de Capital</t>
  </si>
  <si>
    <t>Operações de Crédito</t>
  </si>
  <si>
    <t>Títulos da Dívida Agrária - TDA</t>
  </si>
  <si>
    <t>Empréstimos Compulsórios</t>
  </si>
  <si>
    <t>Operações de Crédito Internas para Programas de Educação</t>
  </si>
  <si>
    <t>Registra o valor da arrecadação de receita com operações de crédito internas relativas a programas de educação.</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</si>
  <si>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</si>
  <si>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</si>
  <si>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</si>
  <si>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</si>
  <si>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</si>
  <si>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</si>
  <si>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</si>
  <si>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</si>
  <si>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</si>
  <si>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</si>
  <si>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</si>
  <si>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</si>
  <si>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Operações de Crédito Externas para Programas de Educação</t>
  </si>
  <si>
    <t>Registra o valor da arrecadação de receita com operações de crédito externas relativas a programas de educação.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</si>
  <si>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</si>
  <si>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</si>
  <si>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</si>
  <si>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</si>
  <si>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</si>
  <si>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</si>
  <si>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</si>
  <si>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</si>
  <si>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</si>
  <si>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</si>
  <si>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Alienação de Bens</t>
  </si>
  <si>
    <t>Alienação de Bens Móveis</t>
  </si>
  <si>
    <t>Alienação de Títulos Mobiliários</t>
  </si>
  <si>
    <t>Alienação de Estoques</t>
  </si>
  <si>
    <t>Alienação de Bens Imóveis</t>
  </si>
  <si>
    <t>Amortização de Empréstimos</t>
  </si>
  <si>
    <t>Amortização de Financiamentos</t>
  </si>
  <si>
    <t>Transferências de Capital</t>
  </si>
  <si>
    <t>Transferências de Recursos Destinados a Programas de Educação</t>
  </si>
  <si>
    <t>Registra o valor das transferências de capital da União recebidas pelos Estados, Distrito Federal e Municípios, referentes a programas de educação.</t>
  </si>
  <si>
    <t>Registra o valor das transferências de capital da União recebidas pelos consórcios públicos, mediante contrato ou outro instrumento.</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</si>
  <si>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</si>
  <si>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Registra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</si>
  <si>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 programas de educação, transferidos pelos Estados, exceto as transferências de convênios.</t>
  </si>
  <si>
    <t>Registra o valor total das receitas para atender suas necessidades de identificação. As demais esferas de governo poderão desdobrar este item, discriminando os recursos transferidos pelos Estados que não estejam especificados.</t>
  </si>
  <si>
    <t>Registra o valor total dos recursos recebidos pelas demais esferas de governo e de suas entidades da administração descentralizada, transferidos pelos Municípios.</t>
  </si>
  <si>
    <t>Registra o valor das transferências de capital dos Municípios recebidas pelos consórcios públicos, mediante contrato ou outro instrumento.</t>
  </si>
  <si>
    <t>Registra o valor total de outros recursos recebidos pelas demais esferas de governo e de suas entidades da administração descentralizada, transferidos pelos Municípios, não previstos nos itens anteriores.</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</si>
  <si>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</si>
  <si>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</si>
  <si>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</si>
  <si>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Registra o valor dos recursos oriundos de convênios firmados com a saúde, para a realização de objetivos de interesse comum dos partícipes, e destinados a custear despesas de capital.</t>
  </si>
  <si>
    <t>Transferências de Convênio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</si>
  <si>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</si>
  <si>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</si>
  <si>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</si>
  <si>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</si>
  <si>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</si>
  <si>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Registra o valor dos recursos oriundos de outros convênios firmados com a União, para a realização de objetivos de interesse comum dos partícipes, e destinados a custear despesas de capital, não previstos nos itens anteriores.</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</si>
  <si>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</si>
  <si>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</si>
  <si>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</si>
  <si>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</si>
  <si>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</si>
  <si>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</si>
  <si>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</si>
  <si>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Registrar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</si>
  <si>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</si>
  <si>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</si>
  <si>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Registra o valor dos recursos oriundos de outros convênios dos Estados, para a realização de objetivos de interesse comum dos partícipes, e destinados a custear despesas de capital, não previstos nos itens anteriores.</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</si>
  <si>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</si>
  <si>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</si>
  <si>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</si>
  <si>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</si>
  <si>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</si>
  <si>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</si>
  <si>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Registra o valor dos recursos oriundos de outros convênios dos Municípios, para a realização de objetivos de interesse comum dos partícipes, e destinados a custear despesas de capital, não previstos nos itens anteriores.</t>
  </si>
  <si>
    <t>Transferências de Convênios de Instituições Privadas</t>
  </si>
  <si>
    <t>Outras Receitas de Capital</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</si>
  <si>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</si>
  <si>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</si>
  <si>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</si>
  <si>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</si>
  <si>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NR</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</si>
  <si>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</si>
  <si>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Impostos, Taxas e Contribuições de Melhoria</t>
  </si>
  <si>
    <t>Agrega as receitas originadas de impostos, taxas e contribuições de melhoria.</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</si>
  <si>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</si>
  <si>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Agrega as receitas que se originaram de impostos cobrados sobre a exportação e sobre a importação.</t>
  </si>
  <si>
    <t>Agrega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</si>
  <si>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Agrega as receitas que se originaram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</si>
  <si>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Imposto sobre a Importação - Principal</t>
  </si>
  <si>
    <t>Registra as receitas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</si>
  <si>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Vide código de receita principal.</t>
  </si>
  <si>
    <t>Imposto sobre a Importação - Dívida Ativa</t>
  </si>
  <si>
    <t>Agrega as receitas que se originaram dos impostos sobre a exportação.
De competência da União, incide sobre a exportação, para o estrangeiro, de produtos nacionais ou nacionalizados.</t>
  </si>
  <si>
    <t>Agrega as receitas que se originaram dos impostos sobre a exportação e que não decorrem de parcelamentos ou outros institutos que facilitem seu pagamento.</t>
  </si>
  <si>
    <t>Impostos sobre o Patrimônio</t>
  </si>
  <si>
    <t>Agrega as receitas que se originaram de impostos que incidem sobre o patrimônio e a renda.</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</si>
  <si>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</si>
  <si>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Agrega as receitas que se originaram de Impostos sobre a Propriedade Territorial Rural em municípios que possuem convênio com a União para fiscalização do referido tributo.</t>
  </si>
  <si>
    <t>Agrega as receitas que se originaram de Impostos sobre a Propriedade Territorial Rural em municípios que não possuem convênio com a União para fiscalização do referido tributo.</t>
  </si>
  <si>
    <t>Impostos sobre a Renda e Proventos de Qualquer Natureza</t>
  </si>
  <si>
    <t>Agrega as receitas originadas de Impostos sobre a Renda e Proventos de Qualquer Natureza.</t>
  </si>
  <si>
    <t>Imposto sobre a Renda de Pessoa Física - IRPF</t>
  </si>
  <si>
    <t>Agrega as receitas originadas de rendimentos e ganhos de capital percebidos pelas pessoas físicas residentes ou domiciliadas no Brasil, que não estejam sujeitas a tributação exclusiva na fonte.</t>
  </si>
  <si>
    <t>Imposto sobre a Renda de Pessoa Jurídica - IRPJ - Líquida de Incentivos</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</si>
  <si>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</si>
  <si>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 Retido na Fonte</t>
  </si>
  <si>
    <t>Agrega as receitas originadas do imposto sobre a renda retido na fonte, calculado sobre salários, a qualquer título, ou sobre capital.</t>
  </si>
  <si>
    <t>Imposto sobre a Renda - Retido na Fonte - Trabalho</t>
  </si>
  <si>
    <t>Agrega as receitas originadas do imposto sobre a renda calculado sobre salários, a qualquer título.</t>
  </si>
  <si>
    <t>Imposto sobre a Renda - Retido na Fonte - Capital</t>
  </si>
  <si>
    <t>Agrega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</si>
  <si>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Remessa ao Exterior</t>
  </si>
  <si>
    <t>Agrega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</si>
  <si>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</si>
  <si>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</si>
  <si>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</si>
  <si>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</si>
  <si>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</si>
  <si>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Imposto sobre Produtos Industrializados - IPI - Fumo</t>
  </si>
  <si>
    <t>Agrega as receitas originadas do Imposto sobre Produtos Industrializados incidente sobre fumo (tabaco) manufaturado e não manufaturado, assim como sobre seus sucedâneos manufaturados (charutos, cigarrilhas e cigarros).</t>
  </si>
  <si>
    <t>Imposto sobre Produtos Industrializados - IPI- Bebidas</t>
  </si>
  <si>
    <t>Agrega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</si>
  <si>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</si>
  <si>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Agrega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</si>
  <si>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Vinculados à Importação</t>
  </si>
  <si>
    <t>Agrega as receitas originadas do Imposto sobre Produtos Industrializados incidente sobre produtos industrializados de procedência estrangeira. O fato gerador é o desembaraço aduaneiro.</t>
  </si>
  <si>
    <t>Imposto sobre Produtos Industrializados - IPI - Outros Produtos</t>
  </si>
  <si>
    <t>Agrega as receitas originadas do Imposto sobre Produtos Industrializados incidente sobre as demais mercadorias relacionadas na Tabela de Incidência do Imposto sobre Produtos Industrializados - TIPI.</t>
  </si>
  <si>
    <t>Impostos sobre Operações de Crédito, Câmbio e Seguro, ou Relativas a Títulos ou Valores Mobiliários</t>
  </si>
  <si>
    <t>Agrega as receitas originadas do Imposto sobre Operações Financeiras.</t>
  </si>
  <si>
    <t>Imposto sobre Operações Financeiras - IOF</t>
  </si>
  <si>
    <t>Imposto sobre Operações Financeiras - IOF - Ouro</t>
  </si>
  <si>
    <t>Agrega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</si>
  <si>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Imposto sobre Operações Financeiras - IOF - Demais Operações</t>
  </si>
  <si>
    <t>Agrega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</si>
  <si>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Outros Impostos</t>
  </si>
  <si>
    <t>Agrega receitas de impostos não classificados nos itens anteriores.</t>
  </si>
  <si>
    <t>Agrega as receitas que relacionadas às taxas decorrentes do exercício do poder de polícia ou decorrentes da utilização efetiva ou potencial de serviço público específico e divisível, prestado ao contribuinte ou posto à sua disposição.</t>
  </si>
  <si>
    <t>Agrega as receitas que se originaram de taxas decorrentes do exercício do poder de polícia.</t>
  </si>
  <si>
    <t>Taxas de Inspeção, Controle e Fiscalização</t>
  </si>
  <si>
    <t>Agrega as receitas que se originaram de taxas sobre a prestação de serviços de inspeção, controle e fiscalização, decorrentes do poder de polícia.</t>
  </si>
  <si>
    <t>Taxas de Fiscalização das Telecomunicações</t>
  </si>
  <si>
    <t>Agrega receitas que se originaram da Taxa de Fiscalização de Telecomunicações.</t>
  </si>
  <si>
    <t>Agrega receitas da taxa pelo exercício do poder de polícia para controle e fiscalização de produtos químicos.</t>
  </si>
  <si>
    <t>Agrega as receitas relativas à taxa pelo poder de polícia para controle e fiscalização das atividades potencialmente poluidoras e utilizadoras de recursos naturais.</t>
  </si>
  <si>
    <t>Taxa de Controle e Fiscalização da Pesca e Aquicultura</t>
  </si>
  <si>
    <t>Agrega as receitas relativas à Taxa de Controle e Fiscalização da Pesca e Aquicultura.</t>
  </si>
  <si>
    <t>Agrega receitas que se originaram de taxas pela utilização efetiva ou potencial de serviço público específico e divisível, prestado ao contribuinte ou posto à sua disposição.</t>
  </si>
  <si>
    <t>Agrega as receitas relacionadas à contribuição de melhoria, decorrente de obras públicas.</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</si>
  <si>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</si>
  <si>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</si>
  <si>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Agrega as receitas originadas de contribuições sociais e de interesse de categorias profissionais ou econômicas</t>
  </si>
  <si>
    <t>Contribuição Social sobre o Lucro Líquido - CSLL</t>
  </si>
  <si>
    <t>Contribuições para o Regime Geral de Previdência Social - RGPS</t>
  </si>
  <si>
    <t>Contribuições sobre Concursos de Prognósticos e Sorteios</t>
  </si>
  <si>
    <t>Contribuição sobre a Loteria Federal</t>
  </si>
  <si>
    <t>Contribuição sobre Loterias Esportivas</t>
  </si>
  <si>
    <t>Contribuição sobre Concursos Especiais de Loterias Esportivas</t>
  </si>
  <si>
    <t>Contribuição sobre Loterias de Números</t>
  </si>
  <si>
    <t>Contribuição sobre Sorteios Realizados por Entidades Filantrópicas</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</si>
  <si>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</si>
  <si>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Contribuições Referentes ao Fundo de Garantia do Tempo de Serviço - FGTS</t>
  </si>
  <si>
    <t>Registra as receitas originadas da contribuição devida pelos empregadores em caso de despedida de empregado sem justa causa.</t>
  </si>
  <si>
    <t>Registra as receitas oriundas de contribuições pagas por produtores rurais.</t>
  </si>
  <si>
    <t>Adicional à Contribuição Previdenciária Rural</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</si>
  <si>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</si>
  <si>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</si>
  <si>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</si>
  <si>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</si>
  <si>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</si>
  <si>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Integração Nacional - PIN</t>
  </si>
  <si>
    <t>Agrega as receitas originadas das contribuições para o Programa de Integração Nacional - PIN.</t>
  </si>
  <si>
    <t>Contribuição para o Programa de Redistribuição de Terras e de Estímulo à Agroindústria do Norte e do Nordeste - PROTERRA</t>
  </si>
  <si>
    <t>Agrega as receitas originadas das contribuições para o Programa de Redistribuição de Terras e de Estímulo à Agroindústria do Norte e do Nordeste - PROTERRA.</t>
  </si>
  <si>
    <t>Contribuição de Lojas Francas, Entrepostos Aduaneiros e Depósitos Alfandegários</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</si>
  <si>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</si>
  <si>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</si>
  <si>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</si>
  <si>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para o Desenvolvimento da Indústria Cinematográfica Nacional - CONDECINE</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</si>
  <si>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</si>
  <si>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Cota-Parte do Adicional ao Frete para a Renovação da Marinha Mercante - AFRMM</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</si>
  <si>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</si>
  <si>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Contribuição sobre as Receitas de Concessionárias e Permissionárias de Energia Elétrica</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</si>
  <si>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</si>
  <si>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Contribuição pela Licença de Uso, Aquisição ou Transferência de Tecnologia - CIDE - Remessas ao Exterior</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</si>
  <si>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</si>
  <si>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</si>
  <si>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</si>
  <si>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</si>
  <si>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Agrega as receitas originadas da Contribuição relativa às atividades de comercialização e de importação de petróleo e seus derivados, gás natural e álcool carburante - CIDE Combustíveis - Importação.</t>
  </si>
  <si>
    <t>Contribuição de Intervenção no Domínio Econômico - CIDE-Combustíveis - Comercialização</t>
  </si>
  <si>
    <t>Agrega as receitas originadas da Contribuição relativa às atividades de comercialização e de importação de petróleo e seus derivados, gás natural e álcool carburante - CIDE Combustíveis - Comercialização.</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</si>
  <si>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</si>
  <si>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</si>
  <si>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</si>
  <si>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</si>
  <si>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Agrega as receitas originadas da Contribuição para Fomento da Radiodifusão Pública.</t>
  </si>
  <si>
    <t>Agrega as receitas originadas de contribuições econômicas que não se enquadram nos itens anteriores.</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</si>
  <si>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</si>
  <si>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</si>
  <si>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</si>
  <si>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</si>
  <si>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</si>
  <si>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</si>
  <si>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</si>
  <si>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</si>
  <si>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Agrega as receitas que se originaram da exploração do patrimônio imobiliário do Estado, como, por exemplo, as provenientes de aluguéis e arrendamentos, dentre outras.</t>
  </si>
  <si>
    <t>Foros, Laudêmios e Tarifas de Ocupação</t>
  </si>
  <si>
    <t>Agrega as receitas que se originaram da exploração do patrimônio imobiliário do Estado, como, por exemplo, foros, laudêmios, tarifas de ocupação de terrenos, tarifas de ocupação de imóveis.</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</si>
  <si>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</si>
  <si>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</si>
  <si>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Agrega receitas oriundas da exploração do patrimônio imobiliário do Estado que não tenham se enquadrado nos itens anteriores.</t>
  </si>
  <si>
    <t>Valores Mobiliários</t>
  </si>
  <si>
    <t>Agrega as receitas decorrentes de valores mobiliários.</t>
  </si>
  <si>
    <t>Juros e Correções Monetárias</t>
  </si>
  <si>
    <t>Agrega as receitas decorrentes de juros e correções monetárias</t>
  </si>
  <si>
    <t>Agrega as receitas decorrentes de juros e correções monetárias incidentes sobre depósitos bancários</t>
  </si>
  <si>
    <t>Registra a receita oriunda de juros e correções monetárias auferidos sobre depósitos especiais.</t>
  </si>
  <si>
    <t>Remuneração de Saldos de Recursos Não-Desembolsados</t>
  </si>
  <si>
    <t>Registra a receita oriunda de juros e correções monetárias auferidos sobre saldos de recursos não desembolsados.</t>
  </si>
  <si>
    <t>Remuneração dos Recursos do Regime Próprio de Previdência Social - RPPS</t>
  </si>
  <si>
    <t>Agrega recursos oruindos dos rendimentos auferidos decorrentes da aplicação de recursos do RPPS no mercado financeiro, em fundos de renda fixa, de renda variável, ou em fundos imobiliários.</t>
  </si>
  <si>
    <t>Agrega recursos oriundos de juros de título de renda, provenientes de aplicações no mercado financeiro. Inclui o resultado das aplicações em títulos públicos.</t>
  </si>
  <si>
    <t>Agrega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</si>
  <si>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Agrega as receitas decorrente de dividendos.</t>
  </si>
  <si>
    <t>Agrega receitas atribuíveis à União, provenientes da participação societária nos resultados de empresas.</t>
  </si>
  <si>
    <t>Outros Valores Mobiliários</t>
  </si>
  <si>
    <t>Agrega as receitas de valores mobiliários não classificadas nos itens anteriores.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</si>
  <si>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</si>
  <si>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</si>
  <si>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</si>
  <si>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</si>
  <si>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</si>
  <si>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</si>
  <si>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Ferroviário</t>
  </si>
  <si>
    <t>Agrega receitas decorrentes da delegação (mediante Concessão, Permissão ou Autorização) para o setor privado ou outros entes estatais prestarem serviços públicos de transporte ferroviário.</t>
  </si>
  <si>
    <t>Delegação para a Prestação dos Serviços de Transporte Metroviário</t>
  </si>
  <si>
    <t>Agrega receitas decorrentes da delegação (mediante Concessão, Permissão ou Autorização) para o setor privado ou outros entes estatais prestarem serviços públicos de transporte metroviário.</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</si>
  <si>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</si>
  <si>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</si>
  <si>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Aeroviário</t>
  </si>
  <si>
    <t>Agrega receitas decorrentes da delegação (mediante Concessão, Permissão ou Autorização) para o setor privado ou outros entes estatais prestarem serviços públicos de transporte aeroviário.</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</si>
  <si>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</si>
  <si>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</si>
  <si>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</si>
  <si>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</si>
  <si>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</si>
  <si>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Delegação para Exploração da Infraestrutura de Transporte Rodoviário para os Estados, Distrito Federal e Municípios</t>
  </si>
  <si>
    <t>Agrega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</si>
  <si>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Ferroviário</t>
  </si>
  <si>
    <t>Agrega receitas decorrentes da delegação para o setor privado explorar serviços públicos de infraestrutura de Transporte Ferroviário, mediante Concessão, Permissão ou Autorização.</t>
  </si>
  <si>
    <t>Delegação para Exploração da Infraestrutura de Transporte Aquaviário</t>
  </si>
  <si>
    <t>Agrega receitas decorrentes da delegação para o setor privado explorar serviços públicos de infraestrutura de Transporte Aquaviário, mediante Concessão, Permissão ou Autorização.</t>
  </si>
  <si>
    <t>Delegação para Exploração da Infraestrutura Aeroportuária</t>
  </si>
  <si>
    <t>Agrega as receitas de outorga de infraestrutura aeroportuária.</t>
  </si>
  <si>
    <t>Delegação dos Serviços de Telecomunicação</t>
  </si>
  <si>
    <t>Agrega as receitas decorrentes da delegação dos serviços de telecomunicações</t>
  </si>
  <si>
    <t>Delegação dos Serviços de Telecomunicação - Poder Concedente no Regime Público</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</si>
  <si>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</si>
  <si>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</si>
  <si>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</si>
  <si>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</si>
  <si>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Cessão do Direito de Uso de Radiofrequência</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</si>
  <si>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</si>
  <si>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Cessão do Direito de Exploração de Satélite Brasileiro</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</si>
  <si>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</si>
  <si>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</si>
  <si>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</si>
  <si>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Concessão de Licenças e Autorizações da Agência Espacial Brasileira</t>
  </si>
  <si>
    <t>Agrega as receitas provenientes da concessão de licenças e autorizações da Agência Espacial Brasileira - AEB.</t>
  </si>
  <si>
    <t>Outras Delegações dos Serviços de Telecomunicação</t>
  </si>
  <si>
    <t>Agrega as receitas decorrentes concessões, permissões e autorizações dos serviços de telecomunicações e de uso de radiofrequência não relacionados nos itens anteriores.</t>
  </si>
  <si>
    <t>Demais Delegações de Serviços Públicos</t>
  </si>
  <si>
    <t>Agrega demais receitas oriundas da delegação de serviços públicos</t>
  </si>
  <si>
    <t>Outras Delegações de Serviços Públicos</t>
  </si>
  <si>
    <t>Agrega receitas decorrentes da delegação para prestação de serviços públicos não abarcadas por códigos específicos.</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</si>
  <si>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</si>
  <si>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</si>
  <si>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</si>
  <si>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</si>
  <si>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</si>
  <si>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</si>
  <si>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</si>
  <si>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Agrega as receitas decorrentes do pagamento oferecido na proposta para obtenção da concessão. Esse bônus de assinatura terá valor mínimo estabelecido em edital, devendo ser pago no ato da assinatura do contrato.</t>
  </si>
  <si>
    <t>Agrega as receitas auferidas em função do pagamento anual pela retenção de área para exploração, desenvolvimento ou produção de petróleo e gás natural.</t>
  </si>
  <si>
    <t>Royalties Mínimos pela Produção de Petróleo - Contrato de Concessão</t>
  </si>
  <si>
    <t>Agrega as receitas oriundas da parcela do valor do royalty, previsto no contrato de concessão, que representar 5% do valor da produção de petróleo, gás natural ou outros hidrocarbonetos fluidos, quando a lavra ocorrer em terra.</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</si>
  <si>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</si>
  <si>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Demais Situações</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</si>
  <si>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</si>
  <si>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</si>
  <si>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Contrato de Concessão</t>
  </si>
  <si>
    <t>Agrega as receitas oriundas da parcela do valor do royalty, previsto no contrato de concessão, que exceder a 5% do valor da produção de petróleo, gás natural ou outros hidrocarbonetos fluidos, quando a lavra ocorrer em terra.</t>
  </si>
  <si>
    <t>Royalties Excedentes pela Produção de Petróleo em Plataforma - Contrato de Concessão - Declaração de Comercialidade antes de 3/12/2012 - Área e Camada Pré-Sal</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</si>
  <si>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</si>
  <si>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</si>
  <si>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</si>
  <si>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</si>
  <si>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</si>
  <si>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Agrega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</si>
  <si>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</si>
  <si>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Demais Situações</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</si>
  <si>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</si>
  <si>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 partir de 3/12/2012 - Qualquer Situação</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</si>
  <si>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</si>
  <si>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Petróleo - Regime de Cessão Onerosa</t>
  </si>
  <si>
    <t>Agrega as receitas oriundas da produção de petróleo, gás natural ou outros hidrocarbonetos fluidos, relativas a contratos celebrados sob o regime de cessão onerosa.</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</si>
  <si>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</si>
  <si>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</si>
  <si>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Royalties Mínimos pela Produção de Petróleo em Terra - Cessão Onerosa - Declaração de Comercialidade a partir de 3/12/2012</t>
  </si>
  <si>
    <t>Agrega as receitas oriundas da parcela do valor do royalty, previsto no contrato de cessão onerosa, que representar 5% do valor da produção de petróleo, gás natural ou outros hidrocarbonetos fluidos, quando a lavra ocorrer em terra ou em lagos, rios, ilhas fluviais e lacustres.</t>
  </si>
  <si>
    <t>Royalties Mínimos pela Produção de Petróleo em Plataforma - Cessão Onerosa - Declaração de Comercialidade a partir de 3/12/2012</t>
  </si>
  <si>
    <t>Agrega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</si>
  <si>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</si>
  <si>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</si>
  <si>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</si>
  <si>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em terra ou em lagos, rios, ilhas fluviais e lacustres.</t>
  </si>
  <si>
    <t>Royalties Excedentes pela Produção de Petróleo em Plataforma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</si>
  <si>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</si>
  <si>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</si>
  <si>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</si>
  <si>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</si>
  <si>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</si>
  <si>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</si>
  <si>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</si>
  <si>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</si>
  <si>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em terra ou em lagos, rios, ilhas fluviais e lacustres.</t>
  </si>
  <si>
    <t>Royalties pela Produção de Petróleo em Plataforma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</si>
  <si>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</si>
  <si>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Agrega receitas decorrentes da extração mineral</t>
  </si>
  <si>
    <t>Outorga de Direitos de Exploração e Pesquisa Mineral</t>
  </si>
  <si>
    <t>Agrega receitas decorrentes da outorga do Alvará de Pesquisa Mineral.</t>
  </si>
  <si>
    <t>Compensação Financeira pela Exploração de Recursos Minerais</t>
  </si>
  <si>
    <t>Agrega receitas decorrentes da compensação financeira pela exploração de recursos minerais.</t>
  </si>
  <si>
    <t>Exploração de Recursos Hídricos</t>
  </si>
  <si>
    <t>Agrega as receitas de compensação financeira pela exploração e utilização de recursos hídricos.</t>
  </si>
  <si>
    <t>Outorga de Direitos de Uso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</si>
  <si>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</si>
  <si>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Concessão de Uso do Potencial de Energia Hidráulica</t>
  </si>
  <si>
    <t>Agrega as receitas decorrentes da autorização ou concessão, por parte da União, para exploração e aproveitamento dos potenciais de energia hidráulica.</t>
  </si>
  <si>
    <t>Compensação Financeira com a Exploração de Recursos Hídricos</t>
  </si>
  <si>
    <t>Agrega as receitas de compensação financeira pela exploração e utilização de recursos hídricos para geração de energia elétrica.</t>
  </si>
  <si>
    <t>Utilização de Recursos Hídricos - Itaipu</t>
  </si>
  <si>
    <t>Agrega as receitas de compensação financeira pela utilização de recursos hídricos por parte da Itaipu Binacional do Brasil.</t>
  </si>
  <si>
    <t>Utilização de Recursos Hídricos - Demais Empresas</t>
  </si>
  <si>
    <t>Agrega as receitas de compensação financeira pela utilização de recursos hídricos para geração de energia elétrica por parte de outras empresas, exceto Itaipu.</t>
  </si>
  <si>
    <t>Exploração de Recursos Florestais</t>
  </si>
  <si>
    <t>Agrega receitas decorrentes da exploração de recursos florestais.</t>
  </si>
  <si>
    <t>Concessão de Florestas Nacionais</t>
  </si>
  <si>
    <t>Agrega receitas decorrentes da concessão florestal de unidades localizadas em florestas nacionais criadas pela União nos termos do art. 17 da Lei no 9.985, de 18 de julho de 2000.</t>
  </si>
  <si>
    <t>Concessão de Florestas Nacionais - Valor Mínimo</t>
  </si>
  <si>
    <t>Agrega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</si>
  <si>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Demais Valores</t>
  </si>
  <si>
    <t>Agrega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</si>
  <si>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t>
  </si>
  <si>
    <t>Agrega receitas decorrentes da concessão florestal de unidades localizadas em florestas não classificadas como "florestas nacionais nos termos do art. 17 da Lei no 9.985, de 18 de julho de 2000".</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</si>
  <si>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</si>
  <si>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</si>
  <si>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</si>
  <si>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</si>
  <si>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Demais Receitas de Concessão Florestal</t>
  </si>
  <si>
    <t>Agrega receitas decorrentes de concessões florestais não especificadas nos itens anteriores.</t>
  </si>
  <si>
    <t>Custos de Edital de Concessão Florestal</t>
  </si>
  <si>
    <t>Agrega receitas decorrentes do pagamento de preço calculado sobre os custos de realização do edital de licitação da concessão florestal da unidade de manejo.</t>
  </si>
  <si>
    <t>Contratos de Transição de Concessão Florestal</t>
  </si>
  <si>
    <t>Agrega receitas decorrentes do pagamento de preço decorrente de contratos de transição de concessão florestal para exploração e gestão de florestas públicas e recursos florestais.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</si>
  <si>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</si>
  <si>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</si>
  <si>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Exploração de Outros Recursos Naturais</t>
  </si>
  <si>
    <t>Agrega receitas oriundas da exploração de recursos naturais não listados de forma específica nos códigos de natureza de receita anteriores.</t>
  </si>
  <si>
    <t>Compensações Ambientais</t>
  </si>
  <si>
    <t>Agrega receitas oriundas de Compensações Ambientais</t>
  </si>
  <si>
    <t>Outras Delegações para Exploração de Recursos Naturais</t>
  </si>
  <si>
    <t>Agrega receitas oriundas da exploração de quaisquer outros recursos naturais não listados em códigos de natureza de receita específicos.</t>
  </si>
  <si>
    <t>Exploração do Patrimônio Intangível</t>
  </si>
  <si>
    <t>Agrega as receitas originadas com a exploração do patrimônio intangível.</t>
  </si>
  <si>
    <t>Outorga de Direito de Uso ou de Exploração de Criação Protegida - Instituição Científica e Tecnológica</t>
  </si>
  <si>
    <t>Agrega valores referentes à receita decorrente da celebração de contratos de transferência de tecnologia e de licenciamento para outorga de direito de uso de exploração de criação protegida.</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</si>
  <si>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</si>
  <si>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</si>
  <si>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Royalties pela Exploração do Patrimônio Genético ou Conhecimento Tradicional Associado</t>
  </si>
  <si>
    <t>Registra os recursos decorrentes da exploração do patrimônio genético ou ao conhecimento tradicional associado</t>
  </si>
  <si>
    <t>Cessão de Direitos</t>
  </si>
  <si>
    <t>Agrega receitas decorrentes da cessão de direitos</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</si>
  <si>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</si>
  <si>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</si>
  <si>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Demais Receitas Patrimoniais</t>
  </si>
  <si>
    <t>Agrega as receitas patrimoniais não classificadas nos itens anteriores, inclusive receitas de aluguéis de bens móveis.</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</si>
  <si>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</si>
  <si>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</si>
  <si>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Agrega as receitas decorrentes das atividades industriais.</t>
  </si>
  <si>
    <t>Agrega as receitas de atividades industriais. Envolvem a extração e o beneficiamento de matérias-primas, bem como a produção e comercialização bens relacionados às indústrias mecânica, química e de transformação em geral.</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</si>
  <si>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</si>
  <si>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</si>
  <si>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</si>
  <si>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decorrentes da prestação de serviços administrativos e de serviços comerciais nas diversas áreas de atividade econômica.</t>
  </si>
  <si>
    <t>Serviços de Registro, Certificação e Fiscalização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</si>
  <si>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</si>
  <si>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</si>
  <si>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</si>
  <si>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</si>
  <si>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</si>
  <si>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Serviços e Atividades Referentes à Navegação e ao Transporte</t>
  </si>
  <si>
    <t>Serviços de Navegação</t>
  </si>
  <si>
    <t>Agrega as receitas originadas de serviços de navegação, decorrentes da utilização de instalações e serviços destinados a apoiar e tornar segura a navegação aérea e naval, de acordo com normas específicas.</t>
  </si>
  <si>
    <t>Agrega as receitas de serviços de navegação, decorrentes da utilização de instalações e serviços destinados a apoiar e tornar segura a navegação aérea e naval, de acordo com normas específicas.</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</si>
  <si>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</si>
  <si>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</si>
  <si>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Agrega as receitas originadas na exploração dos portos, terminais marítimos, atracadouros e ancoradouros.</t>
  </si>
  <si>
    <t>Agrega as receitas pela exploração dos portos, terminais marítimos, atracadouros e ancoradouros.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</si>
  <si>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</si>
  <si>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</si>
  <si>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</si>
  <si>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Agrega as receitas originadas do adicional sobre as tarifas aeroportuárias referidas no art. 3º da Lei nº 6.009, de 26 de dezembro de 1973.</t>
  </si>
  <si>
    <t>Parcela da Tarifa de Embarque Internacional</t>
  </si>
  <si>
    <t>Agrega as receitas originadas da parcela da tarifa de embarque internacional, correspondente ao aumento concedido pela Portaria nº 861/GM2, de 9 de dezembro de 1997, do Ministério da Aeronáutica, conforme disposto na Lei nº 9.825, de 23 de agosto de 1999.</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</si>
  <si>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</si>
  <si>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</si>
  <si>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</si>
  <si>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</si>
  <si>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</si>
  <si>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</si>
  <si>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</si>
  <si>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Agrega as receitas decorrentes da contribuição dos servidores públicos civis ativos, inativos e pensionistas, destinada ao custeio da Assistência à Saúde Suplementar do Servidor Civil.</t>
  </si>
  <si>
    <t>Serviços de Assistência Médico-Hospitalar do Militar</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</si>
  <si>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</si>
  <si>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</si>
  <si>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</si>
  <si>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</si>
  <si>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</si>
  <si>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Concessão de Avais, Garantias e Seguros</t>
  </si>
  <si>
    <t>Agrega as receitas de natureza não-financeira originadas da concessão de garantias, avais e seguros nas operações de crédito.</t>
  </si>
  <si>
    <t>Remuneração sobre Repasse para Programas de Desenvolvimento Econômico</t>
  </si>
  <si>
    <t>Agrega as receitas decorrentes de parte dos rendimentos dos empréstimos de recursos do Fundo de Amparo ao Trabalhador ao Banco Nacional de Desenvolvimento Econômico e Social - BNDES, de acordo com o art. 239 da Constituição Federal.</t>
  </si>
  <si>
    <t>Agrega as receitas decorrentes de serviços não relacionados nos itens anteriores.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</si>
  <si>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</si>
  <si>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</si>
  <si>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</si>
  <si>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</si>
  <si>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</si>
  <si>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</si>
  <si>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</si>
  <si>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</si>
  <si>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</si>
  <si>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</si>
  <si>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Agrega as receitas provenientes de recursos financeiros recebidos do exterior, decorrentes de doações, contratos, acordos, ajustes ou outros instrumentos, quando destinados a atender despesas classificáveis como correntes.</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</si>
  <si>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</si>
  <si>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</si>
  <si>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Transferências Provenientes de Depósitos Não Identificados</t>
  </si>
  <si>
    <t>Agrega as receitas provenientes de depósitos não identificados, decorrentes de doações, quando destinados a atender despesas classificáveis como correntes.</t>
  </si>
  <si>
    <t>Agrega recursos não classificáveis nas origens de receitas correntes anteriores.</t>
  </si>
  <si>
    <t>Multas Administrativas, Contratuais e Judiciais</t>
  </si>
  <si>
    <t>Agrega receitas decorrentes de multas de caráter punitivo aplicadas por órgãos ou entidades.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</si>
  <si>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</si>
  <si>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</si>
  <si>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Agrega receitas decorrentes de multas aplicadas por infração à Lei Geral de Telecomunicações - LGT e cometidas por concessionários de serviços de telecomunicações e de radiodifusão.</t>
  </si>
  <si>
    <t>Agrega receitas decorrentes de multas aplicadas por infração à legislação do seguro desemprego e abono salarial.</t>
  </si>
  <si>
    <t>Agrega receitas oriundas de multas aplicadas por infrações à legislação sobre defesa de direitos difusos.</t>
  </si>
  <si>
    <t>Multas Previstas em Lei por Infrações no Setor de Energia Elétrica</t>
  </si>
  <si>
    <t>Agrega Multas aplicadas pela ANEEL (auto de infração) a Concessionárias, Permissionárias e Autorizadas de Energia Elétrica</t>
  </si>
  <si>
    <t>Agrega receitas provenientes de multas aplicadas por condutas e atividades lesivas ao meio ambiente.</t>
  </si>
  <si>
    <t>Agrega receitas provenientes de sanções administrativas derivadas de condutas e atividades lesivas ao meio ambiente aplicadas por órgãos fiscalizadores.</t>
  </si>
  <si>
    <t>Agrega receitas decorrentes de multas aplicadas por determinação judicial, relativas a condutas e atividades lesivas ao meio ambiente.</t>
  </si>
  <si>
    <t>Agrega multas aplicadas por Tribunais de Contas pelo não cumprimento a decisão daqueles Tribunais.</t>
  </si>
  <si>
    <t>Agrega receitas decorrentes de multas aplicadas no âmbito de processos judiciais.</t>
  </si>
  <si>
    <t>Agrega receitas de multas e juros de mora destinados à indenização pelo atraso no cumprimento de obrigação e multas de caráter punitivo ou moratório decorrentes de inobservância de obrigações contratuais.</t>
  </si>
  <si>
    <t>Agrega receitas decorrentes de multas aplicadas pelo descumprimento da obrigatoriedade de que trata a legislação sobre regime de previdência privada complementar.</t>
  </si>
  <si>
    <t>Multa por Descumprimento de Obrigação Previdenciária Acessória</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</si>
  <si>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</si>
  <si>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Indenizações, Restituições e Ressarcimentos</t>
  </si>
  <si>
    <t>Agrega as receitas oriundas de indenizações, restituições e ressarcimentos ao ente público.</t>
  </si>
  <si>
    <t>Agrega as receitas advindas da reparação por perdas ou danos causados ao ente público.</t>
  </si>
  <si>
    <t>Agrega o valor dos recursos recebidos como indenização por danos causados ao patrimônio público ou indenização por Posse/Ocupação Ilícita de Bens da União.</t>
  </si>
  <si>
    <t>Indenização por Posse ou Ocupação Ilícita de Bens Públicos</t>
  </si>
  <si>
    <t>Agrega o valor das receitas de Indenização por Posse ou Ocupação Ilícita de Bens da União.</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</si>
  <si>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</si>
  <si>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</si>
  <si>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Agrega recursos recebidos como ressarcimento por danos causados ao patrimônio público, não classificado nos itens anteriores.</t>
  </si>
  <si>
    <t>Agrega recursos referentes a devoluções em decorrência de pagamentos indevidos e reembolso ou retorno de pagamentos efetuados a título de antecipação.</t>
  </si>
  <si>
    <t>Restituição de Convênios</t>
  </si>
  <si>
    <t>Restituição de Convênios - Primárias</t>
  </si>
  <si>
    <t>Agrega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</si>
  <si>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Financeiras</t>
  </si>
  <si>
    <t>Restituição de Benefícios Não Desembolsados</t>
  </si>
  <si>
    <t>Agrega receitas decorrentes de restituições, ao órgão concedente, de benefícios que não foram desembolsados em exercícios anteriores, ou mesmo pagos com erro ou fraude.</t>
  </si>
  <si>
    <t>Restituição de Benefícios Previdenciários</t>
  </si>
  <si>
    <t>Agrega as receitas provenientes de restituição dos benefícios previdenciários.</t>
  </si>
  <si>
    <t>Restituição de Benefícios Assistenciais</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</si>
  <si>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</si>
  <si>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Agrega receitas relativas à restituição de contribuições previdenciárias complementares, como no caso de pagamentos por parte da Administração às fundações de previdência privada, relativas aos servidores que se aposentam.</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</si>
  <si>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</si>
  <si>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</si>
  <si>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</si>
  <si>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Garantias Prestadas</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</si>
  <si>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</si>
  <si>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</si>
  <si>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</si>
  <si>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</si>
  <si>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</si>
  <si>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Restituição Decorrente da Não Aplicação de Incentivos Fiscais Relativos à Lei do Audiovisual</t>
  </si>
  <si>
    <t>Agrega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</si>
  <si>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Restituição Decorrente da Aplicação Irregular de Recursos Eleitorais</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</si>
  <si>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</si>
  <si>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Agrega receitas decorrentes de restituições não classificadas nos itens anteriores.</t>
  </si>
  <si>
    <t>Ressarcimentos</t>
  </si>
  <si>
    <t>Agrega recursos referentes a ressarcimentos recebidos pelo ente público.</t>
  </si>
  <si>
    <t>Ressarcimento por Operadoras de Seguros Privados de Assistência a Saúde</t>
  </si>
  <si>
    <t>Agrega receitas de ressarcimentos por operadoras de seguros privados de assistência à saúde.</t>
  </si>
  <si>
    <t>Ressarcimento de Custos</t>
  </si>
  <si>
    <t>Agrega receitas oriundas do ressarcimento de custos</t>
  </si>
  <si>
    <t>Reversão de Garantias</t>
  </si>
  <si>
    <t>Agrega as receitas relativas à incorporação de valores perdidos em favor da União, quando nos casos de reversão de depósito de garantias, ou outros assemelhados, nos casos relacionados a contratos administrativos.</t>
  </si>
  <si>
    <t>Ressarcimento ao Regime Geral de Previdência Social - RGPS</t>
  </si>
  <si>
    <t>Agrega os recursos decorrentes do ressarcimento de ações regressivas oriundas da relação de trabalho.</t>
  </si>
  <si>
    <t>Outros Ressarcimentos</t>
  </si>
  <si>
    <t>Agrega receitas oriundas de ressarcimentos não previstos nos itens anteriores</t>
  </si>
  <si>
    <t>Bens, Direitos e Valores Incorporados ao Patrimônio Público</t>
  </si>
  <si>
    <t>Agrega receitas oriundas de bens, direitos e valores Incorporados ao patrimônio público.</t>
  </si>
  <si>
    <t>Bens, Direitos e Valores Perdidos em Favor do Poder Público</t>
  </si>
  <si>
    <t>Agrega as receitas relativas à alienação de bens, direitos e valores, objeto da pena de perdimento em favor da União.</t>
  </si>
  <si>
    <t>Agrega as receitas relativas à alienação de bens, direitos e valores perdidos em favor da União.</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</si>
  <si>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</si>
  <si>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</si>
  <si>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</si>
  <si>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</si>
  <si>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</si>
  <si>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</si>
  <si>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Depósitos Abandonados (Dinheiro e/ou Objetos de Valor)</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</si>
  <si>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</si>
  <si>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Prêmios Prescritos de Concursos de Prognósticos</t>
  </si>
  <si>
    <t>Agrega receitas decorrentes de prêmios de concursos de prognósticos não procurados pelos contemplados dentro de prazo de prescrição.</t>
  </si>
  <si>
    <t>Demais Receitas Correntes</t>
  </si>
  <si>
    <t>Agrega receitas auferidas pela União não abarcadas pelos itens anteriores</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</si>
  <si>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</si>
  <si>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</si>
  <si>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Compensações ao RGPS</t>
  </si>
  <si>
    <t>Agrega as receitas relativas à compensação devida pela União ao Fundo do Regime Geral da Previdência Social pela renúncia previdenciária decorrente da desoneração da folha de pagamentos.</t>
  </si>
  <si>
    <t>Agrega as receitas relativas a compensações financeiras entre o Regime Geral e os Regimes Próprios de Previdência dos Servidores.</t>
  </si>
  <si>
    <t>Contribuição ao Montepio Civil</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</si>
  <si>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</si>
  <si>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Barreiras Técnicas ao Comércio Exterior</t>
  </si>
  <si>
    <t>Agrega receita decorrente da realização de leilão de cotas de importação, medida de salvaguarda destinada a proteger a produção nacional, por meio da imposição de quotas quantitativas definidas em leilão.</t>
  </si>
  <si>
    <t>Contrapartida de Subvenções ou Subsídios</t>
  </si>
  <si>
    <t>Agrega receitas decorrentes de contrapartida por parte de beneficiários de programas de concessão de subvenções ou subsídios.</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</si>
  <si>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</si>
  <si>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</si>
  <si>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</si>
  <si>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Prestação de Contas Eleitorais</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</si>
  <si>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</si>
  <si>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Reserva Global de Reversão</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</si>
  <si>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</si>
  <si>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Variação Cambial</t>
  </si>
  <si>
    <t>Agrega o valor total da receita financeira relativa às diferenças, para maior, de câmbio ocorridas em depósitos bancários ou transferências de recursos financeiros em moeda estrangeira.</t>
  </si>
  <si>
    <t>Agrega as receitas relativas a encargos legais pela inscrição em Dívida Ativa e as receitas de ônus de sucumbência.</t>
  </si>
  <si>
    <t>Agrega as receitas correspondentes aos encargos legais exigidos na ato da inscrição de créditos em dívida ativa da União, bem como nas hipóteses de cobrança judicial do executado, a serem recolhidas como renda da União.</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</si>
  <si>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</si>
  <si>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</si>
  <si>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Agrega receitas que não se enquadram nos itens anteriores.</t>
  </si>
  <si>
    <t>Agrega receitas primárias que não se enquadram nos itens anteriores.</t>
  </si>
  <si>
    <t>Agrega receitas financeiras que não se enquadram nos itens anteriores.</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</si>
  <si>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</si>
  <si>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</si>
  <si>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</si>
  <si>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</si>
  <si>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</si>
  <si>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</si>
  <si>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</si>
  <si>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</si>
  <si>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</si>
  <si>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</si>
  <si>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</si>
  <si>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</si>
  <si>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</si>
  <si>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Outras Operações de Crédito - Mercado Interno</t>
  </si>
  <si>
    <t>Agrega receitas decorrentes da contratação de operação de crédito no mercado interno não contempladas nos itens anteriores.</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</si>
  <si>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</si>
  <si>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</si>
  <si>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</si>
  <si>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</si>
  <si>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</si>
  <si>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</si>
  <si>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</si>
  <si>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</si>
  <si>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</si>
  <si>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Outras Operações de Crédito - Mercado Externo</t>
  </si>
  <si>
    <t>Agrega os recursos provenientes de outras operações de crédito externas que não se enquadram nos itens anteriores.</t>
  </si>
  <si>
    <t>Agrega os recursos provenientes da venda de bens móveis e imóveis e da alienação ou resgate de títulos.</t>
  </si>
  <si>
    <t>Agrega o valor da receita de alienação de bens móveis tais como: mercadorias, bens inservíveis ou desnecessários, dentre outros.</t>
  </si>
  <si>
    <t>Agrega o valor da receita obtida com a alienação ou resgate de títulos e valores mobiliários.</t>
  </si>
  <si>
    <t>Agrega as receitas provenientes da venda de estoques públicos ou privados, em consonância com a política agrícola nacional.</t>
  </si>
  <si>
    <t>Alienação de Estoques da Política de Garantia de Preços Mínimos - PGPM</t>
  </si>
  <si>
    <t>Agrega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</si>
  <si>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</si>
  <si>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</si>
  <si>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</si>
  <si>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</si>
  <si>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Alienação de Estoques de Café - FUNCAFÉ</t>
  </si>
  <si>
    <t>Agrega as receitas provenientes da venda de estoques de café, contemplados pela política de garantia de preços mínimos, adquiridos com recursos do Tesouro Nacional.</t>
  </si>
  <si>
    <t>Alienação de Bens Móveis e Semoventes</t>
  </si>
  <si>
    <t>Agrega as receitas provenientes da alienação de  bens móveis e semoventes. Compreende a alienação de animais, veículos, móveis, equipamentos e utensílios.</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</si>
  <si>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</si>
  <si>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</si>
  <si>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</si>
  <si>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Amortização de Empréstimos - BEA/BIB</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</si>
  <si>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</si>
  <si>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Amortização Proveniente da Execução de Garantia - Operações de Crédito</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</si>
  <si>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</si>
  <si>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Amortização de Empréstimos - Estados e Municípios</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</si>
  <si>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</si>
  <si>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</si>
  <si>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</si>
  <si>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Programa das Operações Oficiais de Crédito</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</si>
  <si>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</si>
  <si>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Contratuais</t>
  </si>
  <si>
    <t>Agrega as receitas provenientes de pagamento de parcelas de empréstimos, financiamentos e refinanciamentos que não se enquadram em categorias específicas.</t>
  </si>
  <si>
    <t>Agrega as receitas provenientes da amortização de financiamentos concedidos.</t>
  </si>
  <si>
    <t>Amortização de Financiamento do Fundo de Financiamento ao Estudante do Ensino Superior - FIES</t>
  </si>
  <si>
    <t>Agrega as receitas provenientes de amortização de financiamento concedido pelo Fundo de Financiamento ao Estudante do Ensino Superior.</t>
  </si>
  <si>
    <t>Agrega as receitas provenientes de recursos financeiros decorrentes de doações, contratos, convênios, acordos, ajustes, termos de parceria ou outros instrumentos, quando destinados a atender despesas classificáveis como de capital.</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</si>
  <si>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</si>
  <si>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</si>
  <si>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</si>
  <si>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</si>
  <si>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</si>
  <si>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do exterior, decorrentes de doações, contratos, acordos, ajustes ou outros instrumentos, quando destinados a atender despesas classificáveis como de capital.</t>
  </si>
  <si>
    <t>Agrega as receitas provenientes de recursos financeiros recebidos de pessoas físicas, decorrentes de doações, contratos, acordos, ajustes ou outros instrumentos, quando destinados a atender despesas classificáveis como de capital.</t>
  </si>
  <si>
    <t>Agrega as receitas provenientes de depósitos não identificados, decorrentes de doações, quando destinados a atender despesas classificáveis como de capital.</t>
  </si>
  <si>
    <t>Registra as receitas provenientes de depósitos não identificados, decorrentes de doações, quando destinados a atender despesas classificáveis como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</si>
  <si>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</si>
  <si>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</si>
  <si>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</si>
  <si>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Resultado do Banco Central</t>
  </si>
  <si>
    <t>Agrega receitas decorrentes do resultado positivo apurado no balanço semestral do Banco Central, após computadas eventuais constituições ou reversões de reservas.</t>
  </si>
  <si>
    <t>Resultado do Banco Central - Operações com Reservas e Derivativos Cambiais</t>
  </si>
  <si>
    <t>Agrega receitas decorrentes do resultado positivo apurado no balanço semestral do Banco Central, decorrente das operações com Reservas e Derivativos Cambiais, após computadas eventuais constituições ou reversões de reservas.</t>
  </si>
  <si>
    <t>Resultado do Banco Central - Demais Operações</t>
  </si>
  <si>
    <t>Agrega receitas decorrentes do resultado positivo apurado no balanço semestral do Banco Central, decorrente de operações não relacionadas a reservas e derivativos cambiais.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</si>
  <si>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</si>
  <si>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</si>
  <si>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Resgate de Títulos do Tesouro</t>
  </si>
  <si>
    <t>Agrega recursos correspondentes ao valor principal das receitas auferidas por detentores de títulos do Tesouro resgatados.</t>
  </si>
  <si>
    <t>Demais Receitas de Capital</t>
  </si>
  <si>
    <t>Agrega as receitas de capital que não atendem às especificações anteriores. Deve ser empregada apenas no caso de impossibilidade de utilização dos demais títulos.</t>
  </si>
  <si>
    <t>Impostos sobre o Patrimônio para Estados/DF/Municípios</t>
  </si>
  <si>
    <t>Operações de Crédito Internas de Estados/DF/Municípios</t>
  </si>
  <si>
    <t>Operações de Crédito Externas - Estados/DF/ Municípios</t>
  </si>
  <si>
    <t>Operações de Crédito - Mercado Interno - Estados/DF/Municípios</t>
  </si>
  <si>
    <t>Operação de Crédito Externas - Estados/DF/Municípios</t>
  </si>
  <si>
    <t>Contribuição do Militar Ativo</t>
  </si>
  <si>
    <t>Contribuição do Militar Inativo</t>
  </si>
  <si>
    <t>Contribuição dos Pensionistas Militares</t>
  </si>
  <si>
    <t>Inscrição em Concursos e Processos Seletivos</t>
  </si>
  <si>
    <t>Agrega as receitas de inscrição em concursos e processos seletivos, inclusive vestibulares realizados pelas instituições de ensino.</t>
  </si>
  <si>
    <t>Transferências dos Estados, Distrito Federal, e de suas Entidades</t>
  </si>
  <si>
    <t>Transferências dos Estados e Distrito Federal a Consórcios Públicos</t>
  </si>
  <si>
    <t>Registra o valor das transferências de capital dos Estados, Distrito Federal, e de suas entidades, recebidas pelos consórcios públicos, mediante contrato ou outro instrumento.</t>
  </si>
  <si>
    <t>Agrega as transferências de capital dos Estados, Distrito Federal, e de suas entidades, recebidas pelos consórcios públicos, mediante contrato ou outro instrumento.</t>
  </si>
  <si>
    <t>Registra o valor total da arrecadação dos impostos de competência dos Estados, Distrito Federal e Municípios.</t>
  </si>
  <si>
    <t>Registra o valor total da arrecadação dos impostos incidentes sobre o patrimônio, de competência dos Estados, Distrito Federal e Municípios.</t>
  </si>
  <si>
    <t>Registra o valor total da arrecadação dos impostos incidentes sobre a produção, circulação de mercadorias e serviços, de competência dos Estados, Distrito Federal e Municípios.</t>
  </si>
  <si>
    <t>Transferências Provenientes de Depósito Não Identificados - Específica E/M</t>
  </si>
  <si>
    <t>Agrega o valor total das receitas recebidas por meio de transferências de capital provenientes de pessoas físicas .</t>
  </si>
  <si>
    <t>Demais Receitas de Capital Específicas de E/DF/M</t>
  </si>
  <si>
    <t>Agrega as receitas de capital que não atendem às especificações anteriores. Deve ser empregada apenas no caso de impossibilidade de utilização dos demais títulos. Específica para Estados, Distrito Federal e Municípios.</t>
  </si>
  <si>
    <t>Contribuição de Melhoria - Específica de Estados, DF e Municípios</t>
  </si>
  <si>
    <t>Impostos Específicos de Estados, DF e Municípios</t>
  </si>
  <si>
    <t>Contribuições Sociais Específicas de Estados, DF e Municípios</t>
  </si>
  <si>
    <t>Transferências da União - Específicas de Estados, DF e Municípios</t>
  </si>
  <si>
    <t>Transferências dos Estados - Específicas de Estados, DF e Municípios</t>
  </si>
  <si>
    <t>Transferências dos Municípios -Específicas de Estados, DF e Municípios</t>
  </si>
  <si>
    <t>Transferências de Instituições Privadas - Específicas de Estados, DF e Municípios</t>
  </si>
  <si>
    <t>Transferências de Outras Instituições Públicas - Específicas de Estados, DF e Municípios</t>
  </si>
  <si>
    <t>Transferências do Exterior - Específicas de Estados, DF e Municípios</t>
  </si>
  <si>
    <t>Transferências de Pessoas Físicas - Específicas de Estados, DF e Municípios</t>
  </si>
  <si>
    <t>Transferências Provenientes de Depósito Não Identificados - Específica E/DF/M</t>
  </si>
  <si>
    <t>Demais Receitas de Capital Específicas de Estados, DF e Municípios</t>
  </si>
  <si>
    <t>Agrega as receitas relacionadas à contribuição de melhoria de competência dos Estados, Distrito Federal e Municípios, decorrente de obras públicas.</t>
  </si>
  <si>
    <t>Registra o valor total das receitas recebidas por meio de transferências da União para Estados, Distrito Federal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</si>
  <si>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</si>
  <si>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</si>
  <si>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</si>
  <si>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</si>
  <si>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</si>
  <si>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</si>
  <si>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Registra o valor total das receitas recebidas por meio de transferências de capital da União recebidas pelas entidades da administração Estadual, do Distrito Federal e Municipal inclusive suas fundações instituídas pelo poder público.</t>
  </si>
  <si>
    <t xml:space="preserve">Registra o valor total dos recursos recebidos pelas demais esferas de governo e respectivas entidades da administração descentralizada, transferidos pelos Estados e Distrito Federal. </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</si>
  <si>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</si>
  <si>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</si>
  <si>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</si>
  <si>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</si>
  <si>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Agrega as receitas provenientes de depósitos não identificados, decorrentes de doações, quando destinados a atender despesas classificáveis como de capital. Específica para transferências aos Estados, Distrito Federal e Municípios.</t>
  </si>
  <si>
    <t>Registra o valor da arrecadação de receita com operações de crédito externas realizadas pelos Estados, Distrito Federal e Municípios.</t>
  </si>
  <si>
    <t>Impostos sobre a Produção, Circulação de Mercadorias e Serviços</t>
  </si>
  <si>
    <t>Transferências Provenientes de Depósito Não Identificados</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</si>
  <si>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</si>
  <si>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Entretatno, ainda há arrecadação de saldos remanescentes do período em que o referido imposto vigorou.</t>
  </si>
  <si>
    <t>Contribuição sobre o Faturamento das Empresas de Informática instaladas na Amazônia</t>
  </si>
  <si>
    <t xml:space="preserve">Contribuição sobre o Faturamento das Empresas de Informática instaladas nas Demais Regiões </t>
  </si>
  <si>
    <t>Contribuições Econômicas Específicas de Estados e Municípios</t>
  </si>
  <si>
    <t>Agrega as receitas originadas de contribuições econômicas específicas de Estados e Municípios.</t>
  </si>
  <si>
    <t>Contribuições Econômicas sobre Commodities</t>
  </si>
  <si>
    <t>Agrega as receitas originadas de contribuições econômicas sobre commodities, específicas de Estados e Municípios</t>
  </si>
  <si>
    <t>Contribuição Econômica destinada ao Fethab</t>
  </si>
  <si>
    <t>Agrega as receitas decorrentes de contribuições arrecadadas, coforme Lei Estadual do Estado do Mato Grosso nº 10.353/2015.</t>
  </si>
  <si>
    <t>Transferências Advindas de Emendas Parlamentares Individuais</t>
  </si>
  <si>
    <t>Registra a receita corrente repassada pela União , decorrente de emedas parlamentares individuais, na forma prevista do parágrafo 9º do art. 166, da CF/88, acrescido pela Emenda Constitucional nº 86/2015.</t>
  </si>
  <si>
    <t>Outras Transferências de Recursos Fundo a Fundo</t>
  </si>
  <si>
    <t>Registra o valor da receita de outras transferências de recursos Fundo a Fundo da União para Estados, Distrito Federal e  Municípios, não compreendidas nos itens anteriores.</t>
  </si>
  <si>
    <t>Transferência de Recursos do Fundo Penitenciário Nacional - Fupen</t>
  </si>
  <si>
    <t>Registra o valor da receita das transferências de recursos do Fundo Penitenciário Nacional - Fupen, a título de transferência obrigatória aos Estados, Distrito Federal e Municípios.</t>
  </si>
  <si>
    <t>Transferências de Estados destinadas à Assistência Social</t>
  </si>
  <si>
    <t>Registra a receita repassada pelos Estados aos demais entes destinadas à Assistência Social.</t>
  </si>
  <si>
    <t>Restituição de Depósitos de Setenças Judiciais não Sacados</t>
  </si>
  <si>
    <t>Agrega o valor da arrecadação com operação de crédito internas de Estados, Distrito Federal e Municípios.</t>
  </si>
  <si>
    <t>Alienação de Bens Móveis Específica para Estados, Distrito Federal e Municípios</t>
  </si>
  <si>
    <t>Agrega o valor da receita de alienação de bens móveis tais como: mercadorias, bens inservíveis ou desnecessários, dentre outros. Específica para atender Estados, Distrito Federal e Municípios.</t>
  </si>
  <si>
    <t>Agrega o valor da receita obtida com a alienação ou resgate de títulos e valores mobiliários específica para Estados, Distrito Federal e Municípios.</t>
  </si>
  <si>
    <t>Alienação de Investimentos Temporários</t>
  </si>
  <si>
    <t>Alienação de Investimentos Permanentes</t>
  </si>
  <si>
    <t>Agrega as receitas provenientes da alienação de bens imóveis, de propriedade da União, Estados, Distrito Federal e Municípios..</t>
  </si>
  <si>
    <t>Agrega as receitas provenientes da alienação de bens imóveis, de propriedade da União, Estados, Distrito Federal e Municípios.</t>
  </si>
  <si>
    <t>Alientação de Bens Imóveis, Programa de Administração Imobiliária da União</t>
  </si>
  <si>
    <t>Registra a receita proveniente da alienação de bens imóveis, conforme Programa de Administração Imobiliária da União.</t>
  </si>
  <si>
    <t>Registra a receita de capital repassada pela União , decorrente de emedas parlamentares individuais, na forma prevista do parágrafo 9º do art. 166, da CF/88, acrescido pela Emenda Constitucional nº 86/2015.</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</si>
  <si>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</si>
  <si>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</si>
  <si>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</si>
  <si>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</si>
  <si>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Taxas - Específicas de Estados, DF e Municípios</t>
  </si>
  <si>
    <t>Taxas de Inspeção, Controle e Fiscalização - Outras</t>
  </si>
  <si>
    <t>Agrega as receitas relacionadas às taxas de competência dos Estados, Distrito Federal e Municípios.</t>
  </si>
  <si>
    <t>Agrega as receitas relacionadas às taxas de inspeção, controle e fiscalização de competência dos Estados, Distrito Federal e Municípios.</t>
  </si>
  <si>
    <t>Agrega as receitas relacionadas às taxas de inspeção, controle e fiscalização de vigilância sanitária, de competência dos Estados, Distrito Federal e Municípios.</t>
  </si>
  <si>
    <t>Agrega as receitas relacionadas às taxas de inspeção, controle e fiscalização relativas a saúde suplementar, de competência dos Estados, Distrito Federal e Municípios.</t>
  </si>
  <si>
    <t>Agrega as receitas relacionadas a outras taxas não especificadas anteriormente relativas a atividades de inspeção, controle e fiscalização de competência dos Estados, Distrito Federal e Municípios.</t>
  </si>
  <si>
    <t>Transferência de Recursos do SUS – Outros Programas Financiados por Transferências Fundo a Fundo</t>
  </si>
  <si>
    <t>Transferência de Recursos do SUS – Atenção Básica</t>
  </si>
  <si>
    <t>Transferência de Recursos do SUS – Atenção de Média e Alta Complexidade Ambulatorial e Hospitalar</t>
  </si>
  <si>
    <t>Transferência de Recursos do SUS – Vigilância em Saúde</t>
  </si>
  <si>
    <t>Transferência de Recursos do SUS – Assistência Farmacêutica</t>
  </si>
  <si>
    <t>Transferência de Recursos do SUS – Gestão do SUS</t>
  </si>
  <si>
    <t>Agrega o valor total das receitas recebidas por meio de cota-parte do fundo participação dos Estados e Distrito Federal.</t>
  </si>
  <si>
    <t>Agrega o valor total das receitas recebidas por meio de cota-parte do Fundo de Participação dos Municípios (FPM), referente à alínea “b” do inciso I do art. 159 da Constituição Federal.</t>
  </si>
  <si>
    <t>Agrega o valor total das receitas recebidas por meio de cota-parte do Fundo de Participação dos Municípios (FPM), referente à alínea “d” do inciso I do art. 159 da Constituição Federal.</t>
  </si>
  <si>
    <t>Agrega o valor total das receitas recebidas por meio de cota-parte do Fundo de Participação dos Municípios (FPM), referente à alínea “e” do inciso I do art. 159 da Constituição Federal e Emenda Constitucional nº 84, de 2014.</t>
  </si>
  <si>
    <t>Agrega o valor total das receitas recebidas por meio de transferências do imposto sobre a propriedade territorial rural.</t>
  </si>
  <si>
    <t>Agrega recebidos em decorrência da transferência constitucional do imposto sobre produtos industrializados.</t>
  </si>
  <si>
    <t xml:space="preserve">Agrega o valor das receitas recebidas pelos Estados por meio de transferências constitucionais da contribuição de intervenção no domínio econômico (Emenda Constitucional nº 42, de 19/12/2003). </t>
  </si>
  <si>
    <t>Agrega o valor total das receitas recebidas por meio de cota-parte imposto sobre operações crédito câmbio e seguros.</t>
  </si>
  <si>
    <t>Agrega o valor da arrecadação de receita de transferência da compensação financeira pela exploração de recursos naturais.</t>
  </si>
  <si>
    <t>Agrega o valor da arrecadação da receita da cota-parte da compensação financeira de recursos hídricos, para fins de geração de energia elétrica.</t>
  </si>
  <si>
    <t>Agrega o valor da arrecadação da receita da cota-parte da compensação financeira de recursos minerais, para fins de aproveitamento econômico.</t>
  </si>
  <si>
    <t>Agrega o valor da arrecadação da receita com a cota-parte royalties – compensação financeira pela produção de petróleo.</t>
  </si>
  <si>
    <t>Agrega o valor da arrecadação de receita com a cota-parte royalties pelo excedente da produção do petróleo.</t>
  </si>
  <si>
    <t>Agrega o valor da arrecadação de receita com a cota-parte royalties pela participação especial prevista na Lei nº 9.478/97, art. 50.</t>
  </si>
  <si>
    <t>Agrega o valor da arrecadação de receita de transferência da cota-parte do Fundo Especial do Petróleo – FEP.</t>
  </si>
  <si>
    <t>Agrega o valor da arrecadação de receita com outras transferências decorrentes de compensação financeira proveniente da exploração de recursos naturais.</t>
  </si>
  <si>
    <t>Outras Transferência de Instituições Privadas para EST/DF/MUN - Não Especificadas Anteriormente</t>
  </si>
  <si>
    <t>Agrega o valor total dos recursos oriundos instituições privadas, para realização de objetivos de interesse comum dos partícipes, não especificados anteriormente, destinados a custear despesas correntes.</t>
  </si>
  <si>
    <t>Transferência de Convênios de Instituições Privadas para EST/DF/MUN</t>
  </si>
  <si>
    <t>Transferências de Convênios de Instituições Privadas para Programas de Saúde</t>
  </si>
  <si>
    <t>Agrega as receitas provenientes de recursos financeiros recebidos de instituições dotadas de personalidade jurídica de direito privado, decorrentes de convênios, quando destinados a atender despesas classificáveis como correntes. Específica para transferências aos Estados, Distrito Federal e Municípios.</t>
  </si>
  <si>
    <t>Agrega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</si>
  <si>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Recursos de Complementação da União ao Fundo de Manutenção e Desenvolvimento da Educação Básica e de Valorização dos Profissionais da Educação – FUNDEB</t>
  </si>
  <si>
    <t>Agrega o valor total dos recursos de transferências da União para complementação do FUNDEB, recebidos pelos Estados, Distrito Federal e Municípios, não podendo ser utilizado este item para o registro do ganho apurado nas operações do FUNDEB.</t>
  </si>
  <si>
    <t>Outras Transferência de Convênios do Exterior - Não Especificadas Anteriormente</t>
  </si>
  <si>
    <t>Agrega o valor total dos recursos oriundos de convênios firmados com organismos e fundos internacionais, governos estrangeiros e instituições privadas internacionais, não especificados nos itens anteriores.</t>
  </si>
  <si>
    <t>Transferência de Convênios do Exterior - Programas de Saúde</t>
  </si>
  <si>
    <t>Agrega o valor total dos recursos oriundos de convênios firmados com organismos e fundos internacionais, governos estrangeiros e instituições privadas internacionais.</t>
  </si>
  <si>
    <t>Agrega o valor total dos recursos oriundos de convênios firmados com organismos e fundos internacionais, governos estrangeiros e instituições privadas internacionais, especificamente destinados a programas de saúde.</t>
  </si>
  <si>
    <t>Transferências de Pessoas Físicas - Específicas de E/DF/M - Programas de Saúde</t>
  </si>
  <si>
    <t>Transferências de Pessoas Físicas - Específicas de E/DF/M</t>
  </si>
  <si>
    <t>Agrega as receitas provenientes de recursos financeiros recebidos de pessoas físicas, decorrentes de doações, contratos, acordos, ajustes ou outros instrumentos, quando destinados a atender despesas classificáveis como correntes. Específica para transferências aos Estados, Distrito Federal e Municípios.</t>
  </si>
  <si>
    <t>Agrega as receitas provenientes de recursos financeiros recebidos de pessoas físicas, decorrentes de doações, contratos, acordos, ajustes ou outros instrumentos, quando destinados a atender despesas classificáveis como correntes, para transferências aos Estados, Distrito Federal e Municípios, não especificados nos itens anteriores.</t>
  </si>
  <si>
    <t>Indenizações, Restituições e Ressarcimentos - Específicas para Estados/DF/Municípios</t>
  </si>
  <si>
    <t>Agrega as receitas oriundas de indenizações, restituições e ressarcimentos ao ente público, específicas para Estados, DF e Municípios.</t>
  </si>
  <si>
    <t>Indenizações- Específicas para Estados/DF/Municípios</t>
  </si>
  <si>
    <t>Indenizações - Específicas para Estados/DF/Municípios</t>
  </si>
  <si>
    <t>Restituições - Específicas para Estados/DF/Municípios</t>
  </si>
  <si>
    <t>Ressarcimentos - Específicas para Estados/DF/Municípios</t>
  </si>
  <si>
    <t>Ressarcimento - Específicas para Estados/DF/Municípios</t>
  </si>
  <si>
    <t>Outras Restituições - Específicas para Estados/DF/Municípios - Não Especificadas Anteriormente</t>
  </si>
  <si>
    <t>Restituições de Recursos Recebidos do SUS - Específicas para Estados/DF/Municípios</t>
  </si>
  <si>
    <t>Agrega as receitas oriundas de indenizações ao ente público, específicas para Estados, DF e Municípios.</t>
  </si>
  <si>
    <t>Agrega as receitas oriundas de restituições ao ente público, específicas para Estados, DF e Municípios.</t>
  </si>
  <si>
    <t>Agrega outras receitas oriundas de restituições ao ente público, específicas para Estados, DF e Municípios, não detalhadas anteriormente.</t>
  </si>
  <si>
    <t>Agrega as receitas oriundas de ressarcimentos ao ente público, específicas para Estados, DF e Municípios.</t>
  </si>
  <si>
    <t>Outras Transferências de Recursos do Sistema Único de Saúde – SUS, não detalhadas anteriormente</t>
  </si>
  <si>
    <t>Transferências de Recursos do Sistema Único de Saúde – SUS destinados à Atenção Básica</t>
  </si>
  <si>
    <t>Transferências de Recursos do Sistema Único de Saúde – SUS destinados à Atenção Especializada</t>
  </si>
  <si>
    <t>Transferências de Recursos do Sistema Único de Saúde – SUS destinados à Vigilância em Saúde</t>
  </si>
  <si>
    <t>Transferências de Recursos do Sistema Único de Saúde – SUS destinados à Gestão e Desenvolvimento de Tecnologias em Saúde no SUS</t>
  </si>
  <si>
    <t>Transferências de Recursos do Sistema Único de Saúde – SUS destinados à Gestão do SUS</t>
  </si>
  <si>
    <t>Transferências de Convênios dos Municípios destinadas a Programas de Saneamento</t>
  </si>
  <si>
    <t>Registra o valor dos recursos oriundos de convênios firmados com os Municípios, destinados a programas de saneamento, para a realização de objetivos de interesse comum dos partícipes, e destinados a custear despesas de capital.</t>
  </si>
  <si>
    <t>Transferências de Recursos do Sistema Único de Saúde – SUS - Bloco Investimentos na Rede de Serviços Públicos de Saúde</t>
  </si>
  <si>
    <t>Transferências de Convênios de Instituições Privadas Destinados a Programas de Saúde</t>
  </si>
  <si>
    <t>Outras Transferências de Instituições Privadas</t>
  </si>
  <si>
    <t>Agrega o valor total dos recursos oriundos de convênios firmados, com ou sem contraprestações de serviços, com instituições privadas, para a realização de objetivos de interesse comum dos partícipes, destinados a custear despesas de capital.</t>
  </si>
  <si>
    <t>Agrega o valor total dos recursos oriundos de convênios firmados, com ou sem contraprestações de serviços, com instituições privadas, para a realização de objetivos de interesse comum dos partícipes, destinados a custear despesas de capital com Programas de Saúde.</t>
  </si>
  <si>
    <t>Agrega o valor total dos recursos oriundos de convênios firmados, com ou sem contraprestações de serviços, com instituições privadas, para a realização de objetivos de interesse comum dos partícipes, destinados a custear despesas de capital, não especificadas anteriormente.</t>
  </si>
  <si>
    <t>Transferências do Exterior para Programas de Saúde</t>
  </si>
  <si>
    <t>Outras Transferências do Exterior Não Especificadas Anteiormente</t>
  </si>
  <si>
    <t>Agrega as receitas provenientes de recursos financeiros recebidos do exterior, decorrentes de doações, contratos, acordos, ajustes ou outros instrumentos, quando destinados a atender despesas classificáveis como de capital, específicas para Programas de Saúde.</t>
  </si>
  <si>
    <t>Agrega as receitas provenientes de recursos financeiros recebidos do exterior, decorrentes de doações, contratos, acordos, ajustes ou outros instrumentos, quando destinados a atender despesas classificáveis como de capital, não especificadas anteriormente.</t>
  </si>
  <si>
    <t>Outras Transferências de Pessoas Físicas Não Especificadas Anteriormente</t>
  </si>
  <si>
    <t>Transferências de Pessoas Físicas para Programas de Saúde</t>
  </si>
  <si>
    <t>Agrega o valor total das receitas recebidas por meio de transferências de capital provenientes de pessoas físicas, específicas para Programas de Saúde.</t>
  </si>
  <si>
    <t>Agrega o valor total das receitas recebidas por meio de transferências de capital provenientes de pessoas físicas, não especificadas anteriormente.</t>
  </si>
  <si>
    <t>Imposto sobre a Importação - Multas e Juros de Mora</t>
  </si>
  <si>
    <t>Imposto sobre a Importação - Dívida Ativa - Multas e Juros de Mora da Dívida Ativa</t>
  </si>
  <si>
    <t>Imposto sobre a Importação - Multas</t>
  </si>
  <si>
    <t>Imposto sobre a Importação - Juros de Mora</t>
  </si>
  <si>
    <t>Imposto sobre a Importação - Dívida Ativa - Multas da Dívida Ativa</t>
  </si>
  <si>
    <t>Imposto sobre a Importação - Juros de Mora da Dívida Ativa</t>
  </si>
  <si>
    <t>Utilização de Recursos Hídricos - Demais Empresas - Prorrogação de Outorga</t>
  </si>
  <si>
    <t>Agrega as receitas de compensação financeira pela utilização de recursos hídricos para geração de energia elétrica por parte de outras empresas, exceto Itaipu, nos casos de prorrogação de outorga de que trata o art. 2º, da Lei 12.783, de 11 de janeiro de 2013.</t>
  </si>
  <si>
    <t>Contribuição para Financiamento da Seguridade Social - COFINS</t>
  </si>
  <si>
    <t>Contribuição para Financiamento da Seguridade Social - COFINS sobre o Faturamento</t>
  </si>
  <si>
    <t>Contribuição para Financiamento da Seguridade Social - COFINS sobre o Faturamento - SIMPLES</t>
  </si>
  <si>
    <t>Contribuição para Financiamento da Seguridade Social - COFINS sobre o Faturamento - Parcelamentos</t>
  </si>
  <si>
    <t>Contribuição para o Programa de Integração Social e para Programa de Formação de Patrimônio do Servidor Público PIS/PASEP</t>
  </si>
  <si>
    <t>Contribuição para o PIS/PASEP sobre o Faturamento - SIMPLES</t>
  </si>
  <si>
    <t>Contribuição para o PIS/PASEP sobre a Folha de Salários - Templos de Qualquer Culto</t>
  </si>
  <si>
    <t>Contribuição para o PIS/PASEP sobre a Folha de Salários - Partidos Políticos</t>
  </si>
  <si>
    <t>Contribuição para o PIS/PASEP sobre a Folha de Salários - Instituições de Educação e de Assistência Social (Art. 12 da Lei nº 9.532, de 1997)</t>
  </si>
  <si>
    <t>Contribuição para o PIS/PASEP sobre a Folha de Salários - Instituições de Caráter Filantrópico, Recreativo, Cultural, Científico e as Associações (Art. 15 da Lei nº 9.532, de 1997)</t>
  </si>
  <si>
    <t>Contribuição para o PIS/PASEP sobre a Folha de Salários - Sindicados, Federações e Confederações</t>
  </si>
  <si>
    <t>Contribuição para o PIS/PASEP sobre a Folha de Salários - Serviços Sociais Autônomos</t>
  </si>
  <si>
    <t>Contribuição para o PIS/PASEP sobre a Folha de Salários - Conselhos de Fiscalização de Profissões Regulamentadas</t>
  </si>
  <si>
    <t>Contribuição para o PIS/PASEP sobre a Folha de Salários - Fundações de Direito Privado</t>
  </si>
  <si>
    <t>Contribuição para o PIS/PASEP sobre a Folha de Salários - Condomínio de Proprietários de Imóveis Residenciais ou Comerciais</t>
  </si>
  <si>
    <t>Contribuição para o PIS/PASEP sobre a Folha de Salários - Organização das Cooperativas Brasileiras e as Organizações Estaduais de Cooperativas (Lei nº 5.764, de 1971)</t>
  </si>
  <si>
    <t>Contribuição para o PIS/PASEP - Parcelamentos</t>
  </si>
  <si>
    <t>Contribuição Social sobre o Lucro Líquido - CSLL - Pessoas Jurídicas Não Financeiras</t>
  </si>
  <si>
    <t>Contribuição Social sobre o Lucro Líquido - CSLL - Entidades Financeiras, de Seguros Privados e de Capitalização</t>
  </si>
  <si>
    <t>Contribuição Social sobre o Lucro Líquido - CSLL - Parcelamentos</t>
  </si>
  <si>
    <t>Contribuição Social sobre o Lucro Líquido - CSLL - Outros Contribuintes</t>
  </si>
  <si>
    <t>Contribuição Previdenciária do Segurado Obrigatório</t>
  </si>
  <si>
    <t>Conbrituição Previdenciária do Empregado</t>
  </si>
  <si>
    <t>Conbrituição Previdenciária do Empregado Doméstico</t>
  </si>
  <si>
    <t>Conbrituição Previdenciária do Contribuinte Individual</t>
  </si>
  <si>
    <t>Contribuição Previdenciária do Trabalhador Avulso</t>
  </si>
  <si>
    <t>Conbrituição Previdenciária do Segurado Especial</t>
  </si>
  <si>
    <t>Conbrituição Previdenciária do Segurado Facultativo</t>
  </si>
  <si>
    <t>Contribuições para o Regime Geral de Previdência Social - RGPS - Parcelamentos</t>
  </si>
  <si>
    <t>Contribuição para o Plano de Seguridade Social do Servidor Público - CPSSS</t>
  </si>
  <si>
    <t>CPSSS do Servidor Civil Ativo</t>
  </si>
  <si>
    <t>CPSSS do Servidor Civil Inativo</t>
  </si>
  <si>
    <t>CPSSS - Servidor Civil</t>
  </si>
  <si>
    <t>CPSSS - Servidor Civil Ativo</t>
  </si>
  <si>
    <t>CPSSS - Servidor Civil Inativo</t>
  </si>
  <si>
    <t>CPSSS - Servidor Civil - Pensionistas</t>
  </si>
  <si>
    <t>CPSSS Oriunda de Sentenças Judiciais - Servidor Civil Ativo</t>
  </si>
  <si>
    <t>CPSSS Oriunda de Sentenças Judiciais - Servidor Civil Inativo</t>
  </si>
  <si>
    <t>CPSSS Oriunda de Sentenças Judiciais - Servidor Civil - Pensionistas</t>
  </si>
  <si>
    <t>CPSSS Patronal</t>
  </si>
  <si>
    <t>CPSSS Patronal - Servidor Civil</t>
  </si>
  <si>
    <t>CPSSS Oriunda de Sentenças Judiciais - Patronal - Servidor Civil</t>
  </si>
  <si>
    <t>CPSSS - Parcelamentos</t>
  </si>
  <si>
    <t>Contribuição para Fundos de Assistência Médica</t>
  </si>
  <si>
    <t>Contribuição para Fundos de Assistência Médica - Policiais Militares</t>
  </si>
  <si>
    <t>Contribuição para Fundos de Assistência Médica - Policiais Militares - Parcelamentos</t>
  </si>
  <si>
    <t>Contribuição para Fundos de Assistência Médica - Bombeiros Militares</t>
  </si>
  <si>
    <t>Contribuição para Fundos de Assistência Médica - Bombeiros Militares - Parcelamentos</t>
  </si>
  <si>
    <t>Contribuição para Fundos de Assistência Médica - Servidores Civis</t>
  </si>
  <si>
    <t>Contribuição para Fundos de Assistência Médica - Servidores Civis - Parcelamentos</t>
  </si>
  <si>
    <t>Contribuição para Fundos de Assistência Médica - Outros Beneficiários</t>
  </si>
  <si>
    <t>Contribuição para Fundos de Assistência Médica - Outros Beneficiários - Parcelamentos</t>
  </si>
  <si>
    <t>Contribuição sobre a Loteria Federal - Parcelamentos</t>
  </si>
  <si>
    <t>Contribuição sobre Loterias Esportivas - Parcelamentos</t>
  </si>
  <si>
    <t>Contribuição sobre Concursos Especiais de Loterias Esportivas - Parcelamentos</t>
  </si>
  <si>
    <t>Contribuição sobre Loterias de Números - Parcelamentos</t>
  </si>
  <si>
    <t>Contribuição sobre a Loteria Instantânea</t>
  </si>
  <si>
    <t>Contribuição sobre a Loteria Instantânea - Parcelamentos</t>
  </si>
  <si>
    <t>Contribuição sobre Concursos de Prognósticos - Modalidade Futebol</t>
  </si>
  <si>
    <t>Contribuição sobre Concursos de Prognósticos - Modalidade Futebol - Parcelamentos</t>
  </si>
  <si>
    <t>Contribuição sobre Sorteios Realizados por Entidades Filantrópicas - Parcelamentos</t>
  </si>
  <si>
    <t>Cota-Parte da Contribuição Sindical - Parcelamentos</t>
  </si>
  <si>
    <t>Contribuições Referentes ao Fundo de Garantia do Tempo de Serviço - FGTS - Parcelamentos</t>
  </si>
  <si>
    <t>Contribuição Social do Salário-Educação - Parcelamentos</t>
  </si>
  <si>
    <t>Contribuição para o Ensino Aeroviário - Parcelamentos</t>
  </si>
  <si>
    <t>Contribuição para o Desenvolvimento do Ensino Profissional Marítimo - Parcelamentos</t>
  </si>
  <si>
    <t>Contribuição sobre a Arrecadação dos Fundos de Investimentos Regionais - Parcelamentos</t>
  </si>
  <si>
    <t>Contribuição Industrial Rural - Parcelamentos</t>
  </si>
  <si>
    <t>Adicional à Contribuição Previdenciária Rural - Parcelamentos</t>
  </si>
  <si>
    <t>Contribuição sobre Movimentação ou Transmissão de Valores e de Créditos e Direitos de Natureza Financeira - Parcelamentos</t>
  </si>
  <si>
    <t>Contribuição para Custeio das Pensões Militares das Forças Armadas</t>
  </si>
  <si>
    <t>Contribuição para Custeio das Pensões Militares das Forças Armadas - Parcelamentos</t>
  </si>
  <si>
    <t>Demais Contribuições Sociais</t>
  </si>
  <si>
    <t>Demais Contribuições Sociais - Parcelamentos</t>
  </si>
  <si>
    <t>Bônus de Assinatura de Contrato de Partilha de Produção - Parcela do Fundo Social</t>
  </si>
  <si>
    <t>Bônus de Assinatura de Contrato de Partilha de Produção - Parcela da Empresa Gestora do Contrato</t>
  </si>
  <si>
    <t>Bônus de Assinatura de Contrato de Partilha de Produção - Parcela da União</t>
  </si>
  <si>
    <t>CPSSS Patronal - Servidor Civil Inativo</t>
  </si>
  <si>
    <t>CPSSS Patronal - Servidor Civil - Pensionistas</t>
  </si>
  <si>
    <t>CPSSS Patronal - Oriunda de Sentenças Judiciais - Servidor Civil Ativo</t>
  </si>
  <si>
    <t>CPSSS Patronal - Oriunda de Sentenças Judiciais - Servidor Civil Inativo</t>
  </si>
  <si>
    <t>CPSSS Patronal - Oriunda de Sentenças Judiciais - Servidor Civil - Pensionistas</t>
  </si>
  <si>
    <t>CPSSS Patronal - Servidor Civil - Específico de EST/DF/MUN</t>
  </si>
  <si>
    <t>CPSSS Patronal - Servidor Civil Ativo</t>
  </si>
  <si>
    <t>Contribuição do Servidor Civil para o Plano de Seguridade Social - CPSSS - Específico de EST/DF/MUN</t>
  </si>
  <si>
    <t>CPSSS do Servidor Civil - Pensionistas</t>
  </si>
  <si>
    <t>Agrega a receita de contribuição dos militares e pensionistas militares dos Estados e DF para o custeio da Previdência Militar.</t>
  </si>
  <si>
    <t>Agrega a receita de contribuição dos servidores públicos e pensionistas civis correlatos dos Estados, DF e Municípios para o custeio do Plano de Seguridade Social do Serviço Público.</t>
  </si>
  <si>
    <t>Agrega a receita de contribuição dos entes, específica para Estados, DF e Municípios, bem como seus órgãos e entidades obrigadas, para o custeio do Plano de Seguridade Social do Serviço Público.</t>
  </si>
  <si>
    <t>Agrega as contribuiçoes sociais e de interesse das categorias profissionais ou econômicas, de arrecadação específica de Estados, DF e Municípios.</t>
  </si>
  <si>
    <t>Contribuição dos Militares e Pensionistas para Previdência Militar de Estados e DF</t>
  </si>
  <si>
    <t>Contribuição Patronal para Previdência Militar de Estados e DF</t>
  </si>
  <si>
    <t>Contribuição Patronal - Militar Ativo</t>
  </si>
  <si>
    <t>Contribuição Patronal - Militar Inativo</t>
  </si>
  <si>
    <t>Contribuição Patronal - Pensionistas Militares</t>
  </si>
  <si>
    <t>CPSSS  - Parcelamentos - do Servidor Civil Ativo</t>
  </si>
  <si>
    <t>CPSSS  - Parcelamentos - do Servidor Civil Inativo</t>
  </si>
  <si>
    <t>CPSSS  - Parcelamentos - Pensionistas</t>
  </si>
  <si>
    <t>CPSSS  - Parcelamentos - Oriunda de Sentenças Judiciais - Servidor Civil Ativo</t>
  </si>
  <si>
    <t>CPSSS  - Parcelamentos - Oriunda de Sentenças Judiciais - Servidor Civil Inativo</t>
  </si>
  <si>
    <t>CPSSS  - Parcelamentos - Oriunda de Sentenças Judiciais - Servidor Civil - Pensionistas</t>
  </si>
  <si>
    <t>CPSSS Patronal - Parcelamentos - Servidor Civil Ativo</t>
  </si>
  <si>
    <t>CPSSS Patronal - Parcelamentos - Servidor Civil Inativo</t>
  </si>
  <si>
    <t>CPSSS Patronal - Parcelamentos - Servidor Civil - Pensionistas</t>
  </si>
  <si>
    <t>CPSSS Patronal - Parcelamentos - Oriunda de Sentenças Judiciais - Servidor Civil Ativo</t>
  </si>
  <si>
    <t>CPSSS Patronal - Parcelamentos - Oriunda de Sentenças Judiciais - Servidor Civil Inativo</t>
  </si>
  <si>
    <t>CPSSS Patronal - Parcelamentos - Oriunda de Sentenças Judiciais - Servidor Civil - Pensionistas</t>
  </si>
  <si>
    <t>CPSSS - Parcelamentos - Específico de EST/DF/MUN</t>
  </si>
  <si>
    <t>CPSSS Patronal - Parcelamentos - Específico de EST/DF/MUN</t>
  </si>
  <si>
    <t>Contribuição dos Militares e Pensionistas para Previdência Militar - Parcelamentos - Específico de EST/DF/MUN</t>
  </si>
  <si>
    <t>Contribuição dos Militares e Pensionistas para Previdência Militar - Parcelamentos - Militar Ativo</t>
  </si>
  <si>
    <t>Contribuição dos Militares e Pensionistas para Previdência Militar - Parcelamentos - Militar Inativo</t>
  </si>
  <si>
    <t>Contribuição dos Militares e Pensionistas para Previdência Militar - Parcelamentos - Pensionistas Militares</t>
  </si>
  <si>
    <t>Contribuição Patronal - Parcelamentos - Militar Ativo</t>
  </si>
  <si>
    <t>Contribuição Patronal - Parcelamentos - Militar Inativo</t>
  </si>
  <si>
    <t>Contribuição Patronal - Parcelamentos - Pensionistas Militares</t>
  </si>
  <si>
    <t>Agrega o valor da arrecadação da receita de contribuições previdenciárias dos servidores civis ativos para institutos de previdência social.</t>
  </si>
  <si>
    <t>Agrega o valor da arrecadação da receita de contribuições previdenciárias dos servidores civis inativos para institutos de previdência social.</t>
  </si>
  <si>
    <t>Agrega o valor da arrecadação da receita de contribuições previdenciárias dos pensionistas civis públicos para institutos de previdência social.</t>
  </si>
  <si>
    <t>Agrega o valor da arrecadação da receita de contribuições previdenciárias oriunda de sentenças judiciais relativas a servidores civis ativos para institutos de previdência social.</t>
  </si>
  <si>
    <t>Agrega o valor da arrecadação da receita de contribuições previdenciárias oriunda de sentenças judiciais relativas a servidores civis inativos para institutos de previdência social.</t>
  </si>
  <si>
    <t>Agrega o valor da arrecadação da receita de contribuições previdenciárias oriunda de sentenças judiciais relativas a pensionistas civis públicos para institutos de previdência social.</t>
  </si>
  <si>
    <t>Agrega a receita de parcelamentos de contribuição dos servidores públicos e pensionistas civis correlatos dos Estados, DF e Municípios para o custeio do Plano de Seguridade Social do Serviço Público.</t>
  </si>
  <si>
    <t>Agrega o valor da arrecadação por meio de parcelamento da receita de contribuições previdenciárias dos servidores civis ativos para institutos de previdência social.</t>
  </si>
  <si>
    <t>Agrega o valor da arrecadação por meio de parcelamento da receita de contribuições previdenciárias dos servidores civis inativos para institutos de previdência social.</t>
  </si>
  <si>
    <t>Agrega o valor da arrecadação por meio de parcelamento da receita de contribuições previdenciárias dos pensionistas civis públicos para institutos de previdência social.</t>
  </si>
  <si>
    <t>Agrega o valor da arrecadação por meio de parcelamento da receita de contribuições previdenciárias oriunda de sentenças judiciais relativas a servidores civis ativos para institutos de previdência social.</t>
  </si>
  <si>
    <t>Agrega o valor da arrecadação por meio de parcelamento da receita de contribuições previdenciárias oriunda de sentenças judiciais relativas a servidores civis inativos para institutos de previdência social.</t>
  </si>
  <si>
    <t>Agrega o valor da arrecadação por meio de parcelamento da receita de contribuições previdenciárias oriunda de sentenças judiciais relativas a pensionistas civis públicos para institutos de previdência social.</t>
  </si>
  <si>
    <t>Agrega o valor da arrecadação da receita de contribuições patronais relativas aos servidores civis ativos para institutos de previdência social.</t>
  </si>
  <si>
    <t>Agrega o valor da arrecadação da receita de contribuições patronais relativas aos servidores civis inativos para institutos de previdência social.</t>
  </si>
  <si>
    <t>Agrega o valor da arrecadação da receita de contribuições patronais relativas aos pensionistas civis públicos para institutos de previdência social.</t>
  </si>
  <si>
    <t>Agrega o valor da arrecadação da receita de contribuições patronais oriundas de sentenças judiciais relativas aos servidores civis ativos para institutos de previdência social.</t>
  </si>
  <si>
    <t>Agrega o valor da arrecadação da receita de contribuições patronais oriundas de sentenças judiciais relativas aos servidores civis inativos para institutos de previdência social.</t>
  </si>
  <si>
    <t>Agrega o valor da arrecadação da receita de contribuições patronais oriundas de sentenças judiciais relativas aos pensionistas civis públicos para institutos de previdência social.</t>
  </si>
  <si>
    <t>Agrega a receita de parcelamentos de contribuição dos entes, específica para Estados, DF e Municípios, bem como seus órgãos e entidades obrigadas, para o custeio do Plano de Seguridade Social do Serviço Público.</t>
  </si>
  <si>
    <t>Agrega o valor da arrecadação por meio de parcelamento da receita de contribuições patronais relativas aos servidores civis ativos para institutos de previdência social.</t>
  </si>
  <si>
    <t>Agrega o valor da arrecadação por meio de parcelamento da receita de contribuições patronais relativas aos servidores civis inativos para institutos de previdência social.</t>
  </si>
  <si>
    <t>Agrega o valor da arrecadação por meio de parcelamento da receita de contribuições patronais relativas aos pensionistas civis públicos para institutos de previdência social.</t>
  </si>
  <si>
    <t>Agrega o valor da arrecadação por meio de parcelamento da receita de contribuições patronais oriundas de sentenças judiciais relativas aos servidores civis ativos para institutos de previdência social.</t>
  </si>
  <si>
    <t>Agrega o valor da arrecadação por meio de parcelamento da receita de contribuições patronais oriundas de sentenças judiciais relativas aos servidores civis inativos para institutos de previdência social.</t>
  </si>
  <si>
    <t>Agrega o valor da arrecadação por meio de parcelamento da receita de contribuições patronais oriundas de sentenças judiciais relativas aos pensionistas civis públicos para institutos de previdência social.</t>
  </si>
  <si>
    <t>Agrega o valor da arrecadação da receita de contribuições dos militares ativos para a Previdência Militar.</t>
  </si>
  <si>
    <t>Agrega o valor da arrecadação da receita de contribuições dos militares inativos para a Previdência Militar.</t>
  </si>
  <si>
    <t>Agrega o valor da arrecadação da receita de contribuições dos pensionistas militares para a Previdência Militar.</t>
  </si>
  <si>
    <t>Agrega a receita de contribuição dos entes, específica dos Estados e DF, para a Previdência Militar.</t>
  </si>
  <si>
    <t>Agrega o valor da arrecadação da receita de contribuições patronais relativas aos militares ativos para a Previdência Militar.</t>
  </si>
  <si>
    <t>Agrega o valor da arrecadação da receita de contribuições patronais relativas aos militares inativos para a Previdência Militar.</t>
  </si>
  <si>
    <t>Agrega o valor da arrecadação da receita de contribuições patronais relativas aos pensionistas militares para a Previdência Militar.</t>
  </si>
  <si>
    <t>Agrega a receita de parcelamentos de contribuição dos militares e pensoinistas correlatos correlatos dos Estados e DF para a Previdência Militar.</t>
  </si>
  <si>
    <t>Contribuição Patronal para Previdência Militar de Estados e DF - Parcelamentos</t>
  </si>
  <si>
    <t>Agrega a receita de parcelamentos de contribuição dos entes, específica dos Estados e DF, para a Previdência Militar.</t>
  </si>
  <si>
    <t>Agrega o valor da arrecadação por meio de parcelamento da receita de contribuições dos militares ativos para a Previdência Militar.</t>
  </si>
  <si>
    <t>Agrega o valor da arrecadação por meio de parcelamento da receita de contribuições dos militares inativos para a Previdência Militar.</t>
  </si>
  <si>
    <t>Agrega o valor da arrecadação por meio de parcelamento da receita de contribuições dos pensionistas militares para a Previdência Militar.</t>
  </si>
  <si>
    <t>Agrega o valor da arrecadação por meio de parcelamento da receita de contribuições patronais relativas aos militares ativos para a Previdência Militar.</t>
  </si>
  <si>
    <t>Agrega o valor da arrecadação por meio de parcelamento da receita de contribuições patronais relativas aos militares inativos para a Previdência Militar.</t>
  </si>
  <si>
    <t>Agrega o valor da arrecadação por meio de parcelamento da receita de contribuições patronais relativas aos pensionistas militares para a Previdência Militar.</t>
  </si>
  <si>
    <t>Agrega as receitas oriundas da Contribuição para o Financiamento da Seguridade
Social sobre o faturamento de pessoas jurídicas ou a elas equiparadas pela legislação
do imposto de renda.</t>
  </si>
  <si>
    <t>Agrega as receitas oriundas da Contribuição para o Financiamento da Seguridade Social sobre o faturamento de pessoas jurídicas ou a elas equiparadas pela legislação do imposto de renda.</t>
  </si>
  <si>
    <t>Registra receitas originadas da Contribuição para o Financiamento da Seguridade
Social sobre o faturamento das pessoas jurídicas, exclusive as optantes pelo SIMPLES.</t>
  </si>
  <si>
    <t>Registra receitas originadas da Contribuição para o Financiamento da Seguridade
Social sobre o faturamento das pessoas jurídicas optantes pelo SIMPLES.</t>
  </si>
  <si>
    <t>Registra receitas originadas do parcelamento de débitos da Contribuição para o
Financiamento da Seguridade Social sobre o faturamento das pessoas jurídicas ou a
elas equiparadas pela legislação do imposto de renda.</t>
  </si>
  <si>
    <t>Agrega as receitas originadas das Contribuições para os Programas de Integração
Social e de Formação do Patrimônio do Servidor Público.</t>
  </si>
  <si>
    <t>Registra receitas originadas das Contribuições para os Programas de Integração
Social e de Formação do Patrimônio do Servidor Público sobre o faturamento das
pessoas jurídicas optantes pelo SIMPLES.</t>
  </si>
  <si>
    <t>Registram receitas originadas da Contribuições para os Programas de Integração Social e de Formação do Patrimônio do Servidor Público sobre a folha de salários,
respectivamente, das seguintes entidades: Templos de Qualquer Culto;</t>
  </si>
  <si>
    <t>Registram receitas originadas da Contribuições para os Programas de Integração Social e de Formação do Patrimônio do Servidor Público sobre a folha de salários,
respectivamente, das seguintes entidades: Partidos Políticos;</t>
  </si>
  <si>
    <t>Registram receitas originadas da Contribuições para os Programas de Integração Social e de Formação do Patrimônio do Servidor Público sobre a folha de salários,
respectivamente, das seguintes entidades: Instituições de Educação e de Assistência Social (Art. 12 da Lei nº 9.532-1997);</t>
  </si>
  <si>
    <t>Registram receitas originadas da Contribuições para os Programas de Integração Social e de Formação do Patrimônio do Servidor Público sobre a folha de salários,
respectivamente, das seguintes entidades:Instituições de Caráter Filantrópico, Recreativo, Cultural, Científico e as Associações (Art. 15 da Lei nº 9.532, de 1997)</t>
  </si>
  <si>
    <t>Registram receitas originadas da Contribuições para os Programas de Integração Social e de Formação do Patrimônio do Servidor Público sobre a folha de salários,
respectivamente, das seguintes entidades: Sindicados, Federações e Confederações;</t>
  </si>
  <si>
    <t>Registram receitas originadas da Contribuições para os Programas de Integração Social e de Formação do Patrimônio do Servidor Público sobre a folha de salários,
respectivamente, das seguintes entidades: Serviços Sociais Autônomos;</t>
  </si>
  <si>
    <t>Registram receitas originadas da Contribuições para os Programas de Integração Social e de Formação do Patrimônio do Servidor Público sobre a folha de salários,
respectivamente, das seguintes entidades: Conselhos de Fiscalização de Profissões Regulamentadas;</t>
  </si>
  <si>
    <t>Registram receitas originadas da Contribuições para os Programas de Integração Social e de Formação do Patrimônio do Servidor Público sobre a folha de salários,
respectivamente, das seguintes entidades: Fundações de Direito Privado;</t>
  </si>
  <si>
    <t>Registram receitas originadas da Contribuições para os Programas de Integração Social e de Formação do Patrimônio do Servidor Público sobre a folha de salários,
respectivamente, das seguintes entidades: Condomínio de Proprietários de Imóveis Residenciais ou Comerciais;</t>
  </si>
  <si>
    <t>Registram receitas originadas da Contribuições para os Programas de Integração Social e de Formação do Patrimônio do Servidor Público sobre a folha de salários,
respectivamente, das seguintes entidades: Organização das Cooperativas Brasileiras e as Organizações Estaduais de Cooperativas (Lei nº 5.764, de 1971);</t>
  </si>
  <si>
    <t>Agrega as receitas originadas dos parcelamentos de débitos da Contribuição para o
PIS/PASEP.</t>
  </si>
  <si>
    <t>Agrega as receitas originadas da Contribuição Social sobre o Lucro Líquido.</t>
  </si>
  <si>
    <t>Registra receitas originadas da Contribuição Social sobre o Lucro Líquido das
pessoas jurídicas não financeiras.</t>
  </si>
  <si>
    <t>Registra receitas originadas da Contribuição Social sobre o Lucro Líquido das
entidades financeiras, de seguros privados e de capitalização.</t>
  </si>
  <si>
    <t>Registra receitas originadas do parcelamento de débitos da Contribuição Social sobre o Lucro Líquido.</t>
  </si>
  <si>
    <t>Registra receitas originadas do parcelamento de débitos da Contribuição Social sobre
o Lucro Líquido.</t>
  </si>
  <si>
    <t>Registra receitas originadas da Contribuição Social sobre o Lucro Líquido dos demais
contribuintes.</t>
  </si>
  <si>
    <t>Agrega as receitas originadas da Contribuição para o Regime Geral de Previdência
Social.</t>
  </si>
  <si>
    <t>Agrega as receitas originadas da Contribuição Previdenciária para o RGPS dos
segurados obrigatórios.</t>
  </si>
  <si>
    <t>Registram as receitas originadas, respectivamente, da Contribuição Previdenciária
para o RGPS dos seguintes segurados obrigatórios: empregado;</t>
  </si>
  <si>
    <t>Registram as receitas originadas, respectivamente, da Contribuição Previdenciária
para o RGPS dos seguintes segurados obrigatórios: empregado doméstico;</t>
  </si>
  <si>
    <t>Registram as receitas originadas, respectivamente, da Contribuição Previdenciária
para o RGPS dos seguintes segurados obrigatórios: contribuinte individual;</t>
  </si>
  <si>
    <t>Registram as receitas originadas, respectivamente, da Contribuição Previdenciária
para o RGPS dos seguintes segurados obrigatórios: trabalhador avulso;</t>
  </si>
  <si>
    <t>Registram as receitas originadas, respectivamente, da Contribuição Previdenciária
para o RGPS dos seguintes segurados obrigatórios: segurado especial;</t>
  </si>
  <si>
    <t>Registra receitas originadas da Contribuição Previdenciária para o RGPS dos
segurados facultativos.</t>
  </si>
  <si>
    <t>Registra receitas originadas do parcelamento de débitos da Contribuição
Previdenciária para o RGPS.</t>
  </si>
  <si>
    <t>Agrega as receitas originadas das Contribuições de Concursos de Prognósticos, tais
como Loteria Federal, Loteria Esportiva, Loterias de Números, Timemania e outros
sorteios.</t>
  </si>
  <si>
    <t>Registra as receitas das Contribuições sobre os Concursos da Loteria Federal.</t>
  </si>
  <si>
    <t>Registra as receitas de parcelamento das Contribuições sobre os Concursos da Loteria
Federal.</t>
  </si>
  <si>
    <t>Registra as receitas das Contribuições sobre os Concursos de Loterias Esportivas.</t>
  </si>
  <si>
    <t>Registra as receitas de parcelamento das Contribuições sobre os Concursos de
Loterias Esportivas.</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</si>
  <si>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</si>
  <si>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</si>
  <si>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Registra a receita de parcelamento da contribuição sobre concurso de prognóstico
esportivo, realizado pela Caixa Econômica Federal, e que, excepcionalmente, repassa
para a Cruz Vermelha a renda líquida auferida para a Cruz Vermelha Brasileira, nos
termos da Lei nº 6.905, de 11 de maio de 1981, art. 2º.</t>
  </si>
  <si>
    <t>Registra a receita da Contribuição sobre Loterias de Números.</t>
  </si>
  <si>
    <t>Registra a receita de parcelamento da Contribuição sobre Loterias de Números.</t>
  </si>
  <si>
    <t>Registra as receitas da Contribuição sobre a Loteria Instantânea.</t>
  </si>
  <si>
    <t>Registra as receitas da contribuição sobre Concurso de Prognóstico Específico
destinado ao Desenvolvimento da Prática Desportiva – Timemania.</t>
  </si>
  <si>
    <t>Agrega as receitas originadas de outras Contribuições Sociais não incluídas nos
códigos de natureza de receita anteriores.</t>
  </si>
  <si>
    <t>Registra as receitas originadas da contribuição devida sobre sorteios realizados por
Entidades Filantrópicas.</t>
  </si>
  <si>
    <t>Registra as receitas originadas do parcelamento de débitos da contribuição devida sobre sorteios realizados por Entidades Filantrópicas.</t>
  </si>
  <si>
    <t>Registra as receitas que se originaram do parcelamento de débitos da cota-parte dos
recursos arrecadados a título de contribuição sindical. Consiste da parcela de que trata o art. 4º da Lei nº 9.322, de 1996, uma vez que o restante da contribuição em questão não tramita pelo orçamento.</t>
  </si>
  <si>
    <t>Agrega as receitas originadas da contribuição devida pelos empregadores em caso de
despedida de empregado sem justa causa, bem como da contribuição sobre a
remuneração devida ao trabalhador</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</si>
  <si>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</si>
  <si>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Agrega as receitas originadas do parcelamento de débitos da contribuição devida
pelos empregadores em caso de despedida de empregado sem justa causa, bem como
da contribuição sobre a remuneração devida ao trabalhador.</t>
  </si>
  <si>
    <t>Registra as receitas que se originaram da Contribuição Social do Salário-Educação,
recolhida pelas Empresas calculada com base em alíquota incidente sobre a
remuneração paga ou creditada, a qualquer título, aos segurados empregados.</t>
  </si>
  <si>
    <t>Registra as receitas que se originaram do parcelamento de débitos da Contribuição
Social do Salário-Educação, recolhida pelas Empresas calculada com base em alíquota incidente sobre a remuneração paga ou creditada, a qualquer título, aos segurados empregados.</t>
  </si>
  <si>
    <t>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</si>
  <si>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 xml:space="preserve">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 </t>
  </si>
  <si>
    <t>Registra as receitas que se originaram do parcelamento de débitos da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</si>
  <si>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</si>
  <si>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Registra receitas que se originaram do parcelamento de débitos da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</si>
  <si>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</si>
  <si>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Receita oriunda do parcelamento de débitos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</si>
  <si>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Registra as receitas oriundas do parcelamento de débitos das contribuições pagas por produtores rurais.</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</si>
  <si>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</si>
  <si>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Registra valores relativos ao parcelamento de débitos da contribuição provisória
sobre movimentação ou transmissão de valores e de créditos e direitos de natureza
financeira, prevista nos arts. 74, 75 e 80, inciso I, do Ato das Disposições
Constitucionais Transitórias, cobrada até 31 de dezembro de 2007.</t>
  </si>
  <si>
    <t>Registra receitas originadas da contribuição paga por militares das Forças Armadas
para o custeio das Pensões Militares.</t>
  </si>
  <si>
    <t>Registra receitas originadas do parcelamento de débitos da contribuição paga por
militares das Forças Armadas para o custeio das Pensões Militares.</t>
  </si>
  <si>
    <t>Registra quaisquer outras contribuições sociais que não se enquadrem nos itens
anteriores.</t>
  </si>
  <si>
    <t>Registra o parcelamento de débitos de quaisquer outras contribuições sociais que não se enquadrem nos itens anteriores.</t>
  </si>
  <si>
    <t>Registra as receitas que se originaram do bônus de assinatura do contrato de partilha
de produção que são devidas à União, conforme determinação legal.</t>
  </si>
  <si>
    <t>Registra as receitas que se originaram do bônus de assinatura do contrato de partilha
de produção que são devidas ao Fundo Social, conforme determinação legal.</t>
  </si>
  <si>
    <t>Registra as receitas que se originaram do bônus de assinatura do contrato de partilha
de produção que são devidas à empresa gestora do contrato de partilha de produção,
conforme determinação legal.</t>
  </si>
  <si>
    <t>Serviços e Atividades Referentes à Saúde - Específico para Estados/DF/Municípios</t>
  </si>
  <si>
    <t>Serviços de Saúde - Específico para Estados/DF/Municípios</t>
  </si>
  <si>
    <t>Serviços de Registro de Análise e de Controle</t>
  </si>
  <si>
    <t>Agrega as receitas originadas de serviços de atendimento à saúde, de caráter especializado ou não. Compreende a prestação de serviços relacionados à saúde em hospitais, ambulatórios, consultórios, clínicas, centros de assistência psicossocial, unidades móveis de atendimento a urgências e remoções, bem como testes, análises e outros serviços relacionados à saúde.</t>
  </si>
  <si>
    <t>Agrega as receitas originadas de serviços de atendimento à saúde, de caráter especializado ou não. Compreende a prestação de serviços relacionados à saúde em hospitais e similares, bem como serviços de saúde correlatos.</t>
  </si>
  <si>
    <t>Agrega as receitas originadas de serviços de registro de análise e de controle de produtos sujeitos a normas de vigilância sanitária.</t>
  </si>
  <si>
    <t>Agrega as receitas originadas de serviços de atendimento à saúde, de caráter especializado ou não. Compreende a prestação de serviços relacionados à saúde com natureza radiológica ou laboratorial.</t>
  </si>
  <si>
    <t>Agrega as receitas originadas de serviços de atendimento à saúde, de caráter especializado ou não. Compreende a prestação de serviços relacionados à saúde com natureza ambulatórial.</t>
  </si>
  <si>
    <t>Compreende a prestação de outros serviços relacionados à saúde, não especificados anteriormente.</t>
  </si>
  <si>
    <t>Recursos Recebidos de Órgãos, Entidades ou Fundos, por Força de Determinação Constitucional ou Legal</t>
  </si>
  <si>
    <t>Recursos Recebidos de Fundos de Desenvolvimento Regional</t>
  </si>
  <si>
    <t>Outras Receitas Administradas pela RFB</t>
  </si>
  <si>
    <t>Agrega as receitas recebidas de órgãos, entidades ou fundos, em razão de uma determinação legal ou constitucional.</t>
  </si>
  <si>
    <t>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</si>
  <si>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Agrega receitas Administradas pela RFB que não se enquadram em nenhuma outra classificação específica.</t>
  </si>
  <si>
    <t>Royalties pela Comercialização de Produtos Resultantes de Criação Protegida</t>
  </si>
  <si>
    <t>Agrega as receitas oriundas de royalties recebidos por órgãos ou entidades da administração pública direta ou indireta em decorrência da comercialização
de produtos que tenham sido desenvolvidos com a utilização de tecnologia por eles desenvolvida.</t>
  </si>
  <si>
    <t>Multas Previstas na Legislação Antidrogas</t>
  </si>
  <si>
    <t>Agrega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</si>
  <si>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Multas Previstas na Legislação Anticorrupção.</t>
  </si>
  <si>
    <t>Multas da Legislação Anticorrupção Oriundas de Processos Administrativos de Responsabilização.</t>
  </si>
  <si>
    <t>Agrega as receitas que se originaram de multas por infração cometidas por pessoas jurídicas consideradas responsáveis pelos atos lesivos previstos na Lei no 12.846, de 2013, aplicadas através de Processo Administrativo de Responsabilização - PAR, conforme Art. 6º, inciso I da Lei no 12.846, de 2013.</t>
  </si>
  <si>
    <t>Agrega as receitas que se originaram de multas por infrações cometidas por pessoas jurídicas consideradas responsáveis pelos atos lesivos previstos na Lei no 12.846, de 2013.</t>
  </si>
  <si>
    <t>Agrega as receitas que se originaram de multas por infração cometidas por pessoas jurídicas consideradas responsáveis pelos atos lesivos previstos na Lei no 12.846, de 2013, aplicadas através do Acordo de Leniência previsto no §2o do art. 16 da Lei no 12.846, de 2013.</t>
  </si>
  <si>
    <t>Receitas Reconhecidas por Força de Decisões Judiciais e de Tribunais Administrativos</t>
  </si>
  <si>
    <t>Agrega as receitas que somente passaram a ser reconhecidas como orçamentárias por força de Decisões no âmbito da Justiça ou de Tribunais
Administrativos, como por exemplo os Tribunais de Contas dos entes federados.</t>
  </si>
  <si>
    <t>Agrega o valor das transferências correntes da União recebidas pelos Estados, Distrito Federal e Municípios, referentes ao bloco investimento na rede de serviços do Sistema Único de Saúde – SUS, destinados à Atenção Básica.</t>
  </si>
  <si>
    <t>Agrega o valor das transferências correntes da União recebidas pelos Estados, Distrito Federal e Municípios, referentes ao bloco investimento na rede de serviços do Sistema Único de Saúde – SUS, destinaos à Atenção Especializada.</t>
  </si>
  <si>
    <t>Agrega o valor das transferências correntes da União recebidas pelos Estados, Distrito Federal e Municípios, referentes ao bloco investimento na rede de serviços do Sistema Único de Saúde – SUS, destinados à Vigilância em Saúde.</t>
  </si>
  <si>
    <t>Agrega o valor das transferências correntes da União recebidas pelos Estados, Distrito Federal e Municípios, referentes ao bloco investimento na rede de serviços do Sistema Único de Saúde – SUS, destinados à Gestão e Desenvolvimento de Tecnologias em Saúde no SUS.</t>
  </si>
  <si>
    <t>Agrega o valor das transferências correntes da União recebidas pelos Estados, Distrito Federal e Municípios, referentes ao bloco investimento na rede de serviços do Sistema Único de Saúde – SUS, destinados à Gestão do SUS.</t>
  </si>
  <si>
    <t>Agrega o valor das transferências correntes da União recebidas pelos Estados, Distrito Federal e Municípios, referentes ao bloco investimento na rede de serviços do Sistema Único de Saúde – SUS, não detalhadas anteriormente.</t>
  </si>
  <si>
    <t>Agrega o valor total de transferências correntes do bloco custeio das ações e serviços públicos de saúde do Fundo Nacional de Saúde (União) recebidos pelos Fundos de Saúde dos Estados, do Distrito Federal e dos Municípios, referentes a gastos com atenção básica.</t>
  </si>
  <si>
    <t>Agrega o valor total de transferências correntes do bloco custeio das ações e serviços públicos de saúde do Fundo Nacional de Saúde (União) recebidos pelos Fundos de Saúde dos Estados, do Distrito Federal e dos Municípios, referentes a gastos com atenção de média e alta complexidade ambulatorial e hospitalar.</t>
  </si>
  <si>
    <t>Agrega o valor total de transferências correntes do bloco custeio das ações e serviços públicos de saúde do Fundo Nacional de Saúde (União) recebidos pelos Fundos de Saúde dos Estados, do Distrito Federal e dos Municípios, referentes a gastos com vigilância em saúde.</t>
  </si>
  <si>
    <t>Agrega o valor total de transferências correntes do bloco custeio das ações e serviços públicos de saúde do Fundo Nacional de Saúde (União) recebidos pelos Fundos de Saúde dos Estados, do Distrito Federal e dos Municípios, referentes a gastos com assistência farmacêutica.</t>
  </si>
  <si>
    <t>Agrega o valor total de transferências correntes do bloco custeio das ações e serviços públicos de saúde do Fundo Nacional de Saúde (União) recebidos pelos Fundos de Saúde dos Estados, do Distrito Federal e dos Municípios, referentes a gastos com gestão do SUS.</t>
  </si>
  <si>
    <t>Agrega o valor total de transferências correntes do bloco custeio das ações e serviços públicos de saúde do Fundo Nacional de Saúde (União) recebidos pelos Fundos de Saúde dos Estados, do Distrito Federal e dos Municípios, para ações não especificados anteriormente.</t>
  </si>
  <si>
    <t>Agrega o valor total das transferências correntes oriundas do Fundo Nacional de Saúde referentes ao bloco custeio das ações e serviços públicos de saúde, recebidos pelos Fundos de Saúde dos Estados, do Distrito Federal e dos Municípios.</t>
  </si>
  <si>
    <t>Agrega o valor total das transferências correntes oriundas do Fundo Nacional de Saúde referentes ao bloco investimento na rede de serviços públicos de saúde, recebidos pelos Fundos de Saúde dos Estados, do Distrito Federal e dos Municípios.</t>
  </si>
  <si>
    <t>Agrega o valor total das transferências de capital oriundas do Fundo Nacional de Saúde referentes ao bloco custeio das ações e serviços públicos de saúde, recebidos pelos Fundos de Saúde dos Estados, do Distrito Federal e dos Municípios.</t>
  </si>
  <si>
    <t>Transferência de Recursos do Sistema Único de Saúde – SUS – Bloco Custeio das Ações e Serviços Públicos de Saúde</t>
  </si>
  <si>
    <t>Agrega o valor total de transferências de capital do bloco custeio das ações e serviços públicos de saúde do Fundo Nacional de Saúde (União) recebidos pelos Fundos de Saúde dos Estados, do Distrito Federal e dos Municípios, referentes a gastos com atenção básica.</t>
  </si>
  <si>
    <t>Agrega o valor total de transferências de capital do bloco custeio das ações e serviços públicos de saúde do Fundo Nacional de Saúde (União) recebidos pelos Fundos de Saúde dos Estados, do Distrito Federal e dos Municípios, referentes a gastos com atenção de média e alta complexidade ambulatorial e hospitalar.</t>
  </si>
  <si>
    <t>Agrega o valor total de transferências de capital do bloco custeio das ações e serviços públicos de saúde do Fundo Nacional de Saúde (União) recebidos pelos Fundos de Saúde dos Estados, do Distrito Federal e dos Municípios, referentes a gastos com vigilância em saúde.</t>
  </si>
  <si>
    <t>Agrega o valor total de transferências de capital do bloco custeio das ações e serviços públicos de saúde do Fundo Nacional de Saúde (União) recebidos pelos Fundos de Saúde dos Estados, do Distrito Federal e dos Municípios, referentes a gastos com assistência farmacêutica.</t>
  </si>
  <si>
    <t>Agrega o valor total de transferências de capital do bloco custeio das ações e serviços públicos de saúde do Fundo Nacional de Saúde (União) recebidos pelos Fundos de Saúde dos Estados, do Distrito Federal e dos Municípios, referentes a gastos com gestão do SUS.</t>
  </si>
  <si>
    <t>Agrega o valor total de transferências de capital do bloco custeio das ações e serviços públicos de saúde do Fundo Nacional de Saúde (União) recebidos pelos Fundos de Saúde dos Estados, do Distrito Federal e dos Municípios, para ações não especificados anteriormente.</t>
  </si>
  <si>
    <t>Agrega o valor total das transferências de capital oriundas do Fundo Nacional de Saúde referentes ao bloco investimento na rede de serviços públicos de saúde, recebidos pelos Fundos de Saúde dos Estados, do Distrito Federal e dos Municípios.</t>
  </si>
  <si>
    <t>Agrega o valor das transferências de capital da União recebidas pelos Estados, Distrito Federal e Municípios, referentes ao bloco investimento na rede de serviços do Sistema Único de Saúde – SUS, destinados à Atenção Básica.</t>
  </si>
  <si>
    <t>Agrega o valor das transferências de capital da União recebidas pelos Estados, Distrito Federal e Municípios, referentes ao bloco investimento na rede de serviços do Sistema Único de Saúde – SUS, destinaos à Atenção Especializada.</t>
  </si>
  <si>
    <t>Agrega o valor das transferências de capital da União recebidas pelos Estados, Distrito Federal e Municípios, referentes ao bloco investimento na rede de serviços do Sistema Único de Saúde – SUS, destinados à Vigilância em Saúde.</t>
  </si>
  <si>
    <t>Agrega o valor das transferências de capital da União recebidas pelos Estados, Distrito Federal e Municípios, referentes ao bloco investimento na rede de serviços do Sistema Único de Saúde – SUS, destinados à Gestão e Desenvolvimento de Tecnologias em Saúde no SUS.</t>
  </si>
  <si>
    <t>Agrega o valor das transferências de capital da União recebidas pelos Estados, Distrito Federal e Municípios, referentes ao bloco investimento na rede de serviços do Sistema Único de Saúde – SUS, destinados à Gestão do SUS.</t>
  </si>
  <si>
    <t>Agrega o valor das transferências de capital da União recebidas pelos Estados, Distrito Federal e Municípios, referentes ao bloco investimento na rede de serviços do Sistema Único de Saúde – SUS, não detalhadas anteriormente.</t>
  </si>
  <si>
    <t>Registra o valor total dos recursos de transferências de capital da União recebidos pelos Estados, Distrito Federal e Municípios, referentes ao Fundo Nacional de Assistência Social – FNAS.</t>
  </si>
  <si>
    <t>Registra o valor total dos recursos de transferências correntes da União recebidos pelos Estados, Distrito Federal e Municípios, referentes ao Fundo Nacional de Assistência Social – FNAS.</t>
  </si>
  <si>
    <t>Outras Transferência de Pessoas Físicas- Específicas de E/DF/M - Não Especificadas Anteriormente</t>
  </si>
  <si>
    <t>Multas da Legislação Anticorrupção Oriundas de Acordos de Leniência</t>
  </si>
  <si>
    <t>MOTIVO</t>
  </si>
  <si>
    <t>SITUAÇÃO ATUAL</t>
  </si>
  <si>
    <t>CLASSIFICAÇÃO PROPOSTA</t>
  </si>
  <si>
    <t>Impostos sobre a Produção e Circulação de Mercadorias e Serviços</t>
  </si>
  <si>
    <t>DESCRIÇÃO</t>
  </si>
  <si>
    <t>Agrega as receitas provenientes da Contribuição para o Plano de Seguridade Social do Servidor Público, recolhidas pela União, Autarquias e Fundações.</t>
  </si>
  <si>
    <t>Registra as receitas originadas de recursos que integram o Fundo de Saúde da Polícia Militar do Distrito Federal, destinado ao atendimento médico-hospitalar, médicodomiciliar, odontológico, psicológico e social do militar, seus dependentes e pensionistas.</t>
  </si>
  <si>
    <t>Registra as receitas da contribuição para a Assistência Médico-Hospitalar dos Bombeiros Militares do Distrito Federal.</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</si>
  <si>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</si>
  <si>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</si>
  <si>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Registra as receitas originadas de recursos que integram o Fundo de Saúde de Assistência Médica, destinado ao atendimento médico-hospitalar, médico-domiciliar, odontológico, psicológico e social dos servidores civis.</t>
  </si>
  <si>
    <t>Registra as receitas originadas do parcelamento de débitos da contribuição que integra o Fundo de Saúde de Assistência Médica, destinado ao atendimento médicohospitalar, médico-domiciliar, odontológico, psicológico e social dos servidores civis.</t>
  </si>
  <si>
    <t>Registra as receitas oriundas do parcelamento de débitos da contribuição para a Assistência Médico-Hospitalar dos Bombeiros Militares do Distrito Federal.</t>
  </si>
  <si>
    <t>Registra as receitas originadas do parcelamento de débitos da contribuição que integra o Fundo de Saúde da Polícia Militar do Distrito Federal, destinado ao atendimento médico-hospitalar, médico-domiciliar, odontológico, psicológico e social do militar, seus dependentes e pensionistas.</t>
  </si>
  <si>
    <t>Agrega as receitas originadas da contribuição para assistência médico-hospitalar dos Policiais Militares e do Corpo de Bombeiros Militar do Distrito Federal.</t>
  </si>
  <si>
    <t>Registra as receitas oriundas de adicional de 2,6% sobre o total de salários pagos, a título de contribuição previdenciária devido pelos empregadores rurais.</t>
  </si>
  <si>
    <t>Registra as receitas oriundas do parcelamento de débitos de adicional de 2,6% sobre o total de salários pagos, a título de contribuição previdenciária devido pelos empregadores rurais.</t>
  </si>
  <si>
    <t>Registram as receitas provenientes da Contribuição para o Plano de Seguridade Social do Servidor Público, recolhidas, respectivamente, das entidades patronais (União, Autarquias e Fundações).</t>
  </si>
  <si>
    <t>Registram as receitas provenientes da Contribuição para o Plano de Seguridade Social do Servidor Público, recolhidas, respectivamente, das entidades patronais (União, Autarquias e Fundações) em virtude de sentenças judiciais.</t>
  </si>
  <si>
    <t>Agrega as receitas provenientes dos parcelamentos de débitos da Contribuição para o Plano de Seguridade Social do Servidor Público.</t>
  </si>
  <si>
    <t>Transferência de Recursos do Sistema Único de Saúde – SUS – Repasses Fundo a Fundo Bloco Custeio das Ações e Serviços Públicos de Saúde</t>
  </si>
  <si>
    <t>Imposto sobre Circulação de Mercadorias e Serviços</t>
  </si>
  <si>
    <t>Impostos sobre Transferências Patrimoniais</t>
  </si>
  <si>
    <t xml:space="preserve">Agrega as receitas originadas de serviços de atendimento à saúde, de caráter especializado ou não, voltados à população em geral ou especificamente aos servidores públicos civis e militares. </t>
  </si>
  <si>
    <t>Agrega as receitas provenientes de obrigações contratuais no mercado interno, decorrentes de financiamentos ou empréstimos, inclusive arrendamento mercantil, ou concessão de qualquer garantia que represente compromisso, autorizadas por leis específicas, não especificadas em outras naturezas de receita.</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</si>
  <si>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</si>
  <si>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Agrega as receitas provenientes da Contribuição para o Plano de Seguridade Social do Servidor Público, recolhidas dos servidores, da União, das Autarquias e das Fundações.</t>
  </si>
  <si>
    <t>Agrega as receitas provenientes da Contribuição para o Plano de Seguridade Social do Servidor Público, recolhidas dos servidores.</t>
  </si>
  <si>
    <t>Registram as receitas provenientes da Contribuição para o Plano de Seguridade Social do Servidor Público, recolhidas, dos servidores civis ativos.</t>
  </si>
  <si>
    <t>Registram as receitas provenientes da Contribuição para o Plano de Seguridade Social do Servidor Público, recolhidas, dos servidores civis inativos.</t>
  </si>
  <si>
    <t>Registram as receitas provenientes da Contribuição para o Plano de Seguridade Social do Servidor Público, recolhidas, dos pensionistas civis - servdiores públicos.</t>
  </si>
  <si>
    <t>Registram as receitas provenientes da Contribuição para o Plano de Seguridade Social do Servidor Público, recolhidas, oriundas de sentenças judiciais, dos servidores civis ativos.</t>
  </si>
  <si>
    <t>Registram as receitas provenientes da Contribuição para o Plano de Seguridade Social do Servidor Público, recolhidas, oriundas de sentenças judiciais, dos servidores civis inativos.</t>
  </si>
  <si>
    <t>Registram as receitas provenientes da Contribuição para o Plano de Seguridade Social do Servidor Público, recolhidas, oriundas de sentenças judiciais, dos pensionistas civis - servdiores públicos.</t>
  </si>
  <si>
    <t>A questão do investimento ser classificado em temporário ou permanente é objeto do PCASP, não do ementário da NR. Este tem por objeto primário a definição entre receitas correntes ou de capital.</t>
  </si>
  <si>
    <t>Agrega receitas decorrentes de restituições, ao órgão concedente, de depósitos relativos a precatórios e a sentenças de pequeno valor que não foram sacados pelos respectivos beneficiários há mais de dois anos.</t>
  </si>
  <si>
    <t>Agrega receitas decorrentes da restituição ao concedente ou ao Tesouro do ente, do saldo de recursos de convênios ou instrumentos congêneres realizados, quando da conclusão com sobra de recursos ou em virtude de denúncia, rescisão ou extinção do convênio.</t>
  </si>
  <si>
    <t>Agrega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</si>
  <si>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Transferências Decorrentes de Decisão Judicial (precatórios) Relativas ao Fundo de Manutenção e Desenvolvimento do Ensino Fundamental e de Valorização do Magistério – FUNDEF</t>
  </si>
  <si>
    <t>Delegação dos Serviços de Telecomunicação - Poder Concedente no Regime Público - Não Proveniente da Utilização de Posições Orbitais</t>
  </si>
  <si>
    <t>Delegação dos Serviços de Telecomunicação - Poder Concedente no Regime Público - Proveniente da Utilização de Posições Orbitais</t>
  </si>
  <si>
    <t>Delegação dos Serviços de Telecomunicação - Atividade Ordenadora no Regime Privado - Não Proveniente da Utilização de Posições Orbitais</t>
  </si>
  <si>
    <t>Delegação dos Serviços de Telecomunicação - Atividade Ordenadora no Regime Privado - Proveniente da utilização de Posições Orbitais</t>
  </si>
  <si>
    <t>Delegação dos Serviços de Radiodifusão Sonora e de Sons e Imagens - Não Proveniente da Utilização de Posições Orbitais</t>
  </si>
  <si>
    <t>Delegação dos Serviços de Radiodifusão Sonora e de Sons e Imagens - Proveniente da Utilização de Posições Orbitais</t>
  </si>
  <si>
    <t>Cessão do Direito de Uso de Radiofrequência - Não Proveniente da Utilização de Posições Orbitais</t>
  </si>
  <si>
    <t>Cessão do Direito de Uso de Radiofrequência - Proveniente da Utilização de Posições Orbitais</t>
  </si>
  <si>
    <t>Transferência da Delegação dos Serviços de Telecomunicações ou do Direito de Uso de Radiofrequência - Não Proveniente da Utilização de Posições Orbitais</t>
  </si>
  <si>
    <t>Transferência da Delegação dos Serviços de Telecomunicações ou do Direito de Uso de Radiofrequência - Proveniente da Utilização de Posições Orbitais</t>
  </si>
  <si>
    <t>Outras Delegações dos Serviços de Telecomunicação - Não Proveniente da Utilização de Posições Orbitais</t>
  </si>
  <si>
    <t>Outras Delegações dos Serviços de Telecomunicação - Proveniente da Utilização de Posições Orbitais</t>
  </si>
  <si>
    <t>Taxa de Fiscalização de Instalação - TFI - Proveniente da Utilização de Posições Orbitais</t>
  </si>
  <si>
    <t>Taxa de Fiscalização de Funcionamento - TFF - Proveniente da Utilização de Posições Orbitais</t>
  </si>
  <si>
    <t>Serviços Técnicos e Aprovação de Laudos de Telecomunicações</t>
  </si>
  <si>
    <t>Multas Previstas na Lei Geral das Telecomunicações - Proveniente da Utilização de Posições Orbitais</t>
  </si>
  <si>
    <r>
      <t xml:space="preserve">Taxa de Fiscalização de Instalação - TFI </t>
    </r>
    <r>
      <rPr>
        <sz val="11"/>
        <color theme="9" tint="-0.249977111117893"/>
        <rFont val="Calibri"/>
        <family val="2"/>
        <scheme val="minor"/>
      </rPr>
      <t>- Não Proveniente da Utilização de Posições Orbitais</t>
    </r>
  </si>
  <si>
    <r>
      <t xml:space="preserve">Taxa de Fiscalização de Funcionamento - TFF - </t>
    </r>
    <r>
      <rPr>
        <sz val="11"/>
        <color theme="9" tint="-0.249977111117893"/>
        <rFont val="Calibri"/>
        <family val="2"/>
        <scheme val="minor"/>
      </rPr>
      <t>Não Proveniente da Utilização de Posições Orbitais</t>
    </r>
  </si>
  <si>
    <r>
      <t xml:space="preserve">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t>
    </r>
    <r>
      <rPr>
        <sz val="11"/>
        <color theme="9" tint="-0.249977111117893"/>
        <rFont val="Calibri"/>
        <family val="2"/>
        <scheme val="minor"/>
      </rPr>
      <t>não proveniente da utilização de posições orbitais.</t>
    </r>
  </si>
  <si>
    <r>
      <t xml:space="preserve">Agrega receitas que se originaram da Taxa de Fiscalização de Funcionamento, devida pelas concessionárias, permissionárias e autorizadas de serviços de telecomunicações e de uso de radiofrequência, anualmente pela fiscalização do funcionamento das estações, </t>
    </r>
    <r>
      <rPr>
        <sz val="11"/>
        <color theme="9" tint="-0.249977111117893"/>
        <rFont val="Calibri"/>
        <family val="2"/>
        <scheme val="minor"/>
      </rPr>
      <t>não proveniente da utilização de posições orbitais.</t>
    </r>
  </si>
  <si>
    <t>Restituição de Contribuições para a Previdência Complementar do Servidor Público</t>
  </si>
  <si>
    <t>Taxas Judiciais</t>
  </si>
  <si>
    <t>Agrega o valor da arrecadação de receita de Taxas devidas à União em razão da atividade jurisdicional do Estado, na Justiça Federal, bem como aos estados, na Justiça Estadual, com o devido acompanhamento dessas receitas pelo CNJ, de acordo com a Resolução CNJ nº 102/2009.</t>
  </si>
  <si>
    <t>Agrega o valor da arrecadação de receita de Custas devidas à União em razão da atividade jurisdicional do Estado, na Justiça Federal, bem como aos estados, na Justiça Estadual, com o devido acompanhamento dessas receitas pelo CNJ, de acordo com a Resolução CNJ nº 102/2009. Nas ações cíveis em geral, o valor das custas é calculado como percentual sobre o valor da causa; no caso de ações cíveis com causas de valor inestimável e cumprimento de carta rogatória, ações criminais, arrematação, adjudicação, remição, certidões e cartas de sentenças, o valor é fixo.</t>
  </si>
  <si>
    <t>Taxas Extrajudiciais</t>
  </si>
  <si>
    <t>Agrega o valor da arrecadação de receita de taxas relativas a serviços extrajudiciais ligadas à atividade de constrole jurisdicional do Estado, com o devido acompanhamento dessas receitas pelo CNJ, de acordo com a Resolução CNJ nº 102/2009.</t>
  </si>
  <si>
    <t>Registra receitas originadas da Contribuição Social sobre o Lucro Líquido.</t>
  </si>
  <si>
    <t>Contribuição Social sobre o Lucro Líquido - CSLL - Contribuintes Não Optantes pelo Simples Nacional</t>
  </si>
  <si>
    <t>Registra receitas originadas da Contribuição Social sobre o Lucro Líquido de contribuintes não optantes pelo Simples Nacional.</t>
  </si>
  <si>
    <t>Contribuição para o PIS/PASEP</t>
  </si>
  <si>
    <t>Contribuição para o PIS/PASEP - Contribuintes Não Optantes pelo Simples Nacional</t>
  </si>
  <si>
    <t>Registra receitas originadas das Contribuições para os Programas de Integração
Social e de Formação do Patrimônio do Servidor Público.</t>
  </si>
  <si>
    <t>Registra receitas originadas das Contribuições para os Programas de Integração
Social e de Formação do Patrimônio do Servidor Público, exclusive as optantes pelo SIMPLES.</t>
  </si>
  <si>
    <t>Contribuição Social sobre o Lucro Líquido - CSLL - Contribuintes Optantes pelo Simples Nacional</t>
  </si>
  <si>
    <t>Registra receitas originadas da Contribuição Social sobre o Lucro Líquido de contribuintes optantes pelo Simples Nacional.</t>
  </si>
  <si>
    <t>Contribuição para o PIS/PASEP - Contribuintes Optantes pelo Simples Nacional</t>
  </si>
  <si>
    <t>Registra receitas originadas das Contribuições para os Programas de Integração
Social e de Formação do Patrimônio do Servidor Público sobre optantes pelo SIMPLES.</t>
  </si>
  <si>
    <t>Taxa de Estudo de Impacto de Vizinhança (EIV)</t>
  </si>
  <si>
    <t>Agrega as receitas relativas à Taxa de Estudo de Impacto de Vizinhança (EIV), estabelecidas conforme a Lei nº 10.257/2001.</t>
  </si>
  <si>
    <t>Transferências de Convênios de Instituições Privadas para Programas de Educação</t>
  </si>
  <si>
    <t>Agrega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</si>
  <si>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Transferência de Convênios do Exterior - Programas de Educação</t>
  </si>
  <si>
    <t>Agrega o valor total dos recursos oriundos de convênios firmados com organismos e fundos internacionais, governos estrangeiros e instituições privadas internacionais, especificamente destinados a programas de educação.</t>
  </si>
  <si>
    <t>Havia erro na classificação, corrigido nesta edição.</t>
  </si>
  <si>
    <t>NÃO HAVERÁ CLASSIFICAÇÃO NESTE NÍVEL. A IDENTIFICAÇÃO DE VALORES SE DARÁ POR MEIO DE INFORMAÇÃO COMPLEMENTAR NA MSC.</t>
  </si>
  <si>
    <t>Transferências de Pessoas Físicas - Específicas de E/DF/M - Programas de Educação</t>
  </si>
  <si>
    <t>Agrega o valor total dos recursos financeiros recebidos de pessoas físicas, decorrentes de doações, contratos, acordos, ajustes ou outros instrumentos, quando destinados a atender despesas especificamente destinados a programas de saúde.</t>
  </si>
  <si>
    <t>Agrega o valor total dos recursos financeiros recebidos de pessoas físicas, decorrentes de doações, contratos, acordos, ajustes ou outros instrumentos, quando destinados a atender despesas especificamente destinados a programas de educação.</t>
  </si>
  <si>
    <t>Transferências de Convênios de Instituições Privadas Destinados a Programas de Educação</t>
  </si>
  <si>
    <t>Agrega o valor total dos recursos oriundos de convênios firmados, com ou sem contraprestações de serviços, com instituições privadas, para a realização de objetivos de interesse comum dos partícipes, destinados a custear despesas de capital com Programas de Educação.</t>
  </si>
  <si>
    <t>Transferências do Exterior para Programas de Educação</t>
  </si>
  <si>
    <t>Agrega as receitas provenientes de recursos financeiros recebidos do exterior, decorrentes de doações, contratos, acordos, ajustes ou outros instrumentos, quando destinados a atender despesas classificáveis como de capital, específicas para Programas de Educação.</t>
  </si>
  <si>
    <t>-</t>
  </si>
  <si>
    <t>Transferências de Pessoas Físicas para Programas de Educação</t>
  </si>
  <si>
    <t>Agrega o valor total das receitas recebidas por meio de transferências de capital provenientes de pessoas físicas, específicas para Programas de Educação.</t>
  </si>
  <si>
    <t>Outras Transferências de Convênios de Instituições Privadas</t>
  </si>
  <si>
    <t>Agrega o valor total dos recursos oriundos de outros convênios firmados, com ou sem contraprestações de serviços, com instituições privadas, para a realização de objetivos de interesse comum dos partícipes, destinados a custear despesas de capital, não especificadas anteriormente.</t>
  </si>
  <si>
    <t>Agrega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</si>
  <si>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Agrega o valor total dos recursos oriundos de outros convênios firmados, com ou sem contraprestações de serviços, com instituições privadas, para a realização de objetivos de interesse comum dos partícipes, destinados a custear despesas correntes, não especificadas anteriormente.</t>
  </si>
  <si>
    <t>Legendas:</t>
  </si>
  <si>
    <t>Taxas pela Prestação de Serviços - Outras</t>
  </si>
  <si>
    <t>Agrega receitas que se originaram de taxas pela utilização efetiva ou potencial de serviço público específico e divisível, prestado ao contribuinte ou posto à sua disposição, não especificadas anteriormente.</t>
  </si>
  <si>
    <t>Programa Nacional de Inclusão de Jovens - Projovem Urbano</t>
  </si>
  <si>
    <t>Programa Nacional de Inclusão de Jovens - Projovem Campo</t>
  </si>
  <si>
    <t>Programa Brasil Alfabetizado - PBA</t>
  </si>
  <si>
    <t>Programa de Apoio aos Sistemas de Ensino para Atendimento à Educação de Jovens e Adultos - PEJA</t>
  </si>
  <si>
    <t>Registra o valor dos recursos de transferências da União aos Estados, Distrito Federal e Municípios, referentes ao Programa Nacional de Inclusão de Jovens - Projovem Urbano. Lei nº 11.692, de 10 de junho de 2008.</t>
  </si>
  <si>
    <t>Registra o valor dos recursos de transferências da União aos Estados, Distrito Federal e Municípios, referentes ao Programa Nacional de Inclusão de Jovens - Projovem Campo. Lei nº 11.692, de 10 de junho de 2008.</t>
  </si>
  <si>
    <t>Registra o valor dos recursos de transferências da União aos Estados, Distrito Federal e Municípios, referentes ao Programa Brasil Alfabetizado - PBA . Lei n° 10.880, de 09 de junho de 2004.</t>
  </si>
  <si>
    <t>Registra o valor dos recursos de transferências da União aos Estados, Distrito Federal e Municípios, referentes ao Programa de Apoio aos Sistemas de Ensino para Atendimento à Educação de Jovens e Adultos - PEJA. Lei n° 10.880, de 9 de junho de 2004.</t>
  </si>
  <si>
    <t>Prog. de Apoio ao Transp. Escolar para Educação Básica - CAMINHO DA ESCOLA</t>
  </si>
  <si>
    <t>Programa Nacional de Reestruturação e Aquisição de Equipamentos para a Rede Escolar Pública de Educação Infantil - Proinfância</t>
  </si>
  <si>
    <t>Outras transferências destinadas a Programas de Educação</t>
  </si>
  <si>
    <t>Registra o valor das transferências de capital da União recebidas pelos Estados, Distrito Federal e Municípios, referentes ao programas Caminho da Escola, conforme Lei nº 12.816 de 12013.</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</si>
  <si>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</si>
  <si>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Registra o valor das transferências de capital da União recebidas pelos Estados, Distrito Federal e Municípios, referentes a programas de educação, não especificados anteriormente.</t>
  </si>
  <si>
    <t>Emolumentos e Custas Judiciais</t>
  </si>
  <si>
    <t>Norma Correspondente</t>
  </si>
  <si>
    <t>Portaria SEAFI nº 1, de 29 de Março de 2019 (SOF)</t>
  </si>
  <si>
    <t>Portaria SEAFI nº 25, de 24 de Abril de 2019 (SOF)</t>
  </si>
  <si>
    <t>Contribuição Previdenciária do Empregador ou Equiparado - Contribuintes Optantes pelo Simples Nacional</t>
  </si>
  <si>
    <r>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e que são</t>
    </r>
    <r>
      <rPr>
        <sz val="11"/>
        <color theme="9" tint="-0.249977111117893"/>
        <rFont val="Calibri"/>
        <family val="2"/>
        <scheme val="minor"/>
      </rPr>
      <t xml:space="preserve"> provenientes da utilização de posições orbitais.</t>
    </r>
  </si>
  <si>
    <r>
      <t>Agrega receitas que se originaram da Taxa de Fiscalização de Funcionamento, devida pelas concessionárias, permissionárias e autorizadas de serviços de telecomunicações e de uso de radiofrequência, anualmente pela fiscalização do funcionamento das estações e que s</t>
    </r>
    <r>
      <rPr>
        <sz val="11"/>
        <color theme="9" tint="-0.249977111117893"/>
        <rFont val="Calibri"/>
        <family val="2"/>
        <scheme val="minor"/>
      </rPr>
      <t>ão provenientes da utilização de posições orbitais.</t>
    </r>
  </si>
  <si>
    <t>Portaria STN 387, de 13 de Junho de 2019</t>
  </si>
  <si>
    <t>Registra as receitas relativas ao exercício do poder concedente dos serviços de telecomunicações, no regime público, inclusive pagamentos pela outorga, multas e indenizações.</t>
  </si>
  <si>
    <t>Agrega as receitas relativas ao exercício do poder concedente dos serviços de telecomunicações, no regime público, inclusive pagamentos pela outorga, multas e indenizações. Essa natureza registra apenas os recursos não provenientes da utilização de posições orbitais.</t>
  </si>
  <si>
    <t>Portaria SEAFI nº 01, de 29 de Março de 2019 (SOF)</t>
  </si>
  <si>
    <t>Agrega as receitas relativas ao exercício do poder concedente dos serviços de telecomunicações, no regime público, inclusive pagamentos pela outorga, multas e indenizações. Essa natureza registra apenas os recursos provenientes da utilização de posições orbitais</t>
  </si>
  <si>
    <t>Registra as receitas relativas ao exercício da atividade ordenadora da exploração de serviços de telecomunicações, no regime privado, inclusive pagamentos pela expedição de autorização de serviço, multas e indenizações.</t>
  </si>
  <si>
    <t>Agrega as receitas relativas ao exercício da atividade ordenadora da exploração de serviços de telecomunicações, no regime privado, inclusive pagamentos pela expedição de autorização de serviço, multas e indenizações. Essa natureza registra apenas os recursos não provenientes da utilização de posições orbitais.</t>
  </si>
  <si>
    <t>Agrega as receitas relativas ao exercício da atividade ordenadora da exploração de serviços de telecomunicações, no regime privado, inclusive pagamentos pela expedição de autorização de serviço, multas e indenizações. Essa natureza registra apenas os recursos provenientes da utilização de posições orbitais.</t>
  </si>
  <si>
    <t>Agrega as receitas relativas ao exercício do poder concedente dos serviços públicos de radiodifusão, a serem recebidos direta e livremente pelo público em geral, compreendendo a radiodifusão sonora e de sons e imagens. Essa natureza registra apenas os recursos não provenientes da utilização de posições orbitais.</t>
  </si>
  <si>
    <t>Agrega as receitas relativas ao exercício do poder concedente dos serviços públicos de radiodifusão, a serem recebidos direta e livremente pelo público em geral, compreendendo a radiodifusão sonora e de sons e imagens. Essa natureza registra apenas os recursos provenientes da utilização de posições orbitais.</t>
  </si>
  <si>
    <t>Registra as receitas relativas à cessão do direito de uso de radiofrequência para qualquer fim, inclusive multas e indenizações.</t>
  </si>
  <si>
    <t>Agrega as receitas relativas à cessão do direito de uso de radiofrequência para qualquer fim, inclusive multas e indenizações. Essa natureza registra apenas os recursos não provenientes da utilização de posições orbitais.</t>
  </si>
  <si>
    <t>Agrega as receitas relativas à cessão do direito de uso de radiofrequência para qualquer fim, inclusive multas e indenizações. Essa natureza registra apenas os recursos provenientes da utilização de posições orbitais.</t>
  </si>
  <si>
    <t>Registra recursos provenientes da cessão do direito de exploração de satélite brasileiro, mediante licitação.</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</si>
  <si>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fazer-se na forma de quantia certa, em uma ou várias parcelas, bem como de parcelas anuais ou, complementarmente, de cessão de capacidade.</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</si>
  <si>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</si>
  <si>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não provenientes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</si>
  <si>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provenientes da utilização de posições orbitais.</t>
  </si>
  <si>
    <t>Registra as receitas provenientes da concessão de licenças e autorizações da Agência Espacial Brasileira - AEB.</t>
  </si>
  <si>
    <t>Registra as receitas decorrentes concessões, permissões e autorizações dos serviços de telecomunicações e de uso de radiofrequência não relacionados nos itens anteriores. Não inclui receitas provenientes de posições orbitais.</t>
  </si>
  <si>
    <t>Agrega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</si>
  <si>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Agrega as receitas decorrentes de concessões, permissões e autorizações dos serviços de telecomunicações e de uso de radiofrequência não relacionados nos itens anteriores. Essa natureza registra apenas os recursos provenientes da utilização de posições orbitais.</t>
  </si>
  <si>
    <t>Extinta pela Portaria SEAFI nº 1, de 29 de março de 2019, com efeitos retroativos a 1 de janeiro de 2019. 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</si>
  <si>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Agrega as receitas decorrentes da aprovação de laudos de ensaio de produtos e prestação de serviços técnicos por órgãos da Agência Nacional de telecomunicações - Anatel.</t>
  </si>
  <si>
    <t>Agrega receitas decorrentes de restituições de aportes financeiros dos Patrocinadores em favor da Funpresp-Exe, da Funpresp-Leg e da Funpresp-Jud, a título de adiantamento de contribuições futuras, necessários ao regular funcionamento inicial da Funpresp.</t>
  </si>
  <si>
    <t>Portaria SEAFI nº 2, de 8 de Abril de 2019 (SOF)</t>
  </si>
  <si>
    <t>Registra receitas originadas da Contribuição Previdenciária para o RGPS de firma individual ou sociedade que assume o risco de atividade econômica urbana ou rural, com fins lucrativos ou não, para contribuintes optantes pelo Simples Nacional.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</si>
  <si>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Contribuição Previdenciária do Empregador ou Equiparado</t>
  </si>
  <si>
    <t>Contribuição Previdenciária do Empregador ou Equiparado - Contribuintes Não Optantes pelo Simples Nacional</t>
  </si>
  <si>
    <t>Agrega as receitas originadas da Contribuição Previdenciária para o RGPS de empresário ou sociedade que assume o risco de atividade econômica urbana ou rural, com fins lucrativos ou não, bem como dos órgãos e das entidades da administração pública direta, indireta e fundacional. Equipara-se a empresa, para fins previdenciários, o contribuinte individual em relação ao segurado que lhe presta serviço, bem como a cooperativa, associação ou entidade de qualquer natureza ou finalidade, missão diplomática e repartição consular de carreiras estrangeiras.</t>
  </si>
  <si>
    <t>Registra receitas originadas da Contribuição Previdenciária para o RGPS de: I - empresa: firma individual ou sociedade que assume o risco de atividade econômica urbana ou rural, com fins lucrativos ou não, bem como dos órgãos e das entidades da administração pública direta, indireta e fundacional para contribuintes não optantes pelo Simples Nacional; II - empregador doméstico: a pessoa ou família que admite a seu serviço, sem finalidade lucrativa, empregado doméstico;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</si>
  <si>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Contribuição Previdenciária do Segurado</t>
  </si>
  <si>
    <t>Agrega as receitas originadas da Contribuição Previdenciária para o RGPS dos seguintes segurados obrigatórios (Empregado, Empregado Doméstico, Contribuinte Individual, Trabalhador Avulso e Segurado Especial) e facultativos.</t>
  </si>
  <si>
    <t>Registram as receitas originadas da Contribuição Previdenciária para o RGPS dos seguintes segurados obrigatórios (Empregado, Empregado Doméstico, Contribuinte Individual, Trabalhador Avulso e Segurado Especial) e facultativos.</t>
  </si>
  <si>
    <t>CE</t>
  </si>
  <si>
    <t>O</t>
  </si>
  <si>
    <t>E</t>
  </si>
  <si>
    <t>D1</t>
  </si>
  <si>
    <t>DD2</t>
  </si>
  <si>
    <t>D3</t>
  </si>
  <si>
    <t>T</t>
  </si>
  <si>
    <t>* Inclusão/alteração Portaria SOF: letras em verde</t>
  </si>
  <si>
    <t>* Inclusão/alteração Portaria STN ou Portaria Conjunta STN/SOF: letras em azul</t>
  </si>
  <si>
    <t>Agrega as receitas oriundas do Imposto sobre a Circulação de Mercadorias e Serviços de Transporte Interestadual e Intermunicipal e de Comunicações - ICMS e do Imposto sobre Serviços de Qualquer Natureza - ISS. Naturezas de receita específicas de Estados e Municípios situam-se sob competência da STN.</t>
  </si>
  <si>
    <t>Agrega as receitas oriundas do Imposto sobre Transmissão Causa Mortis e Doação - ITCMD e do Imposto sobre a Transmissão Inter Vivos de Bens Imóveis - ITBI. Naturezas de receita específicas de Estados e Municípios situam-se sob competência da STN.</t>
  </si>
  <si>
    <t>Portaria STN nº 387, de 13 de Junho de 2019</t>
  </si>
  <si>
    <t>1</t>
  </si>
  <si>
    <t>2</t>
  </si>
  <si>
    <t>8</t>
  </si>
  <si>
    <t>01</t>
  </si>
  <si>
    <t>3</t>
  </si>
  <si>
    <t>0</t>
  </si>
  <si>
    <t>Tipo de Portaria</t>
  </si>
  <si>
    <t>SOF</t>
  </si>
  <si>
    <t>STN</t>
  </si>
  <si>
    <r>
      <t xml:space="preserve">* Exclusão: letras em vermelho e </t>
    </r>
    <r>
      <rPr>
        <b/>
        <strike/>
        <sz val="12"/>
        <color rgb="FFFF0000"/>
        <rFont val="Calibri"/>
        <family val="2"/>
        <scheme val="minor"/>
      </rPr>
      <t>tachado</t>
    </r>
  </si>
  <si>
    <t>ALTERAÇÕES PARA 2020</t>
  </si>
  <si>
    <t>Tipo de Alteração</t>
  </si>
  <si>
    <t>Nomenclatura</t>
  </si>
  <si>
    <t>Inclusão</t>
  </si>
  <si>
    <t>Exclusão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</si>
</sst>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0&quot;.&quot;0&quot;.&quot;0&quot;.&quot;00&quot;.&quot;0&quot;.&quot;0"/>
  </numFmts>
  <fonts count="16"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0070C0"/>
      <name val="Calibri"/>
      <family val="2"/>
      <scheme val="minor"/>
    </font>
    <font>
      <sz val="11"/>
      <color rgb="FFFF0000"/>
      <name val="Calibri"/>
      <family val="2"/>
      <scheme val="minor"/>
    </font>
    <font>
      <strike/>
      <sz val="11"/>
      <color rgb="FFFF0000"/>
      <name val="Calibri"/>
      <family val="2"/>
      <scheme val="minor"/>
    </font>
    <font>
      <strike/>
      <sz val="11"/>
      <name val="Calibri"/>
      <family val="2"/>
      <scheme val="minor"/>
    </font>
    <font>
      <sz val="11"/>
      <color theme="9" tint="-0.249977111117893"/>
      <name val="Calibri"/>
      <family val="2"/>
      <scheme val="minor"/>
    </font>
    <font>
      <b/>
      <sz val="12"/>
      <color theme="1"/>
      <name val="Calibri"/>
      <family val="2"/>
      <scheme val="minor"/>
    </font>
    <font>
      <sz val="12"/>
      <color theme="1"/>
      <name val="Calibri"/>
      <family val="2"/>
      <scheme val="minor"/>
    </font>
    <font>
      <b/>
      <sz val="12"/>
      <color rgb="FF0070C0"/>
      <name val="Calibri"/>
      <family val="2"/>
      <scheme val="minor"/>
    </font>
    <font>
      <b/>
      <sz val="12"/>
      <color theme="9" tint="-0.249977111117893"/>
      <name val="Calibri"/>
      <family val="2"/>
      <scheme val="minor"/>
    </font>
    <font>
      <sz val="12"/>
      <color theme="9" tint="-0.249977111117893"/>
      <name val="Calibri"/>
      <family val="2"/>
      <scheme val="minor"/>
    </font>
    <font>
      <b/>
      <sz val="12"/>
      <color rgb="FFFF0000"/>
      <name val="Calibri"/>
      <family val="2"/>
      <scheme val="minor"/>
    </font>
    <font>
      <b/>
      <strike/>
      <sz val="12"/>
      <color rgb="FFFF0000"/>
      <name val="Calibri"/>
      <family val="2"/>
      <scheme val="minor"/>
    </font>
  </fonts>
  <fills count="11">
    <fill>
      <patternFill patternType="none"/>
    </fill>
    <fill>
      <patternFill patternType="gray125"/>
    </fill>
    <fill>
      <patternFill patternType="solid">
        <fgColor theme="3" tint="0.39997558519241921"/>
        <bgColor indexed="64"/>
      </patternFill>
    </fill>
    <fill>
      <patternFill patternType="solid">
        <fgColor theme="9" tint="-0.249977111117893"/>
        <bgColor indexed="64"/>
      </patternFill>
    </fill>
    <fill>
      <patternFill patternType="solid">
        <fgColor theme="9"/>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rgb="FF92D050"/>
        <bgColor indexed="64"/>
      </patternFill>
    </fill>
    <fill>
      <patternFill patternType="solid">
        <fgColor theme="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thin">
        <color indexed="64"/>
      </left>
      <right/>
      <top/>
      <bottom style="thin">
        <color indexed="64"/>
      </bottom>
      <diagonal/>
    </border>
  </borders>
  <cellStyleXfs count="1">
    <xf numFmtId="0" fontId="0" fillId="0" borderId="0"/>
  </cellStyleXfs>
  <cellXfs count="82">
    <xf numFmtId="0" fontId="0" fillId="0" borderId="0" xfId="0"/>
    <xf numFmtId="0" fontId="2" fillId="0" borderId="1" xfId="0" applyFont="1" applyBorder="1" applyAlignment="1">
      <alignment vertical="center" wrapText="1"/>
    </xf>
    <xf numFmtId="164" fontId="2" fillId="5" borderId="1" xfId="0" applyNumberFormat="1" applyFont="1" applyFill="1" applyBorder="1" applyAlignment="1">
      <alignment vertical="center" wrapText="1"/>
    </xf>
    <xf numFmtId="0" fontId="2" fillId="5" borderId="1" xfId="0" applyFont="1" applyFill="1" applyBorder="1" applyAlignment="1">
      <alignment vertical="center" wrapText="1"/>
    </xf>
    <xf numFmtId="0" fontId="0" fillId="6" borderId="1" xfId="0" applyFill="1" applyBorder="1" applyAlignment="1">
      <alignment vertical="center" wrapText="1"/>
    </xf>
    <xf numFmtId="0" fontId="2" fillId="4" borderId="1" xfId="0" applyFont="1" applyFill="1" applyBorder="1" applyAlignment="1">
      <alignment vertical="center" wrapText="1"/>
    </xf>
    <xf numFmtId="164" fontId="2" fillId="4" borderId="1" xfId="0" applyNumberFormat="1" applyFont="1" applyFill="1" applyBorder="1" applyAlignment="1">
      <alignment vertical="center" wrapText="1"/>
    </xf>
    <xf numFmtId="164" fontId="2" fillId="6" borderId="1" xfId="0" applyNumberFormat="1" applyFont="1" applyFill="1" applyBorder="1" applyAlignment="1">
      <alignment vertical="center" wrapText="1"/>
    </xf>
    <xf numFmtId="0" fontId="2" fillId="6" borderId="1" xfId="0" applyFont="1" applyFill="1" applyBorder="1" applyAlignment="1">
      <alignment vertical="center" wrapText="1"/>
    </xf>
    <xf numFmtId="164" fontId="2" fillId="0" borderId="1" xfId="0" applyNumberFormat="1" applyFont="1" applyBorder="1" applyAlignment="1">
      <alignment vertical="center" wrapText="1"/>
    </xf>
    <xf numFmtId="164" fontId="4" fillId="5" borderId="1" xfId="0" applyNumberFormat="1" applyFont="1" applyFill="1" applyBorder="1" applyAlignment="1">
      <alignment vertical="center" wrapText="1"/>
    </xf>
    <xf numFmtId="164" fontId="4" fillId="6" borderId="1" xfId="0" applyNumberFormat="1" applyFont="1" applyFill="1" applyBorder="1" applyAlignment="1">
      <alignment vertical="center" wrapText="1"/>
    </xf>
    <xf numFmtId="0" fontId="4" fillId="5" borderId="1" xfId="0" applyFont="1" applyFill="1" applyBorder="1" applyAlignment="1">
      <alignment vertical="center" wrapText="1"/>
    </xf>
    <xf numFmtId="0" fontId="4" fillId="0" borderId="0" xfId="0" applyFont="1"/>
    <xf numFmtId="0" fontId="4" fillId="6" borderId="1" xfId="0" applyFont="1" applyFill="1" applyBorder="1" applyAlignment="1">
      <alignment vertical="center" wrapText="1"/>
    </xf>
    <xf numFmtId="0" fontId="2" fillId="0" borderId="0" xfId="0" applyFont="1"/>
    <xf numFmtId="0" fontId="2" fillId="2" borderId="1" xfId="0" applyFont="1" applyFill="1" applyBorder="1" applyAlignment="1">
      <alignment vertical="center" wrapText="1"/>
    </xf>
    <xf numFmtId="164" fontId="2" fillId="2" borderId="1" xfId="0" applyNumberFormat="1" applyFont="1" applyFill="1" applyBorder="1" applyAlignment="1">
      <alignment vertical="center" wrapText="1"/>
    </xf>
    <xf numFmtId="0" fontId="6" fillId="6" borderId="1" xfId="0" applyFont="1" applyFill="1" applyBorder="1" applyAlignment="1">
      <alignment vertical="center" wrapText="1"/>
    </xf>
    <xf numFmtId="164" fontId="6" fillId="6" borderId="1" xfId="0" applyNumberFormat="1" applyFont="1" applyFill="1" applyBorder="1" applyAlignment="1">
      <alignment vertical="center" wrapText="1"/>
    </xf>
    <xf numFmtId="0" fontId="6" fillId="0" borderId="0" xfId="0" applyFont="1"/>
    <xf numFmtId="0" fontId="5" fillId="6" borderId="1" xfId="0" applyFont="1" applyFill="1" applyBorder="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3" fillId="7" borderId="2" xfId="0" applyFont="1" applyFill="1" applyBorder="1" applyAlignment="1">
      <alignment vertical="center" wrapText="1"/>
    </xf>
    <xf numFmtId="164" fontId="3" fillId="7" borderId="2" xfId="0" applyNumberFormat="1" applyFont="1" applyFill="1" applyBorder="1" applyAlignment="1">
      <alignment vertical="center" wrapText="1"/>
    </xf>
    <xf numFmtId="0" fontId="2" fillId="8" borderId="1" xfId="0" applyFont="1" applyFill="1" applyBorder="1" applyAlignment="1">
      <alignment vertical="center" wrapText="1"/>
    </xf>
    <xf numFmtId="164" fontId="2" fillId="8" borderId="1" xfId="0" applyNumberFormat="1" applyFont="1" applyFill="1" applyBorder="1" applyAlignment="1">
      <alignment vertical="center" wrapText="1"/>
    </xf>
    <xf numFmtId="0" fontId="7" fillId="0" borderId="0" xfId="0" applyFont="1"/>
    <xf numFmtId="0" fontId="2" fillId="3" borderId="1" xfId="0" applyFont="1" applyFill="1" applyBorder="1" applyAlignment="1">
      <alignment vertical="center" wrapText="1"/>
    </xf>
    <xf numFmtId="164" fontId="2" fillId="3" borderId="1" xfId="0" applyNumberFormat="1" applyFont="1" applyFill="1" applyBorder="1" applyAlignment="1">
      <alignment vertical="center" wrapText="1"/>
    </xf>
    <xf numFmtId="0" fontId="1" fillId="0" borderId="0" xfId="0" applyFont="1" applyAlignment="1">
      <alignment horizontal="center"/>
    </xf>
    <xf numFmtId="164" fontId="6" fillId="5" borderId="1" xfId="0" applyNumberFormat="1" applyFont="1" applyFill="1" applyBorder="1" applyAlignment="1">
      <alignment vertical="center" wrapText="1"/>
    </xf>
    <xf numFmtId="0" fontId="6" fillId="5" borderId="1" xfId="0" applyFont="1" applyFill="1" applyBorder="1" applyAlignment="1">
      <alignment vertical="center" wrapText="1"/>
    </xf>
    <xf numFmtId="0" fontId="5" fillId="5" borderId="1" xfId="0" applyFont="1" applyFill="1" applyBorder="1" applyAlignment="1">
      <alignment vertical="center" wrapText="1"/>
    </xf>
    <xf numFmtId="164" fontId="8" fillId="5" borderId="1" xfId="0" applyNumberFormat="1" applyFont="1" applyFill="1" applyBorder="1" applyAlignment="1">
      <alignment vertical="center" wrapText="1"/>
    </xf>
    <xf numFmtId="0" fontId="8" fillId="5" borderId="1" xfId="0" applyFont="1" applyFill="1" applyBorder="1" applyAlignment="1">
      <alignment vertical="center" wrapText="1"/>
    </xf>
    <xf numFmtId="164" fontId="8" fillId="6" borderId="1" xfId="0" applyNumberFormat="1" applyFont="1" applyFill="1" applyBorder="1" applyAlignment="1">
      <alignment vertical="center" wrapText="1"/>
    </xf>
    <xf numFmtId="0" fontId="8" fillId="6" borderId="1" xfId="0" applyFont="1" applyFill="1" applyBorder="1" applyAlignment="1">
      <alignment vertical="center" wrapText="1"/>
    </xf>
    <xf numFmtId="164" fontId="6" fillId="0" borderId="1" xfId="0" applyNumberFormat="1" applyFont="1" applyFill="1" applyBorder="1" applyAlignment="1">
      <alignment vertical="center" wrapText="1"/>
    </xf>
    <xf numFmtId="0" fontId="0" fillId="6" borderId="1" xfId="0" applyFont="1" applyFill="1" applyBorder="1" applyAlignment="1">
      <alignment vertical="center" wrapText="1"/>
    </xf>
    <xf numFmtId="164" fontId="0" fillId="5" borderId="1" xfId="0" applyNumberFormat="1" applyFont="1" applyFill="1" applyBorder="1" applyAlignment="1">
      <alignment vertical="center" wrapText="1"/>
    </xf>
    <xf numFmtId="0" fontId="0" fillId="5" borderId="1" xfId="0" applyFont="1" applyFill="1" applyBorder="1" applyAlignment="1">
      <alignment vertical="center" wrapText="1"/>
    </xf>
    <xf numFmtId="164" fontId="0" fillId="6" borderId="1" xfId="0" applyNumberFormat="1" applyFont="1" applyFill="1" applyBorder="1" applyAlignment="1">
      <alignment vertical="center" wrapText="1"/>
    </xf>
    <xf numFmtId="164" fontId="2" fillId="9" borderId="1" xfId="0" applyNumberFormat="1" applyFont="1" applyFill="1" applyBorder="1" applyAlignment="1">
      <alignment vertical="center" wrapText="1"/>
    </xf>
    <xf numFmtId="0" fontId="2" fillId="9" borderId="1" xfId="0" applyFont="1" applyFill="1" applyBorder="1" applyAlignment="1">
      <alignment vertical="center" wrapText="1"/>
    </xf>
    <xf numFmtId="164" fontId="4" fillId="0" borderId="1" xfId="0" applyNumberFormat="1" applyFont="1" applyFill="1" applyBorder="1" applyAlignment="1">
      <alignment vertical="center" wrapText="1"/>
    </xf>
    <xf numFmtId="0" fontId="0" fillId="0" borderId="0" xfId="0" applyFill="1"/>
    <xf numFmtId="164" fontId="6"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0" fontId="1" fillId="7" borderId="2" xfId="0" applyFont="1" applyFill="1" applyBorder="1" applyAlignment="1">
      <alignment vertical="center" wrapText="1"/>
    </xf>
    <xf numFmtId="0" fontId="1" fillId="7" borderId="4" xfId="0" applyFont="1" applyFill="1" applyBorder="1" applyAlignment="1">
      <alignment vertical="center" wrapText="1"/>
    </xf>
    <xf numFmtId="0" fontId="0" fillId="0" borderId="1" xfId="0" applyBorder="1"/>
    <xf numFmtId="164" fontId="2" fillId="3" borderId="5" xfId="0" applyNumberFormat="1" applyFont="1" applyFill="1" applyBorder="1" applyAlignment="1">
      <alignment vertical="center" wrapText="1"/>
    </xf>
    <xf numFmtId="0" fontId="2" fillId="3" borderId="5" xfId="0" applyFont="1" applyFill="1" applyBorder="1" applyAlignment="1">
      <alignment vertical="center" wrapText="1"/>
    </xf>
    <xf numFmtId="0" fontId="1" fillId="7" borderId="3" xfId="0" applyFont="1" applyFill="1" applyBorder="1" applyAlignment="1">
      <alignment vertical="center" wrapText="1"/>
    </xf>
    <xf numFmtId="164" fontId="8" fillId="0" borderId="1" xfId="0" applyNumberFormat="1" applyFont="1" applyFill="1" applyBorder="1" applyAlignment="1">
      <alignment vertical="center" wrapText="1"/>
    </xf>
    <xf numFmtId="164" fontId="3" fillId="7" borderId="6" xfId="0" applyNumberFormat="1" applyFont="1" applyFill="1" applyBorder="1" applyAlignment="1">
      <alignment vertical="center" wrapText="1"/>
    </xf>
    <xf numFmtId="0" fontId="3" fillId="7" borderId="9" xfId="0" applyFont="1" applyFill="1" applyBorder="1" applyAlignment="1">
      <alignment vertical="center" wrapText="1"/>
    </xf>
    <xf numFmtId="0" fontId="2" fillId="0" borderId="10" xfId="0" applyFont="1" applyFill="1" applyBorder="1" applyAlignment="1">
      <alignment vertical="center" wrapText="1"/>
    </xf>
    <xf numFmtId="0" fontId="8" fillId="0" borderId="10" xfId="0" applyFont="1" applyFill="1" applyBorder="1" applyAlignment="1">
      <alignment vertical="center" wrapText="1"/>
    </xf>
    <xf numFmtId="0" fontId="4" fillId="0" borderId="10" xfId="0" applyFont="1" applyFill="1" applyBorder="1" applyAlignment="1">
      <alignment vertical="center" wrapText="1"/>
    </xf>
    <xf numFmtId="0" fontId="6" fillId="0" borderId="10" xfId="0" applyFont="1" applyFill="1" applyBorder="1" applyAlignment="1">
      <alignment vertical="center" wrapText="1"/>
    </xf>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 fillId="10" borderId="1" xfId="0" applyFont="1" applyFill="1" applyBorder="1" applyAlignment="1">
      <alignment horizontal="center"/>
    </xf>
    <xf numFmtId="0" fontId="2" fillId="0" borderId="13" xfId="0" applyFont="1" applyFill="1" applyBorder="1" applyAlignment="1">
      <alignment vertical="center" wrapText="1"/>
    </xf>
    <xf numFmtId="0" fontId="0" fillId="0" borderId="5" xfId="0" applyBorder="1"/>
    <xf numFmtId="0" fontId="3" fillId="7" borderId="7" xfId="0" applyFont="1" applyFill="1" applyBorder="1" applyAlignment="1">
      <alignment vertical="center" wrapText="1"/>
    </xf>
    <xf numFmtId="0" fontId="1" fillId="10" borderId="3" xfId="0" applyFont="1" applyFill="1" applyBorder="1"/>
    <xf numFmtId="0" fontId="8" fillId="0" borderId="1" xfId="0" applyFont="1" applyFill="1" applyBorder="1" applyAlignment="1">
      <alignment vertical="center" wrapText="1"/>
    </xf>
    <xf numFmtId="0" fontId="1" fillId="4" borderId="7" xfId="0" applyFont="1" applyFill="1" applyBorder="1" applyAlignment="1">
      <alignment horizontal="center"/>
    </xf>
    <xf numFmtId="0" fontId="1" fillId="4" borderId="8" xfId="0" applyFont="1" applyFill="1" applyBorder="1" applyAlignment="1">
      <alignment horizontal="center"/>
    </xf>
    <xf numFmtId="0" fontId="1" fillId="4" borderId="12" xfId="0" applyFont="1" applyFill="1" applyBorder="1" applyAlignment="1">
      <alignment horizontal="center"/>
    </xf>
    <xf numFmtId="0" fontId="1" fillId="4" borderId="11" xfId="0" applyFont="1" applyFill="1" applyBorder="1" applyAlignment="1">
      <alignment horizontal="center"/>
    </xf>
    <xf numFmtId="0" fontId="1" fillId="10"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6CDF-0906-417E-90B7-22164098DCDD}">
  <dimension ref="B1:L1019"/>
  <sheetViews>
    <sheetView showGridLines="0" tabSelected="1" zoomScale="98" zoomScaleNormal="98" workbookViewId="0">
      <pane xSplit="8" ySplit="2" topLeftCell="I3" activePane="bottomRight" state="frozen"/>
      <selection activeCell="F77" sqref="F77"/>
      <selection pane="topRight" activeCell="F77" sqref="F77"/>
      <selection pane="bottomLeft" activeCell="F77" sqref="F77"/>
      <selection pane="bottomRight" activeCell="J846" sqref="J846"/>
    </sheetView>
  </sheetViews>
  <sheetFormatPr defaultColWidth="9.140625" defaultRowHeight="15" x14ac:dyDescent="0.25"/>
  <cols>
    <col min="1" max="1" width="2.5703125" style="15" customWidth="1"/>
    <col min="2" max="6" width="9.140625" style="15"/>
    <col min="7" max="7" width="9.5703125" style="15" customWidth="1"/>
    <col min="8" max="8" width="9.28515625" style="15" customWidth="1"/>
    <col min="9" max="9" width="14" style="23" customWidth="1"/>
    <col min="10" max="10" width="55.85546875" style="22" customWidth="1"/>
    <col min="11" max="11" width="75.7109375" style="22" customWidth="1"/>
    <col min="12" max="12" width="55.85546875" style="15" customWidth="1"/>
    <col min="13" max="16384" width="9.140625" style="15"/>
  </cols>
  <sheetData>
    <row r="1" spans="2:12" ht="8.25" customHeight="1" thickBot="1" x14ac:dyDescent="0.3"/>
    <row r="2" spans="2:12" ht="15.75" thickBot="1" x14ac:dyDescent="0.3">
      <c r="B2" s="53" t="s">
        <v>1493</v>
      </c>
      <c r="C2" s="52" t="s">
        <v>1494</v>
      </c>
      <c r="D2" s="52" t="s">
        <v>1495</v>
      </c>
      <c r="E2" s="52" t="s">
        <v>1496</v>
      </c>
      <c r="F2" s="52" t="s">
        <v>1497</v>
      </c>
      <c r="G2" s="52" t="s">
        <v>1498</v>
      </c>
      <c r="H2" s="52" t="s">
        <v>1499</v>
      </c>
      <c r="I2" s="25" t="s">
        <v>312</v>
      </c>
      <c r="J2" s="24" t="s">
        <v>0</v>
      </c>
      <c r="K2" s="24" t="s">
        <v>1</v>
      </c>
      <c r="L2" s="57" t="s">
        <v>1453</v>
      </c>
    </row>
    <row r="3" spans="2:12" ht="60" x14ac:dyDescent="0.25">
      <c r="B3" s="55" t="str">
        <f t="shared" ref="B3:B66" si="0">MID($I3,1,1)</f>
        <v>1</v>
      </c>
      <c r="C3" s="55" t="str">
        <f t="shared" ref="C3:C66" si="1">MID($I3,2,1)</f>
        <v>0</v>
      </c>
      <c r="D3" s="55" t="str">
        <f t="shared" ref="D3:D66" si="2">MID($I3,3,1)</f>
        <v>0</v>
      </c>
      <c r="E3" s="55" t="str">
        <f t="shared" ref="E3:E66" si="3">MID($I3,4,1)</f>
        <v>0</v>
      </c>
      <c r="F3" s="55" t="str">
        <f t="shared" ref="F3:F66" si="4">MID($I3,5,2)</f>
        <v>00</v>
      </c>
      <c r="G3" s="55" t="str">
        <f t="shared" ref="G3:G66" si="5">MID($I3,7,1)</f>
        <v>0</v>
      </c>
      <c r="H3" s="55" t="str">
        <f t="shared" ref="H3:H66" si="6">MID($I3,8,1)</f>
        <v>0</v>
      </c>
      <c r="I3" s="55">
        <v>10000000</v>
      </c>
      <c r="J3" s="56" t="s">
        <v>2</v>
      </c>
      <c r="K3" s="56" t="s">
        <v>313</v>
      </c>
      <c r="L3" s="56"/>
    </row>
    <row r="4" spans="2:12" ht="26.25" customHeight="1" x14ac:dyDescent="0.25">
      <c r="B4" s="6" t="str">
        <f t="shared" si="0"/>
        <v>1</v>
      </c>
      <c r="C4" s="6" t="str">
        <f t="shared" si="1"/>
        <v>1</v>
      </c>
      <c r="D4" s="6" t="str">
        <f t="shared" si="2"/>
        <v>0</v>
      </c>
      <c r="E4" s="6" t="str">
        <f t="shared" si="3"/>
        <v>0</v>
      </c>
      <c r="F4" s="6" t="str">
        <f t="shared" si="4"/>
        <v>00</v>
      </c>
      <c r="G4" s="6" t="str">
        <f t="shared" si="5"/>
        <v>0</v>
      </c>
      <c r="H4" s="6" t="str">
        <f t="shared" si="6"/>
        <v>0</v>
      </c>
      <c r="I4" s="6">
        <v>11000000</v>
      </c>
      <c r="J4" s="5" t="s">
        <v>314</v>
      </c>
      <c r="K4" s="5" t="s">
        <v>315</v>
      </c>
      <c r="L4" s="5"/>
    </row>
    <row r="5" spans="2:12" ht="75" x14ac:dyDescent="0.25">
      <c r="B5" s="27" t="str">
        <f t="shared" si="0"/>
        <v>1</v>
      </c>
      <c r="C5" s="27" t="str">
        <f t="shared" si="1"/>
        <v>1</v>
      </c>
      <c r="D5" s="27" t="str">
        <f t="shared" si="2"/>
        <v>1</v>
      </c>
      <c r="E5" s="27" t="str">
        <f t="shared" si="3"/>
        <v>0</v>
      </c>
      <c r="F5" s="27" t="str">
        <f t="shared" si="4"/>
        <v>00</v>
      </c>
      <c r="G5" s="27" t="str">
        <f t="shared" si="5"/>
        <v>0</v>
      </c>
      <c r="H5" s="27" t="str">
        <f t="shared" si="6"/>
        <v>0</v>
      </c>
      <c r="I5" s="27">
        <v>11100000</v>
      </c>
      <c r="J5" s="26" t="s">
        <v>3</v>
      </c>
      <c r="K5" s="26" t="s">
        <v>316</v>
      </c>
      <c r="L5" s="26"/>
    </row>
    <row r="6" spans="2:12" ht="30" x14ac:dyDescent="0.25">
      <c r="B6" s="17" t="str">
        <f t="shared" si="0"/>
        <v>1</v>
      </c>
      <c r="C6" s="17" t="str">
        <f t="shared" si="1"/>
        <v>1</v>
      </c>
      <c r="D6" s="17" t="str">
        <f t="shared" si="2"/>
        <v>1</v>
      </c>
      <c r="E6" s="17" t="str">
        <f t="shared" si="3"/>
        <v>1</v>
      </c>
      <c r="F6" s="17" t="str">
        <f t="shared" si="4"/>
        <v>00</v>
      </c>
      <c r="G6" s="17" t="str">
        <f t="shared" si="5"/>
        <v>0</v>
      </c>
      <c r="H6" s="17" t="str">
        <f t="shared" si="6"/>
        <v>0</v>
      </c>
      <c r="I6" s="17">
        <v>11110000</v>
      </c>
      <c r="J6" s="16" t="s">
        <v>4</v>
      </c>
      <c r="K6" s="16" t="s">
        <v>317</v>
      </c>
      <c r="L6" s="16"/>
    </row>
    <row r="7" spans="2:12" ht="75" x14ac:dyDescent="0.25">
      <c r="B7" s="2" t="str">
        <f t="shared" si="0"/>
        <v>1</v>
      </c>
      <c r="C7" s="2" t="str">
        <f t="shared" si="1"/>
        <v>1</v>
      </c>
      <c r="D7" s="2" t="str">
        <f t="shared" si="2"/>
        <v>1</v>
      </c>
      <c r="E7" s="2" t="str">
        <f t="shared" si="3"/>
        <v>1</v>
      </c>
      <c r="F7" s="2" t="str">
        <f t="shared" si="4"/>
        <v>01</v>
      </c>
      <c r="G7" s="2" t="str">
        <f t="shared" si="5"/>
        <v>0</v>
      </c>
      <c r="H7" s="2" t="str">
        <f t="shared" si="6"/>
        <v>0</v>
      </c>
      <c r="I7" s="2">
        <v>11110100</v>
      </c>
      <c r="J7" s="3" t="s">
        <v>5</v>
      </c>
      <c r="K7" s="3" t="s">
        <v>318</v>
      </c>
      <c r="L7" s="3"/>
    </row>
    <row r="8" spans="2:12" ht="144" customHeight="1" x14ac:dyDescent="0.25">
      <c r="B8" s="7" t="str">
        <f t="shared" si="0"/>
        <v>1</v>
      </c>
      <c r="C8" s="7" t="str">
        <f t="shared" si="1"/>
        <v>1</v>
      </c>
      <c r="D8" s="7" t="str">
        <f t="shared" si="2"/>
        <v>1</v>
      </c>
      <c r="E8" s="7" t="str">
        <f t="shared" si="3"/>
        <v>1</v>
      </c>
      <c r="F8" s="7" t="str">
        <f t="shared" si="4"/>
        <v>01</v>
      </c>
      <c r="G8" s="7" t="str">
        <f t="shared" si="5"/>
        <v>1</v>
      </c>
      <c r="H8" s="7" t="str">
        <f t="shared" si="6"/>
        <v>0</v>
      </c>
      <c r="I8" s="7">
        <v>11110110</v>
      </c>
      <c r="J8" s="8" t="s">
        <v>5</v>
      </c>
      <c r="K8" s="8" t="s">
        <v>319</v>
      </c>
      <c r="L8" s="8"/>
    </row>
    <row r="9" spans="2:12" ht="163.5" customHeight="1" x14ac:dyDescent="0.25">
      <c r="B9" s="9" t="str">
        <f t="shared" si="0"/>
        <v>1</v>
      </c>
      <c r="C9" s="9" t="str">
        <f t="shared" si="1"/>
        <v>1</v>
      </c>
      <c r="D9" s="9" t="str">
        <f t="shared" si="2"/>
        <v>1</v>
      </c>
      <c r="E9" s="9" t="str">
        <f t="shared" si="3"/>
        <v>1</v>
      </c>
      <c r="F9" s="9" t="str">
        <f t="shared" si="4"/>
        <v>01</v>
      </c>
      <c r="G9" s="9" t="str">
        <f t="shared" si="5"/>
        <v>1</v>
      </c>
      <c r="H9" s="9" t="str">
        <f t="shared" si="6"/>
        <v>1</v>
      </c>
      <c r="I9" s="9">
        <v>11110111</v>
      </c>
      <c r="J9" s="1" t="s">
        <v>320</v>
      </c>
      <c r="K9" s="1" t="s">
        <v>321</v>
      </c>
      <c r="L9" s="1"/>
    </row>
    <row r="10" spans="2:12" x14ac:dyDescent="0.25">
      <c r="B10" s="9" t="str">
        <f t="shared" si="0"/>
        <v>1</v>
      </c>
      <c r="C10" s="9" t="str">
        <f t="shared" si="1"/>
        <v>1</v>
      </c>
      <c r="D10" s="9" t="str">
        <f t="shared" si="2"/>
        <v>1</v>
      </c>
      <c r="E10" s="9" t="str">
        <f t="shared" si="3"/>
        <v>1</v>
      </c>
      <c r="F10" s="9" t="str">
        <f t="shared" si="4"/>
        <v>01</v>
      </c>
      <c r="G10" s="9" t="str">
        <f t="shared" si="5"/>
        <v>1</v>
      </c>
      <c r="H10" s="9" t="str">
        <f t="shared" si="6"/>
        <v>2</v>
      </c>
      <c r="I10" s="9">
        <v>11110112</v>
      </c>
      <c r="J10" s="1" t="s">
        <v>1041</v>
      </c>
      <c r="K10" s="1" t="s">
        <v>322</v>
      </c>
      <c r="L10" s="1"/>
    </row>
    <row r="11" spans="2:12" x14ac:dyDescent="0.25">
      <c r="B11" s="9" t="str">
        <f t="shared" si="0"/>
        <v>1</v>
      </c>
      <c r="C11" s="9" t="str">
        <f t="shared" si="1"/>
        <v>1</v>
      </c>
      <c r="D11" s="9" t="str">
        <f t="shared" si="2"/>
        <v>1</v>
      </c>
      <c r="E11" s="9" t="str">
        <f t="shared" si="3"/>
        <v>1</v>
      </c>
      <c r="F11" s="9" t="str">
        <f t="shared" si="4"/>
        <v>01</v>
      </c>
      <c r="G11" s="9" t="str">
        <f t="shared" si="5"/>
        <v>1</v>
      </c>
      <c r="H11" s="9" t="str">
        <f t="shared" si="6"/>
        <v>3</v>
      </c>
      <c r="I11" s="9">
        <v>11110113</v>
      </c>
      <c r="J11" s="1" t="s">
        <v>323</v>
      </c>
      <c r="K11" s="1" t="s">
        <v>322</v>
      </c>
      <c r="L11" s="1"/>
    </row>
    <row r="12" spans="2:12" ht="30" x14ac:dyDescent="0.25">
      <c r="B12" s="9" t="str">
        <f t="shared" si="0"/>
        <v>1</v>
      </c>
      <c r="C12" s="9" t="str">
        <f t="shared" si="1"/>
        <v>1</v>
      </c>
      <c r="D12" s="9" t="str">
        <f t="shared" si="2"/>
        <v>1</v>
      </c>
      <c r="E12" s="9" t="str">
        <f t="shared" si="3"/>
        <v>1</v>
      </c>
      <c r="F12" s="9" t="str">
        <f t="shared" si="4"/>
        <v>01</v>
      </c>
      <c r="G12" s="9" t="str">
        <f t="shared" si="5"/>
        <v>1</v>
      </c>
      <c r="H12" s="9" t="str">
        <f t="shared" si="6"/>
        <v>4</v>
      </c>
      <c r="I12" s="9">
        <v>11110114</v>
      </c>
      <c r="J12" s="1" t="s">
        <v>1042</v>
      </c>
      <c r="K12" s="1" t="s">
        <v>322</v>
      </c>
      <c r="L12" s="1"/>
    </row>
    <row r="13" spans="2:12" x14ac:dyDescent="0.25">
      <c r="B13" s="9" t="str">
        <f t="shared" si="0"/>
        <v>1</v>
      </c>
      <c r="C13" s="9" t="str">
        <f t="shared" si="1"/>
        <v>1</v>
      </c>
      <c r="D13" s="9" t="str">
        <f t="shared" si="2"/>
        <v>1</v>
      </c>
      <c r="E13" s="9" t="str">
        <f t="shared" si="3"/>
        <v>1</v>
      </c>
      <c r="F13" s="9" t="str">
        <f t="shared" si="4"/>
        <v>01</v>
      </c>
      <c r="G13" s="9" t="str">
        <f t="shared" si="5"/>
        <v>1</v>
      </c>
      <c r="H13" s="9" t="str">
        <f t="shared" si="6"/>
        <v>5</v>
      </c>
      <c r="I13" s="9">
        <v>11110115</v>
      </c>
      <c r="J13" s="1" t="s">
        <v>1043</v>
      </c>
      <c r="K13" s="1" t="s">
        <v>322</v>
      </c>
      <c r="L13" s="1"/>
    </row>
    <row r="14" spans="2:12" x14ac:dyDescent="0.25">
      <c r="B14" s="9" t="str">
        <f t="shared" si="0"/>
        <v>1</v>
      </c>
      <c r="C14" s="9" t="str">
        <f t="shared" si="1"/>
        <v>1</v>
      </c>
      <c r="D14" s="9" t="str">
        <f t="shared" si="2"/>
        <v>1</v>
      </c>
      <c r="E14" s="9" t="str">
        <f t="shared" si="3"/>
        <v>1</v>
      </c>
      <c r="F14" s="9" t="str">
        <f t="shared" si="4"/>
        <v>01</v>
      </c>
      <c r="G14" s="9" t="str">
        <f t="shared" si="5"/>
        <v>1</v>
      </c>
      <c r="H14" s="9" t="str">
        <f t="shared" si="6"/>
        <v>6</v>
      </c>
      <c r="I14" s="9">
        <v>11110116</v>
      </c>
      <c r="J14" s="1" t="s">
        <v>1044</v>
      </c>
      <c r="K14" s="1" t="s">
        <v>322</v>
      </c>
      <c r="L14" s="1"/>
    </row>
    <row r="15" spans="2:12" ht="30" x14ac:dyDescent="0.25">
      <c r="B15" s="9" t="str">
        <f t="shared" si="0"/>
        <v>1</v>
      </c>
      <c r="C15" s="9" t="str">
        <f t="shared" si="1"/>
        <v>1</v>
      </c>
      <c r="D15" s="9" t="str">
        <f t="shared" si="2"/>
        <v>1</v>
      </c>
      <c r="E15" s="9" t="str">
        <f t="shared" si="3"/>
        <v>1</v>
      </c>
      <c r="F15" s="9" t="str">
        <f t="shared" si="4"/>
        <v>01</v>
      </c>
      <c r="G15" s="9" t="str">
        <f t="shared" si="5"/>
        <v>1</v>
      </c>
      <c r="H15" s="9" t="str">
        <f t="shared" si="6"/>
        <v>7</v>
      </c>
      <c r="I15" s="9">
        <v>11110117</v>
      </c>
      <c r="J15" s="1" t="s">
        <v>1045</v>
      </c>
      <c r="K15" s="1" t="s">
        <v>322</v>
      </c>
      <c r="L15" s="1"/>
    </row>
    <row r="16" spans="2:12" x14ac:dyDescent="0.25">
      <c r="B16" s="9" t="str">
        <f t="shared" si="0"/>
        <v>1</v>
      </c>
      <c r="C16" s="9" t="str">
        <f t="shared" si="1"/>
        <v>1</v>
      </c>
      <c r="D16" s="9" t="str">
        <f t="shared" si="2"/>
        <v>1</v>
      </c>
      <c r="E16" s="9" t="str">
        <f t="shared" si="3"/>
        <v>1</v>
      </c>
      <c r="F16" s="9" t="str">
        <f t="shared" si="4"/>
        <v>01</v>
      </c>
      <c r="G16" s="9" t="str">
        <f t="shared" si="5"/>
        <v>1</v>
      </c>
      <c r="H16" s="9" t="str">
        <f t="shared" si="6"/>
        <v>8</v>
      </c>
      <c r="I16" s="9">
        <v>11110118</v>
      </c>
      <c r="J16" s="1" t="s">
        <v>1046</v>
      </c>
      <c r="K16" s="1" t="s">
        <v>322</v>
      </c>
      <c r="L16" s="1"/>
    </row>
    <row r="17" spans="2:12" ht="45" x14ac:dyDescent="0.25">
      <c r="B17" s="2" t="str">
        <f t="shared" si="0"/>
        <v>1</v>
      </c>
      <c r="C17" s="2" t="str">
        <f t="shared" si="1"/>
        <v>1</v>
      </c>
      <c r="D17" s="2" t="str">
        <f t="shared" si="2"/>
        <v>1</v>
      </c>
      <c r="E17" s="2" t="str">
        <f t="shared" si="3"/>
        <v>1</v>
      </c>
      <c r="F17" s="2" t="str">
        <f t="shared" si="4"/>
        <v>02</v>
      </c>
      <c r="G17" s="2" t="str">
        <f t="shared" si="5"/>
        <v>0</v>
      </c>
      <c r="H17" s="2" t="str">
        <f t="shared" si="6"/>
        <v>0</v>
      </c>
      <c r="I17" s="2">
        <v>11110200</v>
      </c>
      <c r="J17" s="3" t="s">
        <v>6</v>
      </c>
      <c r="K17" s="3" t="s">
        <v>324</v>
      </c>
      <c r="L17" s="3"/>
    </row>
    <row r="18" spans="2:12" ht="30" x14ac:dyDescent="0.25">
      <c r="B18" s="7" t="str">
        <f t="shared" si="0"/>
        <v>1</v>
      </c>
      <c r="C18" s="7" t="str">
        <f t="shared" si="1"/>
        <v>1</v>
      </c>
      <c r="D18" s="7" t="str">
        <f t="shared" si="2"/>
        <v>1</v>
      </c>
      <c r="E18" s="7" t="str">
        <f t="shared" si="3"/>
        <v>1</v>
      </c>
      <c r="F18" s="7" t="str">
        <f t="shared" si="4"/>
        <v>02</v>
      </c>
      <c r="G18" s="7" t="str">
        <f t="shared" si="5"/>
        <v>1</v>
      </c>
      <c r="H18" s="7" t="str">
        <f t="shared" si="6"/>
        <v>0</v>
      </c>
      <c r="I18" s="7">
        <v>11110210</v>
      </c>
      <c r="J18" s="8" t="s">
        <v>6</v>
      </c>
      <c r="K18" s="8" t="s">
        <v>325</v>
      </c>
      <c r="L18" s="8"/>
    </row>
    <row r="19" spans="2:12" ht="30" x14ac:dyDescent="0.25">
      <c r="B19" s="17" t="str">
        <f t="shared" si="0"/>
        <v>1</v>
      </c>
      <c r="C19" s="17" t="str">
        <f t="shared" si="1"/>
        <v>1</v>
      </c>
      <c r="D19" s="17" t="str">
        <f t="shared" si="2"/>
        <v>1</v>
      </c>
      <c r="E19" s="17" t="str">
        <f t="shared" si="3"/>
        <v>2</v>
      </c>
      <c r="F19" s="17" t="str">
        <f t="shared" si="4"/>
        <v>00</v>
      </c>
      <c r="G19" s="17" t="str">
        <f t="shared" si="5"/>
        <v>0</v>
      </c>
      <c r="H19" s="17" t="str">
        <f t="shared" si="6"/>
        <v>0</v>
      </c>
      <c r="I19" s="17">
        <v>11120000</v>
      </c>
      <c r="J19" s="16" t="s">
        <v>326</v>
      </c>
      <c r="K19" s="16" t="s">
        <v>327</v>
      </c>
      <c r="L19" s="16"/>
    </row>
    <row r="20" spans="2:12" ht="75" x14ac:dyDescent="0.25">
      <c r="B20" s="2" t="str">
        <f t="shared" si="0"/>
        <v>1</v>
      </c>
      <c r="C20" s="2" t="str">
        <f t="shared" si="1"/>
        <v>1</v>
      </c>
      <c r="D20" s="2" t="str">
        <f t="shared" si="2"/>
        <v>1</v>
      </c>
      <c r="E20" s="2" t="str">
        <f t="shared" si="3"/>
        <v>2</v>
      </c>
      <c r="F20" s="2" t="str">
        <f t="shared" si="4"/>
        <v>01</v>
      </c>
      <c r="G20" s="2" t="str">
        <f t="shared" si="5"/>
        <v>0</v>
      </c>
      <c r="H20" s="2" t="str">
        <f t="shared" si="6"/>
        <v>0</v>
      </c>
      <c r="I20" s="2">
        <v>11120100</v>
      </c>
      <c r="J20" s="3" t="s">
        <v>7</v>
      </c>
      <c r="K20" s="3" t="s">
        <v>328</v>
      </c>
      <c r="L20" s="3"/>
    </row>
    <row r="21" spans="2:12" ht="45" x14ac:dyDescent="0.25">
      <c r="B21" s="7" t="str">
        <f t="shared" si="0"/>
        <v>1</v>
      </c>
      <c r="C21" s="7" t="str">
        <f t="shared" si="1"/>
        <v>1</v>
      </c>
      <c r="D21" s="7" t="str">
        <f t="shared" si="2"/>
        <v>1</v>
      </c>
      <c r="E21" s="7" t="str">
        <f t="shared" si="3"/>
        <v>2</v>
      </c>
      <c r="F21" s="7" t="str">
        <f t="shared" si="4"/>
        <v>01</v>
      </c>
      <c r="G21" s="7" t="str">
        <f t="shared" si="5"/>
        <v>1</v>
      </c>
      <c r="H21" s="7" t="str">
        <f t="shared" si="6"/>
        <v>0</v>
      </c>
      <c r="I21" s="7">
        <v>11120110</v>
      </c>
      <c r="J21" s="8" t="s">
        <v>8</v>
      </c>
      <c r="K21" s="8" t="s">
        <v>329</v>
      </c>
      <c r="L21" s="8"/>
    </row>
    <row r="22" spans="2:12" ht="45" x14ac:dyDescent="0.25">
      <c r="B22" s="7" t="str">
        <f t="shared" si="0"/>
        <v>1</v>
      </c>
      <c r="C22" s="7" t="str">
        <f t="shared" si="1"/>
        <v>1</v>
      </c>
      <c r="D22" s="7" t="str">
        <f t="shared" si="2"/>
        <v>1</v>
      </c>
      <c r="E22" s="7" t="str">
        <f t="shared" si="3"/>
        <v>2</v>
      </c>
      <c r="F22" s="7" t="str">
        <f t="shared" si="4"/>
        <v>01</v>
      </c>
      <c r="G22" s="7" t="str">
        <f t="shared" si="5"/>
        <v>2</v>
      </c>
      <c r="H22" s="7" t="str">
        <f t="shared" si="6"/>
        <v>0</v>
      </c>
      <c r="I22" s="7">
        <v>11120120</v>
      </c>
      <c r="J22" s="8" t="s">
        <v>9</v>
      </c>
      <c r="K22" s="8" t="s">
        <v>330</v>
      </c>
      <c r="L22" s="8"/>
    </row>
    <row r="23" spans="2:12" ht="30" x14ac:dyDescent="0.25">
      <c r="B23" s="17" t="str">
        <f t="shared" si="0"/>
        <v>1</v>
      </c>
      <c r="C23" s="17" t="str">
        <f t="shared" si="1"/>
        <v>1</v>
      </c>
      <c r="D23" s="17" t="str">
        <f t="shared" si="2"/>
        <v>1</v>
      </c>
      <c r="E23" s="17" t="str">
        <f t="shared" si="3"/>
        <v>3</v>
      </c>
      <c r="F23" s="17" t="str">
        <f t="shared" si="4"/>
        <v>00</v>
      </c>
      <c r="G23" s="17" t="str">
        <f t="shared" si="5"/>
        <v>0</v>
      </c>
      <c r="H23" s="17" t="str">
        <f t="shared" si="6"/>
        <v>0</v>
      </c>
      <c r="I23" s="17">
        <v>11130000</v>
      </c>
      <c r="J23" s="16" t="s">
        <v>331</v>
      </c>
      <c r="K23" s="16" t="s">
        <v>332</v>
      </c>
      <c r="L23" s="16"/>
    </row>
    <row r="24" spans="2:12" ht="45" x14ac:dyDescent="0.25">
      <c r="B24" s="2" t="str">
        <f t="shared" si="0"/>
        <v>1</v>
      </c>
      <c r="C24" s="2" t="str">
        <f t="shared" si="1"/>
        <v>1</v>
      </c>
      <c r="D24" s="2" t="str">
        <f t="shared" si="2"/>
        <v>1</v>
      </c>
      <c r="E24" s="2" t="str">
        <f t="shared" si="3"/>
        <v>3</v>
      </c>
      <c r="F24" s="2" t="str">
        <f t="shared" si="4"/>
        <v>01</v>
      </c>
      <c r="G24" s="2" t="str">
        <f t="shared" si="5"/>
        <v>0</v>
      </c>
      <c r="H24" s="2" t="str">
        <f t="shared" si="6"/>
        <v>0</v>
      </c>
      <c r="I24" s="2">
        <v>11130100</v>
      </c>
      <c r="J24" s="3" t="s">
        <v>333</v>
      </c>
      <c r="K24" s="3" t="s">
        <v>334</v>
      </c>
      <c r="L24" s="3"/>
    </row>
    <row r="25" spans="2:12" ht="45" x14ac:dyDescent="0.25">
      <c r="B25" s="7" t="str">
        <f t="shared" si="0"/>
        <v>1</v>
      </c>
      <c r="C25" s="7" t="str">
        <f t="shared" si="1"/>
        <v>1</v>
      </c>
      <c r="D25" s="7" t="str">
        <f t="shared" si="2"/>
        <v>1</v>
      </c>
      <c r="E25" s="7" t="str">
        <f t="shared" si="3"/>
        <v>3</v>
      </c>
      <c r="F25" s="7" t="str">
        <f t="shared" si="4"/>
        <v>01</v>
      </c>
      <c r="G25" s="7" t="str">
        <f t="shared" si="5"/>
        <v>1</v>
      </c>
      <c r="H25" s="7" t="str">
        <f t="shared" si="6"/>
        <v>0</v>
      </c>
      <c r="I25" s="7">
        <v>11130110</v>
      </c>
      <c r="J25" s="8" t="s">
        <v>333</v>
      </c>
      <c r="K25" s="8" t="s">
        <v>334</v>
      </c>
      <c r="L25" s="8"/>
    </row>
    <row r="26" spans="2:12" ht="135" x14ac:dyDescent="0.25">
      <c r="B26" s="2" t="str">
        <f t="shared" si="0"/>
        <v>1</v>
      </c>
      <c r="C26" s="2" t="str">
        <f t="shared" si="1"/>
        <v>1</v>
      </c>
      <c r="D26" s="2" t="str">
        <f t="shared" si="2"/>
        <v>1</v>
      </c>
      <c r="E26" s="2" t="str">
        <f t="shared" si="3"/>
        <v>3</v>
      </c>
      <c r="F26" s="2" t="str">
        <f t="shared" si="4"/>
        <v>02</v>
      </c>
      <c r="G26" s="2" t="str">
        <f t="shared" si="5"/>
        <v>0</v>
      </c>
      <c r="H26" s="2" t="str">
        <f t="shared" si="6"/>
        <v>0</v>
      </c>
      <c r="I26" s="2">
        <v>11130200</v>
      </c>
      <c r="J26" s="3" t="s">
        <v>335</v>
      </c>
      <c r="K26" s="3" t="s">
        <v>336</v>
      </c>
      <c r="L26" s="3"/>
    </row>
    <row r="27" spans="2:12" ht="135" x14ac:dyDescent="0.25">
      <c r="B27" s="7" t="str">
        <f t="shared" si="0"/>
        <v>1</v>
      </c>
      <c r="C27" s="7" t="str">
        <f t="shared" si="1"/>
        <v>1</v>
      </c>
      <c r="D27" s="7" t="str">
        <f t="shared" si="2"/>
        <v>1</v>
      </c>
      <c r="E27" s="7" t="str">
        <f t="shared" si="3"/>
        <v>3</v>
      </c>
      <c r="F27" s="7" t="str">
        <f t="shared" si="4"/>
        <v>02</v>
      </c>
      <c r="G27" s="7" t="str">
        <f t="shared" si="5"/>
        <v>1</v>
      </c>
      <c r="H27" s="7" t="str">
        <f t="shared" si="6"/>
        <v>0</v>
      </c>
      <c r="I27" s="7">
        <v>11130210</v>
      </c>
      <c r="J27" s="8" t="s">
        <v>335</v>
      </c>
      <c r="K27" s="8" t="s">
        <v>336</v>
      </c>
      <c r="L27" s="8"/>
    </row>
    <row r="28" spans="2:12" ht="30" x14ac:dyDescent="0.25">
      <c r="B28" s="2" t="str">
        <f t="shared" si="0"/>
        <v>1</v>
      </c>
      <c r="C28" s="2" t="str">
        <f t="shared" si="1"/>
        <v>1</v>
      </c>
      <c r="D28" s="2" t="str">
        <f t="shared" si="2"/>
        <v>1</v>
      </c>
      <c r="E28" s="2" t="str">
        <f t="shared" si="3"/>
        <v>3</v>
      </c>
      <c r="F28" s="2" t="str">
        <f t="shared" si="4"/>
        <v>03</v>
      </c>
      <c r="G28" s="2" t="str">
        <f t="shared" si="5"/>
        <v>0</v>
      </c>
      <c r="H28" s="2" t="str">
        <f t="shared" si="6"/>
        <v>0</v>
      </c>
      <c r="I28" s="2">
        <v>11130300</v>
      </c>
      <c r="J28" s="3" t="s">
        <v>337</v>
      </c>
      <c r="K28" s="3" t="s">
        <v>338</v>
      </c>
      <c r="L28" s="3"/>
    </row>
    <row r="29" spans="2:12" ht="30" x14ac:dyDescent="0.25">
      <c r="B29" s="7" t="str">
        <f t="shared" si="0"/>
        <v>1</v>
      </c>
      <c r="C29" s="7" t="str">
        <f t="shared" si="1"/>
        <v>1</v>
      </c>
      <c r="D29" s="7" t="str">
        <f t="shared" si="2"/>
        <v>1</v>
      </c>
      <c r="E29" s="7" t="str">
        <f t="shared" si="3"/>
        <v>3</v>
      </c>
      <c r="F29" s="7" t="str">
        <f t="shared" si="4"/>
        <v>03</v>
      </c>
      <c r="G29" s="7" t="str">
        <f t="shared" si="5"/>
        <v>1</v>
      </c>
      <c r="H29" s="7" t="str">
        <f t="shared" si="6"/>
        <v>0</v>
      </c>
      <c r="I29" s="7">
        <v>11130310</v>
      </c>
      <c r="J29" s="8" t="s">
        <v>339</v>
      </c>
      <c r="K29" s="8" t="s">
        <v>340</v>
      </c>
      <c r="L29" s="8"/>
    </row>
    <row r="30" spans="2:12" ht="75" x14ac:dyDescent="0.25">
      <c r="B30" s="7" t="str">
        <f t="shared" si="0"/>
        <v>1</v>
      </c>
      <c r="C30" s="7" t="str">
        <f t="shared" si="1"/>
        <v>1</v>
      </c>
      <c r="D30" s="7" t="str">
        <f t="shared" si="2"/>
        <v>1</v>
      </c>
      <c r="E30" s="7" t="str">
        <f t="shared" si="3"/>
        <v>3</v>
      </c>
      <c r="F30" s="7" t="str">
        <f t="shared" si="4"/>
        <v>03</v>
      </c>
      <c r="G30" s="7" t="str">
        <f t="shared" si="5"/>
        <v>2</v>
      </c>
      <c r="H30" s="7" t="str">
        <f t="shared" si="6"/>
        <v>0</v>
      </c>
      <c r="I30" s="7">
        <v>11130320</v>
      </c>
      <c r="J30" s="8" t="s">
        <v>341</v>
      </c>
      <c r="K30" s="8" t="s">
        <v>342</v>
      </c>
      <c r="L30" s="8"/>
    </row>
    <row r="31" spans="2:12" ht="75" customHeight="1" x14ac:dyDescent="0.25">
      <c r="B31" s="7" t="str">
        <f t="shared" si="0"/>
        <v>1</v>
      </c>
      <c r="C31" s="7" t="str">
        <f t="shared" si="1"/>
        <v>1</v>
      </c>
      <c r="D31" s="7" t="str">
        <f t="shared" si="2"/>
        <v>1</v>
      </c>
      <c r="E31" s="7" t="str">
        <f t="shared" si="3"/>
        <v>3</v>
      </c>
      <c r="F31" s="7" t="str">
        <f t="shared" si="4"/>
        <v>03</v>
      </c>
      <c r="G31" s="7" t="str">
        <f t="shared" si="5"/>
        <v>3</v>
      </c>
      <c r="H31" s="7" t="str">
        <f t="shared" si="6"/>
        <v>0</v>
      </c>
      <c r="I31" s="7">
        <v>11130330</v>
      </c>
      <c r="J31" s="8" t="s">
        <v>343</v>
      </c>
      <c r="K31" s="8" t="s">
        <v>344</v>
      </c>
      <c r="L31" s="8"/>
    </row>
    <row r="32" spans="2:12" ht="122.25" customHeight="1" x14ac:dyDescent="0.25">
      <c r="B32" s="7" t="str">
        <f t="shared" si="0"/>
        <v>1</v>
      </c>
      <c r="C32" s="7" t="str">
        <f t="shared" si="1"/>
        <v>1</v>
      </c>
      <c r="D32" s="7" t="str">
        <f t="shared" si="2"/>
        <v>1</v>
      </c>
      <c r="E32" s="7" t="str">
        <f t="shared" si="3"/>
        <v>3</v>
      </c>
      <c r="F32" s="7" t="str">
        <f t="shared" si="4"/>
        <v>03</v>
      </c>
      <c r="G32" s="7" t="str">
        <f t="shared" si="5"/>
        <v>4</v>
      </c>
      <c r="H32" s="7" t="str">
        <f t="shared" si="6"/>
        <v>0</v>
      </c>
      <c r="I32" s="7">
        <v>11130340</v>
      </c>
      <c r="J32" s="8" t="s">
        <v>345</v>
      </c>
      <c r="K32" s="8" t="s">
        <v>346</v>
      </c>
      <c r="L32" s="8"/>
    </row>
    <row r="33" spans="2:12" ht="120" x14ac:dyDescent="0.25">
      <c r="B33" s="17" t="str">
        <f t="shared" si="0"/>
        <v>1</v>
      </c>
      <c r="C33" s="17" t="str">
        <f t="shared" si="1"/>
        <v>1</v>
      </c>
      <c r="D33" s="17" t="str">
        <f t="shared" si="2"/>
        <v>1</v>
      </c>
      <c r="E33" s="17" t="str">
        <f t="shared" si="3"/>
        <v>4</v>
      </c>
      <c r="F33" s="17" t="str">
        <f t="shared" si="4"/>
        <v>00</v>
      </c>
      <c r="G33" s="17" t="str">
        <f t="shared" si="5"/>
        <v>0</v>
      </c>
      <c r="H33" s="17" t="str">
        <f t="shared" si="6"/>
        <v>0</v>
      </c>
      <c r="I33" s="17">
        <v>11140000</v>
      </c>
      <c r="J33" s="16" t="s">
        <v>1340</v>
      </c>
      <c r="K33" s="16" t="s">
        <v>347</v>
      </c>
      <c r="L33" s="16"/>
    </row>
    <row r="34" spans="2:12" ht="72.75" customHeight="1" x14ac:dyDescent="0.25">
      <c r="B34" s="2" t="str">
        <f t="shared" si="0"/>
        <v>1</v>
      </c>
      <c r="C34" s="2" t="str">
        <f t="shared" si="1"/>
        <v>1</v>
      </c>
      <c r="D34" s="2" t="str">
        <f t="shared" si="2"/>
        <v>1</v>
      </c>
      <c r="E34" s="2" t="str">
        <f t="shared" si="3"/>
        <v>4</v>
      </c>
      <c r="F34" s="2" t="str">
        <f t="shared" si="4"/>
        <v>01</v>
      </c>
      <c r="G34" s="2" t="str">
        <f t="shared" si="5"/>
        <v>0</v>
      </c>
      <c r="H34" s="2" t="str">
        <f t="shared" si="6"/>
        <v>0</v>
      </c>
      <c r="I34" s="2">
        <v>11140100</v>
      </c>
      <c r="J34" s="3" t="s">
        <v>348</v>
      </c>
      <c r="K34" s="3" t="s">
        <v>349</v>
      </c>
      <c r="L34" s="3"/>
    </row>
    <row r="35" spans="2:12" ht="45" x14ac:dyDescent="0.25">
      <c r="B35" s="7" t="str">
        <f t="shared" si="0"/>
        <v>1</v>
      </c>
      <c r="C35" s="7" t="str">
        <f t="shared" si="1"/>
        <v>1</v>
      </c>
      <c r="D35" s="7" t="str">
        <f t="shared" si="2"/>
        <v>1</v>
      </c>
      <c r="E35" s="7" t="str">
        <f t="shared" si="3"/>
        <v>4</v>
      </c>
      <c r="F35" s="7" t="str">
        <f t="shared" si="4"/>
        <v>01</v>
      </c>
      <c r="G35" s="7" t="str">
        <f t="shared" si="5"/>
        <v>1</v>
      </c>
      <c r="H35" s="7" t="str">
        <f t="shared" si="6"/>
        <v>0</v>
      </c>
      <c r="I35" s="7">
        <v>11140110</v>
      </c>
      <c r="J35" s="8" t="s">
        <v>350</v>
      </c>
      <c r="K35" s="8" t="s">
        <v>351</v>
      </c>
      <c r="L35" s="8"/>
    </row>
    <row r="36" spans="2:12" ht="78.75" customHeight="1" x14ac:dyDescent="0.25">
      <c r="B36" s="7" t="str">
        <f t="shared" si="0"/>
        <v>1</v>
      </c>
      <c r="C36" s="7" t="str">
        <f t="shared" si="1"/>
        <v>1</v>
      </c>
      <c r="D36" s="7" t="str">
        <f t="shared" si="2"/>
        <v>1</v>
      </c>
      <c r="E36" s="7" t="str">
        <f t="shared" si="3"/>
        <v>4</v>
      </c>
      <c r="F36" s="7" t="str">
        <f t="shared" si="4"/>
        <v>01</v>
      </c>
      <c r="G36" s="7" t="str">
        <f t="shared" si="5"/>
        <v>2</v>
      </c>
      <c r="H36" s="7" t="str">
        <f t="shared" si="6"/>
        <v>0</v>
      </c>
      <c r="I36" s="7">
        <v>11140120</v>
      </c>
      <c r="J36" s="8" t="s">
        <v>352</v>
      </c>
      <c r="K36" s="8" t="s">
        <v>353</v>
      </c>
      <c r="L36" s="8"/>
    </row>
    <row r="37" spans="2:12" ht="90" x14ac:dyDescent="0.25">
      <c r="B37" s="7" t="str">
        <f t="shared" si="0"/>
        <v>1</v>
      </c>
      <c r="C37" s="7" t="str">
        <f t="shared" si="1"/>
        <v>1</v>
      </c>
      <c r="D37" s="7" t="str">
        <f t="shared" si="2"/>
        <v>1</v>
      </c>
      <c r="E37" s="7" t="str">
        <f t="shared" si="3"/>
        <v>4</v>
      </c>
      <c r="F37" s="7" t="str">
        <f t="shared" si="4"/>
        <v>01</v>
      </c>
      <c r="G37" s="7" t="str">
        <f t="shared" si="5"/>
        <v>3</v>
      </c>
      <c r="H37" s="7" t="str">
        <f t="shared" si="6"/>
        <v>0</v>
      </c>
      <c r="I37" s="7">
        <v>11140130</v>
      </c>
      <c r="J37" s="8" t="s">
        <v>354</v>
      </c>
      <c r="K37" s="8" t="s">
        <v>355</v>
      </c>
      <c r="L37" s="8"/>
    </row>
    <row r="38" spans="2:12" ht="45" x14ac:dyDescent="0.25">
      <c r="B38" s="7" t="str">
        <f t="shared" si="0"/>
        <v>1</v>
      </c>
      <c r="C38" s="7" t="str">
        <f t="shared" si="1"/>
        <v>1</v>
      </c>
      <c r="D38" s="7" t="str">
        <f t="shared" si="2"/>
        <v>1</v>
      </c>
      <c r="E38" s="7" t="str">
        <f t="shared" si="3"/>
        <v>4</v>
      </c>
      <c r="F38" s="7" t="str">
        <f t="shared" si="4"/>
        <v>01</v>
      </c>
      <c r="G38" s="7" t="str">
        <f t="shared" si="5"/>
        <v>4</v>
      </c>
      <c r="H38" s="7" t="str">
        <f t="shared" si="6"/>
        <v>0</v>
      </c>
      <c r="I38" s="7">
        <v>11140140</v>
      </c>
      <c r="J38" s="8" t="s">
        <v>356</v>
      </c>
      <c r="K38" s="8" t="s">
        <v>357</v>
      </c>
      <c r="L38" s="8"/>
    </row>
    <row r="39" spans="2:12" ht="45" x14ac:dyDescent="0.25">
      <c r="B39" s="7" t="str">
        <f t="shared" si="0"/>
        <v>1</v>
      </c>
      <c r="C39" s="7" t="str">
        <f t="shared" si="1"/>
        <v>1</v>
      </c>
      <c r="D39" s="7" t="str">
        <f t="shared" si="2"/>
        <v>1</v>
      </c>
      <c r="E39" s="7" t="str">
        <f t="shared" si="3"/>
        <v>4</v>
      </c>
      <c r="F39" s="7" t="str">
        <f t="shared" si="4"/>
        <v>01</v>
      </c>
      <c r="G39" s="7" t="str">
        <f t="shared" si="5"/>
        <v>5</v>
      </c>
      <c r="H39" s="7" t="str">
        <f t="shared" si="6"/>
        <v>0</v>
      </c>
      <c r="I39" s="7">
        <v>11140150</v>
      </c>
      <c r="J39" s="8" t="s">
        <v>358</v>
      </c>
      <c r="K39" s="8" t="s">
        <v>359</v>
      </c>
      <c r="L39" s="8"/>
    </row>
    <row r="40" spans="2:12" ht="30" x14ac:dyDescent="0.25">
      <c r="B40" s="17" t="str">
        <f t="shared" si="0"/>
        <v>1</v>
      </c>
      <c r="C40" s="17" t="str">
        <f t="shared" si="1"/>
        <v>1</v>
      </c>
      <c r="D40" s="17" t="str">
        <f t="shared" si="2"/>
        <v>1</v>
      </c>
      <c r="E40" s="17" t="str">
        <f t="shared" si="3"/>
        <v>5</v>
      </c>
      <c r="F40" s="17" t="str">
        <f t="shared" si="4"/>
        <v>00</v>
      </c>
      <c r="G40" s="17" t="str">
        <f t="shared" si="5"/>
        <v>0</v>
      </c>
      <c r="H40" s="17" t="str">
        <f t="shared" si="6"/>
        <v>0</v>
      </c>
      <c r="I40" s="17">
        <v>11150000</v>
      </c>
      <c r="J40" s="16" t="s">
        <v>360</v>
      </c>
      <c r="K40" s="16" t="s">
        <v>361</v>
      </c>
      <c r="L40" s="16"/>
    </row>
    <row r="41" spans="2:12" x14ac:dyDescent="0.25">
      <c r="B41" s="2" t="str">
        <f t="shared" si="0"/>
        <v>1</v>
      </c>
      <c r="C41" s="2" t="str">
        <f t="shared" si="1"/>
        <v>1</v>
      </c>
      <c r="D41" s="2" t="str">
        <f t="shared" si="2"/>
        <v>1</v>
      </c>
      <c r="E41" s="2" t="str">
        <f t="shared" si="3"/>
        <v>5</v>
      </c>
      <c r="F41" s="2" t="str">
        <f t="shared" si="4"/>
        <v>01</v>
      </c>
      <c r="G41" s="2" t="str">
        <f t="shared" si="5"/>
        <v>0</v>
      </c>
      <c r="H41" s="2" t="str">
        <f t="shared" si="6"/>
        <v>0</v>
      </c>
      <c r="I41" s="2">
        <v>11150100</v>
      </c>
      <c r="J41" s="3" t="s">
        <v>362</v>
      </c>
      <c r="K41" s="3" t="s">
        <v>361</v>
      </c>
      <c r="L41" s="3"/>
    </row>
    <row r="42" spans="2:12" ht="75" x14ac:dyDescent="0.25">
      <c r="B42" s="7" t="str">
        <f t="shared" si="0"/>
        <v>1</v>
      </c>
      <c r="C42" s="7" t="str">
        <f t="shared" si="1"/>
        <v>1</v>
      </c>
      <c r="D42" s="7" t="str">
        <f t="shared" si="2"/>
        <v>1</v>
      </c>
      <c r="E42" s="7" t="str">
        <f t="shared" si="3"/>
        <v>5</v>
      </c>
      <c r="F42" s="7" t="str">
        <f t="shared" si="4"/>
        <v>01</v>
      </c>
      <c r="G42" s="7" t="str">
        <f t="shared" si="5"/>
        <v>1</v>
      </c>
      <c r="H42" s="7" t="str">
        <f t="shared" si="6"/>
        <v>0</v>
      </c>
      <c r="I42" s="7">
        <v>11150110</v>
      </c>
      <c r="J42" s="8" t="s">
        <v>363</v>
      </c>
      <c r="K42" s="8" t="s">
        <v>364</v>
      </c>
      <c r="L42" s="8"/>
    </row>
    <row r="43" spans="2:12" ht="231.75" customHeight="1" x14ac:dyDescent="0.25">
      <c r="B43" s="7" t="str">
        <f t="shared" si="0"/>
        <v>1</v>
      </c>
      <c r="C43" s="7" t="str">
        <f t="shared" si="1"/>
        <v>1</v>
      </c>
      <c r="D43" s="7" t="str">
        <f t="shared" si="2"/>
        <v>1</v>
      </c>
      <c r="E43" s="7" t="str">
        <f t="shared" si="3"/>
        <v>5</v>
      </c>
      <c r="F43" s="7" t="str">
        <f t="shared" si="4"/>
        <v>01</v>
      </c>
      <c r="G43" s="7" t="str">
        <f t="shared" si="5"/>
        <v>2</v>
      </c>
      <c r="H43" s="7" t="str">
        <f t="shared" si="6"/>
        <v>0</v>
      </c>
      <c r="I43" s="7">
        <v>11150120</v>
      </c>
      <c r="J43" s="8" t="s">
        <v>365</v>
      </c>
      <c r="K43" s="8" t="s">
        <v>366</v>
      </c>
      <c r="L43" s="8"/>
    </row>
    <row r="44" spans="2:12" ht="60" x14ac:dyDescent="0.25">
      <c r="B44" s="17" t="str">
        <f t="shared" si="0"/>
        <v>1</v>
      </c>
      <c r="C44" s="17" t="str">
        <f t="shared" si="1"/>
        <v>1</v>
      </c>
      <c r="D44" s="17" t="str">
        <f t="shared" si="2"/>
        <v>1</v>
      </c>
      <c r="E44" s="17" t="str">
        <f t="shared" si="3"/>
        <v>6</v>
      </c>
      <c r="F44" s="17" t="str">
        <f t="shared" si="4"/>
        <v>00</v>
      </c>
      <c r="G44" s="17" t="str">
        <f t="shared" si="5"/>
        <v>0</v>
      </c>
      <c r="H44" s="17" t="str">
        <f t="shared" si="6"/>
        <v>0</v>
      </c>
      <c r="I44" s="17">
        <v>11160000</v>
      </c>
      <c r="J44" s="16" t="s">
        <v>1358</v>
      </c>
      <c r="K44" s="16" t="s">
        <v>1502</v>
      </c>
      <c r="L44" s="16"/>
    </row>
    <row r="45" spans="2:12" ht="60" x14ac:dyDescent="0.25">
      <c r="B45" s="2" t="str">
        <f t="shared" si="0"/>
        <v>1</v>
      </c>
      <c r="C45" s="2" t="str">
        <f t="shared" si="1"/>
        <v>1</v>
      </c>
      <c r="D45" s="2" t="str">
        <f t="shared" si="2"/>
        <v>1</v>
      </c>
      <c r="E45" s="2" t="str">
        <f t="shared" si="3"/>
        <v>6</v>
      </c>
      <c r="F45" s="2" t="str">
        <f t="shared" si="4"/>
        <v>01</v>
      </c>
      <c r="G45" s="2" t="str">
        <f t="shared" si="5"/>
        <v>0</v>
      </c>
      <c r="H45" s="2" t="str">
        <f t="shared" si="6"/>
        <v>0</v>
      </c>
      <c r="I45" s="2">
        <v>11160100</v>
      </c>
      <c r="J45" s="3" t="s">
        <v>1358</v>
      </c>
      <c r="K45" s="3" t="s">
        <v>1502</v>
      </c>
      <c r="L45" s="3"/>
    </row>
    <row r="46" spans="2:12" ht="60" x14ac:dyDescent="0.25">
      <c r="B46" s="17" t="str">
        <f t="shared" si="0"/>
        <v>1</v>
      </c>
      <c r="C46" s="17" t="str">
        <f t="shared" si="1"/>
        <v>1</v>
      </c>
      <c r="D46" s="17" t="str">
        <f t="shared" si="2"/>
        <v>1</v>
      </c>
      <c r="E46" s="17" t="str">
        <f t="shared" si="3"/>
        <v>7</v>
      </c>
      <c r="F46" s="17" t="str">
        <f t="shared" si="4"/>
        <v>00</v>
      </c>
      <c r="G46" s="17" t="str">
        <f t="shared" si="5"/>
        <v>0</v>
      </c>
      <c r="H46" s="17" t="str">
        <f t="shared" si="6"/>
        <v>0</v>
      </c>
      <c r="I46" s="17">
        <v>11170000</v>
      </c>
      <c r="J46" s="16" t="s">
        <v>1359</v>
      </c>
      <c r="K46" s="16" t="s">
        <v>1503</v>
      </c>
      <c r="L46" s="16"/>
    </row>
    <row r="47" spans="2:12" ht="60" x14ac:dyDescent="0.25">
      <c r="B47" s="2" t="str">
        <f t="shared" si="0"/>
        <v>1</v>
      </c>
      <c r="C47" s="2" t="str">
        <f t="shared" si="1"/>
        <v>1</v>
      </c>
      <c r="D47" s="2" t="str">
        <f t="shared" si="2"/>
        <v>1</v>
      </c>
      <c r="E47" s="2" t="str">
        <f t="shared" si="3"/>
        <v>7</v>
      </c>
      <c r="F47" s="2" t="str">
        <f t="shared" si="4"/>
        <v>01</v>
      </c>
      <c r="G47" s="2" t="str">
        <f t="shared" si="5"/>
        <v>0</v>
      </c>
      <c r="H47" s="2" t="str">
        <f t="shared" si="6"/>
        <v>0</v>
      </c>
      <c r="I47" s="2">
        <v>11170100</v>
      </c>
      <c r="J47" s="3" t="s">
        <v>1359</v>
      </c>
      <c r="K47" s="3" t="s">
        <v>1503</v>
      </c>
      <c r="L47" s="3"/>
    </row>
    <row r="48" spans="2:12" ht="30" x14ac:dyDescent="0.25">
      <c r="B48" s="17" t="str">
        <f t="shared" si="0"/>
        <v>1</v>
      </c>
      <c r="C48" s="17" t="str">
        <f t="shared" si="1"/>
        <v>1</v>
      </c>
      <c r="D48" s="17" t="str">
        <f t="shared" si="2"/>
        <v>1</v>
      </c>
      <c r="E48" s="17" t="str">
        <f t="shared" si="3"/>
        <v>8</v>
      </c>
      <c r="F48" s="17" t="str">
        <f t="shared" si="4"/>
        <v>00</v>
      </c>
      <c r="G48" s="17" t="str">
        <f t="shared" si="5"/>
        <v>0</v>
      </c>
      <c r="H48" s="17" t="str">
        <f t="shared" si="6"/>
        <v>0</v>
      </c>
      <c r="I48" s="17">
        <v>11180000</v>
      </c>
      <c r="J48" s="16" t="s">
        <v>897</v>
      </c>
      <c r="K48" s="16" t="s">
        <v>889</v>
      </c>
      <c r="L48" s="16"/>
    </row>
    <row r="49" spans="2:12" ht="30" x14ac:dyDescent="0.25">
      <c r="B49" s="2" t="str">
        <f t="shared" si="0"/>
        <v>1</v>
      </c>
      <c r="C49" s="2" t="str">
        <f t="shared" si="1"/>
        <v>1</v>
      </c>
      <c r="D49" s="2" t="str">
        <f t="shared" si="2"/>
        <v>1</v>
      </c>
      <c r="E49" s="2" t="str">
        <f t="shared" si="3"/>
        <v>8</v>
      </c>
      <c r="F49" s="2" t="str">
        <f t="shared" si="4"/>
        <v>01</v>
      </c>
      <c r="G49" s="2" t="str">
        <f t="shared" si="5"/>
        <v>0</v>
      </c>
      <c r="H49" s="2" t="str">
        <f t="shared" si="6"/>
        <v>0</v>
      </c>
      <c r="I49" s="2">
        <v>11180100</v>
      </c>
      <c r="J49" s="3" t="s">
        <v>875</v>
      </c>
      <c r="K49" s="3" t="s">
        <v>890</v>
      </c>
      <c r="L49" s="3"/>
    </row>
    <row r="50" spans="2:12" ht="60" x14ac:dyDescent="0.25">
      <c r="B50" s="7" t="str">
        <f t="shared" si="0"/>
        <v>1</v>
      </c>
      <c r="C50" s="7" t="str">
        <f t="shared" si="1"/>
        <v>1</v>
      </c>
      <c r="D50" s="7" t="str">
        <f t="shared" si="2"/>
        <v>1</v>
      </c>
      <c r="E50" s="7" t="str">
        <f t="shared" si="3"/>
        <v>8</v>
      </c>
      <c r="F50" s="7" t="str">
        <f t="shared" si="4"/>
        <v>01</v>
      </c>
      <c r="G50" s="7" t="str">
        <f t="shared" si="5"/>
        <v>1</v>
      </c>
      <c r="H50" s="7" t="str">
        <f t="shared" si="6"/>
        <v>0</v>
      </c>
      <c r="I50" s="7">
        <v>11180110</v>
      </c>
      <c r="J50" s="8" t="s">
        <v>10</v>
      </c>
      <c r="K50" s="8" t="s">
        <v>11</v>
      </c>
      <c r="L50" s="8"/>
    </row>
    <row r="51" spans="2:12" ht="45" x14ac:dyDescent="0.25">
      <c r="B51" s="7" t="str">
        <f t="shared" si="0"/>
        <v>1</v>
      </c>
      <c r="C51" s="7" t="str">
        <f t="shared" si="1"/>
        <v>1</v>
      </c>
      <c r="D51" s="7" t="str">
        <f t="shared" si="2"/>
        <v>1</v>
      </c>
      <c r="E51" s="7" t="str">
        <f t="shared" si="3"/>
        <v>8</v>
      </c>
      <c r="F51" s="7" t="str">
        <f t="shared" si="4"/>
        <v>01</v>
      </c>
      <c r="G51" s="7" t="str">
        <f t="shared" si="5"/>
        <v>2</v>
      </c>
      <c r="H51" s="7" t="str">
        <f t="shared" si="6"/>
        <v>0</v>
      </c>
      <c r="I51" s="7">
        <v>11180120</v>
      </c>
      <c r="J51" s="8" t="s">
        <v>12</v>
      </c>
      <c r="K51" s="8" t="s">
        <v>13</v>
      </c>
      <c r="L51" s="8"/>
    </row>
    <row r="52" spans="2:12" ht="75" x14ac:dyDescent="0.25">
      <c r="B52" s="7" t="str">
        <f t="shared" si="0"/>
        <v>1</v>
      </c>
      <c r="C52" s="7" t="str">
        <f t="shared" si="1"/>
        <v>1</v>
      </c>
      <c r="D52" s="7" t="str">
        <f t="shared" si="2"/>
        <v>1</v>
      </c>
      <c r="E52" s="7" t="str">
        <f t="shared" si="3"/>
        <v>8</v>
      </c>
      <c r="F52" s="7" t="str">
        <f t="shared" si="4"/>
        <v>01</v>
      </c>
      <c r="G52" s="7" t="str">
        <f t="shared" si="5"/>
        <v>3</v>
      </c>
      <c r="H52" s="7" t="str">
        <f t="shared" si="6"/>
        <v>0</v>
      </c>
      <c r="I52" s="7">
        <v>11180130</v>
      </c>
      <c r="J52" s="8" t="s">
        <v>14</v>
      </c>
      <c r="K52" s="8" t="s">
        <v>15</v>
      </c>
      <c r="L52" s="8"/>
    </row>
    <row r="53" spans="2:12" ht="75" x14ac:dyDescent="0.25">
      <c r="B53" s="7" t="str">
        <f t="shared" si="0"/>
        <v>1</v>
      </c>
      <c r="C53" s="7" t="str">
        <f t="shared" si="1"/>
        <v>1</v>
      </c>
      <c r="D53" s="7" t="str">
        <f t="shared" si="2"/>
        <v>1</v>
      </c>
      <c r="E53" s="7" t="str">
        <f t="shared" si="3"/>
        <v>8</v>
      </c>
      <c r="F53" s="7" t="str">
        <f t="shared" si="4"/>
        <v>01</v>
      </c>
      <c r="G53" s="7" t="str">
        <f t="shared" si="5"/>
        <v>4</v>
      </c>
      <c r="H53" s="7" t="str">
        <f t="shared" si="6"/>
        <v>0</v>
      </c>
      <c r="I53" s="7">
        <v>11180140</v>
      </c>
      <c r="J53" s="8" t="s">
        <v>16</v>
      </c>
      <c r="K53" s="8" t="s">
        <v>17</v>
      </c>
      <c r="L53" s="8"/>
    </row>
    <row r="54" spans="2:12" ht="45" x14ac:dyDescent="0.25">
      <c r="B54" s="2" t="str">
        <f t="shared" si="0"/>
        <v>1</v>
      </c>
      <c r="C54" s="2" t="str">
        <f t="shared" si="1"/>
        <v>1</v>
      </c>
      <c r="D54" s="2" t="str">
        <f t="shared" si="2"/>
        <v>1</v>
      </c>
      <c r="E54" s="2" t="str">
        <f t="shared" si="3"/>
        <v>8</v>
      </c>
      <c r="F54" s="2" t="str">
        <f t="shared" si="4"/>
        <v>02</v>
      </c>
      <c r="G54" s="2" t="str">
        <f t="shared" si="5"/>
        <v>0</v>
      </c>
      <c r="H54" s="2" t="str">
        <f t="shared" si="6"/>
        <v>0</v>
      </c>
      <c r="I54" s="2">
        <v>11180200</v>
      </c>
      <c r="J54" s="3" t="s">
        <v>924</v>
      </c>
      <c r="K54" s="3" t="s">
        <v>891</v>
      </c>
      <c r="L54" s="3"/>
    </row>
    <row r="55" spans="2:12" ht="90" x14ac:dyDescent="0.25">
      <c r="B55" s="7" t="str">
        <f t="shared" si="0"/>
        <v>1</v>
      </c>
      <c r="C55" s="7" t="str">
        <f t="shared" si="1"/>
        <v>1</v>
      </c>
      <c r="D55" s="7" t="str">
        <f t="shared" si="2"/>
        <v>1</v>
      </c>
      <c r="E55" s="7" t="str">
        <f t="shared" si="3"/>
        <v>8</v>
      </c>
      <c r="F55" s="7" t="str">
        <f t="shared" si="4"/>
        <v>02</v>
      </c>
      <c r="G55" s="7" t="str">
        <f t="shared" si="5"/>
        <v>1</v>
      </c>
      <c r="H55" s="7" t="str">
        <f t="shared" si="6"/>
        <v>0</v>
      </c>
      <c r="I55" s="7">
        <v>11180210</v>
      </c>
      <c r="J55" s="8" t="s">
        <v>18</v>
      </c>
      <c r="K55" s="8" t="s">
        <v>19</v>
      </c>
      <c r="L55" s="8"/>
    </row>
    <row r="56" spans="2:12" ht="90" x14ac:dyDescent="0.25">
      <c r="B56" s="7" t="str">
        <f t="shared" si="0"/>
        <v>1</v>
      </c>
      <c r="C56" s="7" t="str">
        <f t="shared" si="1"/>
        <v>1</v>
      </c>
      <c r="D56" s="7" t="str">
        <f t="shared" si="2"/>
        <v>1</v>
      </c>
      <c r="E56" s="7" t="str">
        <f t="shared" si="3"/>
        <v>8</v>
      </c>
      <c r="F56" s="7" t="str">
        <f t="shared" si="4"/>
        <v>02</v>
      </c>
      <c r="G56" s="7" t="str">
        <f t="shared" si="5"/>
        <v>2</v>
      </c>
      <c r="H56" s="7" t="str">
        <f t="shared" si="6"/>
        <v>0</v>
      </c>
      <c r="I56" s="7">
        <v>11180220</v>
      </c>
      <c r="J56" s="8" t="s">
        <v>20</v>
      </c>
      <c r="K56" s="8" t="s">
        <v>21</v>
      </c>
      <c r="L56" s="8"/>
    </row>
    <row r="57" spans="2:12" ht="60" x14ac:dyDescent="0.25">
      <c r="B57" s="7" t="str">
        <f t="shared" si="0"/>
        <v>1</v>
      </c>
      <c r="C57" s="7" t="str">
        <f t="shared" si="1"/>
        <v>1</v>
      </c>
      <c r="D57" s="7" t="str">
        <f t="shared" si="2"/>
        <v>1</v>
      </c>
      <c r="E57" s="7" t="str">
        <f t="shared" si="3"/>
        <v>8</v>
      </c>
      <c r="F57" s="7" t="str">
        <f t="shared" si="4"/>
        <v>02</v>
      </c>
      <c r="G57" s="7" t="str">
        <f t="shared" si="5"/>
        <v>3</v>
      </c>
      <c r="H57" s="7" t="str">
        <f t="shared" si="6"/>
        <v>0</v>
      </c>
      <c r="I57" s="7">
        <v>11180230</v>
      </c>
      <c r="J57" s="8" t="s">
        <v>22</v>
      </c>
      <c r="K57" s="8" t="s">
        <v>23</v>
      </c>
      <c r="L57" s="8"/>
    </row>
    <row r="58" spans="2:12" ht="60" x14ac:dyDescent="0.25">
      <c r="B58" s="7" t="str">
        <f t="shared" si="0"/>
        <v>1</v>
      </c>
      <c r="C58" s="7" t="str">
        <f t="shared" si="1"/>
        <v>1</v>
      </c>
      <c r="D58" s="7" t="str">
        <f t="shared" si="2"/>
        <v>1</v>
      </c>
      <c r="E58" s="7" t="str">
        <f t="shared" si="3"/>
        <v>8</v>
      </c>
      <c r="F58" s="7" t="str">
        <f t="shared" si="4"/>
        <v>02</v>
      </c>
      <c r="G58" s="7" t="str">
        <f t="shared" si="5"/>
        <v>4</v>
      </c>
      <c r="H58" s="7" t="str">
        <f t="shared" si="6"/>
        <v>0</v>
      </c>
      <c r="I58" s="7">
        <v>11180240</v>
      </c>
      <c r="J58" s="8" t="s">
        <v>24</v>
      </c>
      <c r="K58" s="8" t="s">
        <v>25</v>
      </c>
      <c r="L58" s="8"/>
    </row>
    <row r="59" spans="2:12" ht="75" x14ac:dyDescent="0.25">
      <c r="B59" s="7" t="str">
        <f t="shared" si="0"/>
        <v>1</v>
      </c>
      <c r="C59" s="7" t="str">
        <f t="shared" si="1"/>
        <v>1</v>
      </c>
      <c r="D59" s="7" t="str">
        <f t="shared" si="2"/>
        <v>1</v>
      </c>
      <c r="E59" s="7" t="str">
        <f t="shared" si="3"/>
        <v>8</v>
      </c>
      <c r="F59" s="7" t="str">
        <f t="shared" si="4"/>
        <v>02</v>
      </c>
      <c r="G59" s="7" t="str">
        <f t="shared" si="5"/>
        <v>5</v>
      </c>
      <c r="H59" s="7" t="str">
        <f t="shared" si="6"/>
        <v>0</v>
      </c>
      <c r="I59" s="7">
        <v>11180250</v>
      </c>
      <c r="J59" s="8" t="s">
        <v>926</v>
      </c>
      <c r="K59" s="8" t="s">
        <v>927</v>
      </c>
      <c r="L59" s="8"/>
    </row>
    <row r="60" spans="2:12" x14ac:dyDescent="0.25">
      <c r="B60" s="17" t="str">
        <f t="shared" si="0"/>
        <v>1</v>
      </c>
      <c r="C60" s="17" t="str">
        <f t="shared" si="1"/>
        <v>1</v>
      </c>
      <c r="D60" s="17" t="str">
        <f t="shared" si="2"/>
        <v>1</v>
      </c>
      <c r="E60" s="17" t="str">
        <f t="shared" si="3"/>
        <v>9</v>
      </c>
      <c r="F60" s="17" t="str">
        <f t="shared" si="4"/>
        <v>00</v>
      </c>
      <c r="G60" s="17" t="str">
        <f t="shared" si="5"/>
        <v>0</v>
      </c>
      <c r="H60" s="17" t="str">
        <f t="shared" si="6"/>
        <v>0</v>
      </c>
      <c r="I60" s="17">
        <v>11190000</v>
      </c>
      <c r="J60" s="16" t="s">
        <v>367</v>
      </c>
      <c r="K60" s="16" t="s">
        <v>368</v>
      </c>
      <c r="L60" s="16"/>
    </row>
    <row r="61" spans="2:12" x14ac:dyDescent="0.25">
      <c r="B61" s="2" t="str">
        <f t="shared" si="0"/>
        <v>1</v>
      </c>
      <c r="C61" s="2" t="str">
        <f t="shared" si="1"/>
        <v>1</v>
      </c>
      <c r="D61" s="2" t="str">
        <f t="shared" si="2"/>
        <v>1</v>
      </c>
      <c r="E61" s="2" t="str">
        <f t="shared" si="3"/>
        <v>9</v>
      </c>
      <c r="F61" s="2" t="str">
        <f t="shared" si="4"/>
        <v>01</v>
      </c>
      <c r="G61" s="2" t="str">
        <f t="shared" si="5"/>
        <v>0</v>
      </c>
      <c r="H61" s="2" t="str">
        <f t="shared" si="6"/>
        <v>0</v>
      </c>
      <c r="I61" s="2">
        <v>11190100</v>
      </c>
      <c r="J61" s="3" t="s">
        <v>367</v>
      </c>
      <c r="K61" s="3" t="s">
        <v>368</v>
      </c>
      <c r="L61" s="3"/>
    </row>
    <row r="62" spans="2:12" x14ac:dyDescent="0.25">
      <c r="B62" s="7" t="str">
        <f t="shared" si="0"/>
        <v>1</v>
      </c>
      <c r="C62" s="7" t="str">
        <f t="shared" si="1"/>
        <v>1</v>
      </c>
      <c r="D62" s="7" t="str">
        <f t="shared" si="2"/>
        <v>1</v>
      </c>
      <c r="E62" s="7" t="str">
        <f t="shared" si="3"/>
        <v>9</v>
      </c>
      <c r="F62" s="7" t="str">
        <f t="shared" si="4"/>
        <v>01</v>
      </c>
      <c r="G62" s="7" t="str">
        <f t="shared" si="5"/>
        <v>1</v>
      </c>
      <c r="H62" s="7" t="str">
        <f t="shared" si="6"/>
        <v>0</v>
      </c>
      <c r="I62" s="7">
        <v>11190110</v>
      </c>
      <c r="J62" s="8" t="s">
        <v>367</v>
      </c>
      <c r="K62" s="8" t="s">
        <v>368</v>
      </c>
      <c r="L62" s="8"/>
    </row>
    <row r="63" spans="2:12" ht="45" x14ac:dyDescent="0.25">
      <c r="B63" s="27" t="str">
        <f t="shared" si="0"/>
        <v>1</v>
      </c>
      <c r="C63" s="27" t="str">
        <f t="shared" si="1"/>
        <v>1</v>
      </c>
      <c r="D63" s="27" t="str">
        <f t="shared" si="2"/>
        <v>2</v>
      </c>
      <c r="E63" s="27" t="str">
        <f t="shared" si="3"/>
        <v>0</v>
      </c>
      <c r="F63" s="27" t="str">
        <f t="shared" si="4"/>
        <v>00</v>
      </c>
      <c r="G63" s="27" t="str">
        <f t="shared" si="5"/>
        <v>0</v>
      </c>
      <c r="H63" s="27" t="str">
        <f t="shared" si="6"/>
        <v>0</v>
      </c>
      <c r="I63" s="27">
        <v>11200000</v>
      </c>
      <c r="J63" s="26" t="s">
        <v>26</v>
      </c>
      <c r="K63" s="26" t="s">
        <v>369</v>
      </c>
      <c r="L63" s="26"/>
    </row>
    <row r="64" spans="2:12" ht="30" x14ac:dyDescent="0.25">
      <c r="B64" s="17" t="str">
        <f t="shared" si="0"/>
        <v>1</v>
      </c>
      <c r="C64" s="17" t="str">
        <f t="shared" si="1"/>
        <v>1</v>
      </c>
      <c r="D64" s="17" t="str">
        <f t="shared" si="2"/>
        <v>2</v>
      </c>
      <c r="E64" s="17" t="str">
        <f t="shared" si="3"/>
        <v>1</v>
      </c>
      <c r="F64" s="17" t="str">
        <f t="shared" si="4"/>
        <v>00</v>
      </c>
      <c r="G64" s="17" t="str">
        <f t="shared" si="5"/>
        <v>0</v>
      </c>
      <c r="H64" s="17" t="str">
        <f t="shared" si="6"/>
        <v>0</v>
      </c>
      <c r="I64" s="17">
        <v>11210000</v>
      </c>
      <c r="J64" s="16" t="s">
        <v>27</v>
      </c>
      <c r="K64" s="16" t="s">
        <v>370</v>
      </c>
      <c r="L64" s="16"/>
    </row>
    <row r="65" spans="2:12" ht="30" x14ac:dyDescent="0.25">
      <c r="B65" s="2" t="str">
        <f t="shared" si="0"/>
        <v>1</v>
      </c>
      <c r="C65" s="2" t="str">
        <f t="shared" si="1"/>
        <v>1</v>
      </c>
      <c r="D65" s="2" t="str">
        <f t="shared" si="2"/>
        <v>2</v>
      </c>
      <c r="E65" s="2" t="str">
        <f t="shared" si="3"/>
        <v>1</v>
      </c>
      <c r="F65" s="2" t="str">
        <f t="shared" si="4"/>
        <v>01</v>
      </c>
      <c r="G65" s="2" t="str">
        <f t="shared" si="5"/>
        <v>0</v>
      </c>
      <c r="H65" s="2" t="str">
        <f t="shared" si="6"/>
        <v>0</v>
      </c>
      <c r="I65" s="2">
        <v>11210100</v>
      </c>
      <c r="J65" s="3" t="s">
        <v>371</v>
      </c>
      <c r="K65" s="3" t="s">
        <v>370</v>
      </c>
      <c r="L65" s="3"/>
    </row>
    <row r="66" spans="2:12" ht="30" x14ac:dyDescent="0.25">
      <c r="B66" s="7" t="str">
        <f t="shared" si="0"/>
        <v>1</v>
      </c>
      <c r="C66" s="7" t="str">
        <f t="shared" si="1"/>
        <v>1</v>
      </c>
      <c r="D66" s="7" t="str">
        <f t="shared" si="2"/>
        <v>2</v>
      </c>
      <c r="E66" s="7" t="str">
        <f t="shared" si="3"/>
        <v>1</v>
      </c>
      <c r="F66" s="7" t="str">
        <f t="shared" si="4"/>
        <v>01</v>
      </c>
      <c r="G66" s="7" t="str">
        <f t="shared" si="5"/>
        <v>1</v>
      </c>
      <c r="H66" s="7" t="str">
        <f t="shared" si="6"/>
        <v>0</v>
      </c>
      <c r="I66" s="7">
        <v>11210110</v>
      </c>
      <c r="J66" s="8" t="s">
        <v>371</v>
      </c>
      <c r="K66" s="8" t="s">
        <v>372</v>
      </c>
      <c r="L66" s="8"/>
    </row>
    <row r="67" spans="2:12" x14ac:dyDescent="0.25">
      <c r="B67" s="2" t="str">
        <f t="shared" ref="B67:B130" si="7">MID($I67,1,1)</f>
        <v>1</v>
      </c>
      <c r="C67" s="2" t="str">
        <f t="shared" ref="C67:C130" si="8">MID($I67,2,1)</f>
        <v>1</v>
      </c>
      <c r="D67" s="2" t="str">
        <f t="shared" ref="D67:D130" si="9">MID($I67,3,1)</f>
        <v>2</v>
      </c>
      <c r="E67" s="2" t="str">
        <f t="shared" ref="E67:E130" si="10">MID($I67,4,1)</f>
        <v>1</v>
      </c>
      <c r="F67" s="2" t="str">
        <f t="shared" ref="F67:F130" si="11">MID($I67,5,2)</f>
        <v>02</v>
      </c>
      <c r="G67" s="2" t="str">
        <f t="shared" ref="G67:G130" si="12">MID($I67,7,1)</f>
        <v>0</v>
      </c>
      <c r="H67" s="2" t="str">
        <f t="shared" ref="H67:H130" si="13">MID($I67,8,1)</f>
        <v>0</v>
      </c>
      <c r="I67" s="2">
        <v>11210200</v>
      </c>
      <c r="J67" s="3" t="s">
        <v>373</v>
      </c>
      <c r="K67" s="3" t="s">
        <v>374</v>
      </c>
      <c r="L67" s="3"/>
    </row>
    <row r="68" spans="2:12" ht="75" x14ac:dyDescent="0.25">
      <c r="B68" s="37" t="str">
        <f t="shared" si="7"/>
        <v>1</v>
      </c>
      <c r="C68" s="37" t="str">
        <f t="shared" si="8"/>
        <v>1</v>
      </c>
      <c r="D68" s="37" t="str">
        <f t="shared" si="9"/>
        <v>2</v>
      </c>
      <c r="E68" s="37" t="str">
        <f t="shared" si="10"/>
        <v>1</v>
      </c>
      <c r="F68" s="37" t="str">
        <f t="shared" si="11"/>
        <v>02</v>
      </c>
      <c r="G68" s="37" t="str">
        <f t="shared" si="12"/>
        <v>1</v>
      </c>
      <c r="H68" s="37" t="str">
        <f t="shared" si="13"/>
        <v>0</v>
      </c>
      <c r="I68" s="37">
        <v>11210210</v>
      </c>
      <c r="J68" s="8" t="s">
        <v>1392</v>
      </c>
      <c r="K68" s="8" t="s">
        <v>1394</v>
      </c>
      <c r="L68" s="38" t="s">
        <v>1454</v>
      </c>
    </row>
    <row r="69" spans="2:12" ht="81" customHeight="1" x14ac:dyDescent="0.25">
      <c r="B69" s="37" t="str">
        <f t="shared" si="7"/>
        <v>1</v>
      </c>
      <c r="C69" s="37" t="str">
        <f t="shared" si="8"/>
        <v>1</v>
      </c>
      <c r="D69" s="37" t="str">
        <f t="shared" si="9"/>
        <v>2</v>
      </c>
      <c r="E69" s="37" t="str">
        <f t="shared" si="10"/>
        <v>1</v>
      </c>
      <c r="F69" s="37" t="str">
        <f t="shared" si="11"/>
        <v>02</v>
      </c>
      <c r="G69" s="37" t="str">
        <f t="shared" si="12"/>
        <v>2</v>
      </c>
      <c r="H69" s="37" t="str">
        <f t="shared" si="13"/>
        <v>0</v>
      </c>
      <c r="I69" s="37">
        <v>11210220</v>
      </c>
      <c r="J69" s="8" t="s">
        <v>1393</v>
      </c>
      <c r="K69" s="8" t="s">
        <v>1395</v>
      </c>
      <c r="L69" s="38" t="s">
        <v>1454</v>
      </c>
    </row>
    <row r="70" spans="2:12" ht="75" x14ac:dyDescent="0.25">
      <c r="B70" s="37" t="str">
        <f t="shared" si="7"/>
        <v>1</v>
      </c>
      <c r="C70" s="37" t="str">
        <f t="shared" si="8"/>
        <v>1</v>
      </c>
      <c r="D70" s="37" t="str">
        <f t="shared" si="9"/>
        <v>2</v>
      </c>
      <c r="E70" s="37" t="str">
        <f t="shared" si="10"/>
        <v>1</v>
      </c>
      <c r="F70" s="37" t="str">
        <f t="shared" si="11"/>
        <v>02</v>
      </c>
      <c r="G70" s="37" t="str">
        <f t="shared" si="12"/>
        <v>3</v>
      </c>
      <c r="H70" s="37" t="str">
        <f t="shared" si="13"/>
        <v>0</v>
      </c>
      <c r="I70" s="37">
        <v>11210230</v>
      </c>
      <c r="J70" s="38" t="s">
        <v>1388</v>
      </c>
      <c r="K70" s="8" t="s">
        <v>1457</v>
      </c>
      <c r="L70" s="38" t="s">
        <v>1454</v>
      </c>
    </row>
    <row r="71" spans="2:12" ht="75" x14ac:dyDescent="0.25">
      <c r="B71" s="37" t="str">
        <f t="shared" si="7"/>
        <v>1</v>
      </c>
      <c r="C71" s="37" t="str">
        <f t="shared" si="8"/>
        <v>1</v>
      </c>
      <c r="D71" s="37" t="str">
        <f t="shared" si="9"/>
        <v>2</v>
      </c>
      <c r="E71" s="37" t="str">
        <f t="shared" si="10"/>
        <v>1</v>
      </c>
      <c r="F71" s="37" t="str">
        <f t="shared" si="11"/>
        <v>02</v>
      </c>
      <c r="G71" s="37" t="str">
        <f t="shared" si="12"/>
        <v>4</v>
      </c>
      <c r="H71" s="37" t="str">
        <f t="shared" si="13"/>
        <v>0</v>
      </c>
      <c r="I71" s="37">
        <v>11210240</v>
      </c>
      <c r="J71" s="38" t="s">
        <v>1389</v>
      </c>
      <c r="K71" s="8" t="s">
        <v>1458</v>
      </c>
      <c r="L71" s="38" t="s">
        <v>1454</v>
      </c>
    </row>
    <row r="72" spans="2:12" ht="30" x14ac:dyDescent="0.25">
      <c r="B72" s="2" t="str">
        <f t="shared" si="7"/>
        <v>1</v>
      </c>
      <c r="C72" s="2" t="str">
        <f t="shared" si="8"/>
        <v>1</v>
      </c>
      <c r="D72" s="2" t="str">
        <f t="shared" si="9"/>
        <v>2</v>
      </c>
      <c r="E72" s="2" t="str">
        <f t="shared" si="10"/>
        <v>1</v>
      </c>
      <c r="F72" s="2" t="str">
        <f t="shared" si="11"/>
        <v>03</v>
      </c>
      <c r="G72" s="2" t="str">
        <f t="shared" si="12"/>
        <v>0</v>
      </c>
      <c r="H72" s="2" t="str">
        <f t="shared" si="13"/>
        <v>0</v>
      </c>
      <c r="I72" s="2">
        <v>11210300</v>
      </c>
      <c r="J72" s="3" t="s">
        <v>28</v>
      </c>
      <c r="K72" s="3" t="s">
        <v>375</v>
      </c>
      <c r="L72" s="3"/>
    </row>
    <row r="73" spans="2:12" ht="30" x14ac:dyDescent="0.25">
      <c r="B73" s="7" t="str">
        <f t="shared" si="7"/>
        <v>1</v>
      </c>
      <c r="C73" s="7" t="str">
        <f t="shared" si="8"/>
        <v>1</v>
      </c>
      <c r="D73" s="7" t="str">
        <f t="shared" si="9"/>
        <v>2</v>
      </c>
      <c r="E73" s="7" t="str">
        <f t="shared" si="10"/>
        <v>1</v>
      </c>
      <c r="F73" s="7" t="str">
        <f t="shared" si="11"/>
        <v>03</v>
      </c>
      <c r="G73" s="7" t="str">
        <f t="shared" si="12"/>
        <v>1</v>
      </c>
      <c r="H73" s="7" t="str">
        <f t="shared" si="13"/>
        <v>0</v>
      </c>
      <c r="I73" s="7">
        <v>11210310</v>
      </c>
      <c r="J73" s="8" t="s">
        <v>28</v>
      </c>
      <c r="K73" s="8" t="s">
        <v>375</v>
      </c>
      <c r="L73" s="8"/>
    </row>
    <row r="74" spans="2:12" ht="45" x14ac:dyDescent="0.25">
      <c r="B74" s="2" t="str">
        <f t="shared" si="7"/>
        <v>1</v>
      </c>
      <c r="C74" s="2" t="str">
        <f t="shared" si="8"/>
        <v>1</v>
      </c>
      <c r="D74" s="2" t="str">
        <f t="shared" si="9"/>
        <v>2</v>
      </c>
      <c r="E74" s="2" t="str">
        <f t="shared" si="10"/>
        <v>1</v>
      </c>
      <c r="F74" s="2" t="str">
        <f t="shared" si="11"/>
        <v>04</v>
      </c>
      <c r="G74" s="2" t="str">
        <f t="shared" si="12"/>
        <v>0</v>
      </c>
      <c r="H74" s="2" t="str">
        <f t="shared" si="13"/>
        <v>0</v>
      </c>
      <c r="I74" s="2">
        <v>11210400</v>
      </c>
      <c r="J74" s="3" t="s">
        <v>31</v>
      </c>
      <c r="K74" s="3" t="s">
        <v>376</v>
      </c>
      <c r="L74" s="3"/>
    </row>
    <row r="75" spans="2:12" ht="45" x14ac:dyDescent="0.25">
      <c r="B75" s="7" t="str">
        <f t="shared" si="7"/>
        <v>1</v>
      </c>
      <c r="C75" s="7" t="str">
        <f t="shared" si="8"/>
        <v>1</v>
      </c>
      <c r="D75" s="7" t="str">
        <f t="shared" si="9"/>
        <v>2</v>
      </c>
      <c r="E75" s="7" t="str">
        <f t="shared" si="10"/>
        <v>1</v>
      </c>
      <c r="F75" s="7" t="str">
        <f t="shared" si="11"/>
        <v>04</v>
      </c>
      <c r="G75" s="7" t="str">
        <f t="shared" si="12"/>
        <v>1</v>
      </c>
      <c r="H75" s="7" t="str">
        <f t="shared" si="13"/>
        <v>0</v>
      </c>
      <c r="I75" s="7">
        <v>11210410</v>
      </c>
      <c r="J75" s="8" t="s">
        <v>31</v>
      </c>
      <c r="K75" s="8" t="s">
        <v>376</v>
      </c>
      <c r="L75" s="8"/>
    </row>
    <row r="76" spans="2:12" ht="30" x14ac:dyDescent="0.25">
      <c r="B76" s="2" t="str">
        <f t="shared" si="7"/>
        <v>1</v>
      </c>
      <c r="C76" s="2" t="str">
        <f t="shared" si="8"/>
        <v>1</v>
      </c>
      <c r="D76" s="2" t="str">
        <f t="shared" si="9"/>
        <v>2</v>
      </c>
      <c r="E76" s="2" t="str">
        <f t="shared" si="10"/>
        <v>1</v>
      </c>
      <c r="F76" s="2" t="str">
        <f t="shared" si="11"/>
        <v>05</v>
      </c>
      <c r="G76" s="2" t="str">
        <f t="shared" si="12"/>
        <v>0</v>
      </c>
      <c r="H76" s="2" t="str">
        <f t="shared" si="13"/>
        <v>0</v>
      </c>
      <c r="I76" s="2">
        <v>11210500</v>
      </c>
      <c r="J76" s="3" t="s">
        <v>377</v>
      </c>
      <c r="K76" s="3" t="s">
        <v>378</v>
      </c>
      <c r="L76" s="3"/>
    </row>
    <row r="77" spans="2:12" ht="30" x14ac:dyDescent="0.25">
      <c r="B77" s="7" t="str">
        <f t="shared" si="7"/>
        <v>1</v>
      </c>
      <c r="C77" s="7" t="str">
        <f t="shared" si="8"/>
        <v>1</v>
      </c>
      <c r="D77" s="7" t="str">
        <f t="shared" si="9"/>
        <v>2</v>
      </c>
      <c r="E77" s="7" t="str">
        <f t="shared" si="10"/>
        <v>1</v>
      </c>
      <c r="F77" s="7" t="str">
        <f t="shared" si="11"/>
        <v>05</v>
      </c>
      <c r="G77" s="7" t="str">
        <f t="shared" si="12"/>
        <v>1</v>
      </c>
      <c r="H77" s="7" t="str">
        <f t="shared" si="13"/>
        <v>0</v>
      </c>
      <c r="I77" s="7">
        <v>11210510</v>
      </c>
      <c r="J77" s="8" t="s">
        <v>377</v>
      </c>
      <c r="K77" s="8" t="s">
        <v>378</v>
      </c>
      <c r="L77" s="8"/>
    </row>
    <row r="78" spans="2:12" ht="45" x14ac:dyDescent="0.25">
      <c r="B78" s="17" t="str">
        <f t="shared" si="7"/>
        <v>1</v>
      </c>
      <c r="C78" s="17" t="str">
        <f t="shared" si="8"/>
        <v>1</v>
      </c>
      <c r="D78" s="17" t="str">
        <f t="shared" si="9"/>
        <v>2</v>
      </c>
      <c r="E78" s="17" t="str">
        <f t="shared" si="10"/>
        <v>2</v>
      </c>
      <c r="F78" s="17" t="str">
        <f t="shared" si="11"/>
        <v>00</v>
      </c>
      <c r="G78" s="17" t="str">
        <f t="shared" si="12"/>
        <v>0</v>
      </c>
      <c r="H78" s="17" t="str">
        <f t="shared" si="13"/>
        <v>0</v>
      </c>
      <c r="I78" s="17">
        <v>11220000</v>
      </c>
      <c r="J78" s="16" t="s">
        <v>32</v>
      </c>
      <c r="K78" s="16" t="s">
        <v>379</v>
      </c>
      <c r="L78" s="16"/>
    </row>
    <row r="79" spans="2:12" ht="45" x14ac:dyDescent="0.25">
      <c r="B79" s="2" t="str">
        <f t="shared" si="7"/>
        <v>1</v>
      </c>
      <c r="C79" s="2" t="str">
        <f t="shared" si="8"/>
        <v>1</v>
      </c>
      <c r="D79" s="2" t="str">
        <f t="shared" si="9"/>
        <v>2</v>
      </c>
      <c r="E79" s="2" t="str">
        <f t="shared" si="10"/>
        <v>2</v>
      </c>
      <c r="F79" s="2" t="str">
        <f t="shared" si="11"/>
        <v>01</v>
      </c>
      <c r="G79" s="2" t="str">
        <f t="shared" si="12"/>
        <v>0</v>
      </c>
      <c r="H79" s="2" t="str">
        <f t="shared" si="13"/>
        <v>0</v>
      </c>
      <c r="I79" s="2">
        <v>11220100</v>
      </c>
      <c r="J79" s="3" t="s">
        <v>32</v>
      </c>
      <c r="K79" s="3" t="s">
        <v>379</v>
      </c>
      <c r="L79" s="3"/>
    </row>
    <row r="80" spans="2:12" ht="45" x14ac:dyDescent="0.25">
      <c r="B80" s="7" t="str">
        <f t="shared" si="7"/>
        <v>1</v>
      </c>
      <c r="C80" s="7" t="str">
        <f t="shared" si="8"/>
        <v>1</v>
      </c>
      <c r="D80" s="7" t="str">
        <f t="shared" si="9"/>
        <v>2</v>
      </c>
      <c r="E80" s="7" t="str">
        <f t="shared" si="10"/>
        <v>2</v>
      </c>
      <c r="F80" s="7" t="str">
        <f t="shared" si="11"/>
        <v>01</v>
      </c>
      <c r="G80" s="7" t="str">
        <f t="shared" si="12"/>
        <v>1</v>
      </c>
      <c r="H80" s="7" t="str">
        <f t="shared" si="13"/>
        <v>0</v>
      </c>
      <c r="I80" s="7">
        <v>11220110</v>
      </c>
      <c r="J80" s="8" t="s">
        <v>32</v>
      </c>
      <c r="K80" s="8" t="s">
        <v>379</v>
      </c>
      <c r="L80" s="8"/>
    </row>
    <row r="81" spans="2:12" ht="120" x14ac:dyDescent="0.25">
      <c r="B81" s="2" t="str">
        <f t="shared" si="7"/>
        <v>1</v>
      </c>
      <c r="C81" s="2" t="str">
        <f t="shared" si="8"/>
        <v>1</v>
      </c>
      <c r="D81" s="2" t="str">
        <f t="shared" si="9"/>
        <v>2</v>
      </c>
      <c r="E81" s="2" t="str">
        <f t="shared" si="10"/>
        <v>2</v>
      </c>
      <c r="F81" s="2" t="str">
        <f t="shared" si="11"/>
        <v>02</v>
      </c>
      <c r="G81" s="2" t="str">
        <f t="shared" si="12"/>
        <v>0</v>
      </c>
      <c r="H81" s="2" t="str">
        <f t="shared" si="13"/>
        <v>0</v>
      </c>
      <c r="I81" s="2">
        <v>11220200</v>
      </c>
      <c r="J81" s="3" t="s">
        <v>1452</v>
      </c>
      <c r="K81" s="3" t="s">
        <v>1399</v>
      </c>
      <c r="L81" s="12"/>
    </row>
    <row r="82" spans="2:12" ht="120" x14ac:dyDescent="0.25">
      <c r="B82" s="7" t="str">
        <f t="shared" si="7"/>
        <v>1</v>
      </c>
      <c r="C82" s="7" t="str">
        <f t="shared" si="8"/>
        <v>1</v>
      </c>
      <c r="D82" s="7" t="str">
        <f t="shared" si="9"/>
        <v>2</v>
      </c>
      <c r="E82" s="7" t="str">
        <f t="shared" si="10"/>
        <v>2</v>
      </c>
      <c r="F82" s="7" t="str">
        <f t="shared" si="11"/>
        <v>02</v>
      </c>
      <c r="G82" s="7" t="str">
        <f t="shared" si="12"/>
        <v>1</v>
      </c>
      <c r="H82" s="7" t="str">
        <f t="shared" si="13"/>
        <v>0</v>
      </c>
      <c r="I82" s="7">
        <v>11220210</v>
      </c>
      <c r="J82" s="8" t="s">
        <v>1452</v>
      </c>
      <c r="K82" s="8" t="s">
        <v>1399</v>
      </c>
      <c r="L82" s="14"/>
    </row>
    <row r="83" spans="2:12" ht="30" x14ac:dyDescent="0.25">
      <c r="B83" s="17" t="str">
        <f t="shared" si="7"/>
        <v>1</v>
      </c>
      <c r="C83" s="17" t="str">
        <f t="shared" si="8"/>
        <v>1</v>
      </c>
      <c r="D83" s="17" t="str">
        <f t="shared" si="9"/>
        <v>2</v>
      </c>
      <c r="E83" s="17" t="str">
        <f t="shared" si="10"/>
        <v>8</v>
      </c>
      <c r="F83" s="17" t="str">
        <f t="shared" si="11"/>
        <v>00</v>
      </c>
      <c r="G83" s="17" t="str">
        <f t="shared" si="12"/>
        <v>0</v>
      </c>
      <c r="H83" s="17" t="str">
        <f t="shared" si="13"/>
        <v>0</v>
      </c>
      <c r="I83" s="17">
        <v>11280000</v>
      </c>
      <c r="J83" s="16" t="s">
        <v>960</v>
      </c>
      <c r="K83" s="16" t="s">
        <v>962</v>
      </c>
      <c r="L83" s="16"/>
    </row>
    <row r="84" spans="2:12" ht="30" x14ac:dyDescent="0.25">
      <c r="B84" s="2" t="str">
        <f t="shared" si="7"/>
        <v>1</v>
      </c>
      <c r="C84" s="2" t="str">
        <f t="shared" si="8"/>
        <v>1</v>
      </c>
      <c r="D84" s="2" t="str">
        <f t="shared" si="9"/>
        <v>2</v>
      </c>
      <c r="E84" s="2" t="str">
        <f t="shared" si="10"/>
        <v>8</v>
      </c>
      <c r="F84" s="2" t="str">
        <f t="shared" si="11"/>
        <v>01</v>
      </c>
      <c r="G84" s="2" t="str">
        <f t="shared" si="12"/>
        <v>0</v>
      </c>
      <c r="H84" s="2" t="str">
        <f t="shared" si="13"/>
        <v>0</v>
      </c>
      <c r="I84" s="2">
        <v>11280100</v>
      </c>
      <c r="J84" s="3" t="s">
        <v>371</v>
      </c>
      <c r="K84" s="3" t="s">
        <v>963</v>
      </c>
      <c r="L84" s="3"/>
    </row>
    <row r="85" spans="2:12" ht="30" x14ac:dyDescent="0.25">
      <c r="B85" s="7" t="str">
        <f t="shared" si="7"/>
        <v>1</v>
      </c>
      <c r="C85" s="7" t="str">
        <f t="shared" si="8"/>
        <v>1</v>
      </c>
      <c r="D85" s="7" t="str">
        <f t="shared" si="9"/>
        <v>2</v>
      </c>
      <c r="E85" s="7" t="str">
        <f t="shared" si="10"/>
        <v>8</v>
      </c>
      <c r="F85" s="7" t="str">
        <f t="shared" si="11"/>
        <v>01</v>
      </c>
      <c r="G85" s="7" t="str">
        <f t="shared" si="12"/>
        <v>1</v>
      </c>
      <c r="H85" s="7" t="str">
        <f t="shared" si="13"/>
        <v>0</v>
      </c>
      <c r="I85" s="7">
        <v>11280110</v>
      </c>
      <c r="J85" s="8" t="s">
        <v>29</v>
      </c>
      <c r="K85" s="8" t="s">
        <v>964</v>
      </c>
      <c r="L85" s="8"/>
    </row>
    <row r="86" spans="2:12" ht="45" x14ac:dyDescent="0.25">
      <c r="B86" s="7" t="str">
        <f t="shared" si="7"/>
        <v>1</v>
      </c>
      <c r="C86" s="7" t="str">
        <f t="shared" si="8"/>
        <v>1</v>
      </c>
      <c r="D86" s="7" t="str">
        <f t="shared" si="9"/>
        <v>2</v>
      </c>
      <c r="E86" s="7" t="str">
        <f t="shared" si="10"/>
        <v>8</v>
      </c>
      <c r="F86" s="7" t="str">
        <f t="shared" si="11"/>
        <v>01</v>
      </c>
      <c r="G86" s="7" t="str">
        <f t="shared" si="12"/>
        <v>2</v>
      </c>
      <c r="H86" s="7" t="str">
        <f t="shared" si="13"/>
        <v>0</v>
      </c>
      <c r="I86" s="7">
        <v>11280120</v>
      </c>
      <c r="J86" s="8" t="s">
        <v>30</v>
      </c>
      <c r="K86" s="8" t="s">
        <v>965</v>
      </c>
      <c r="L86" s="8"/>
    </row>
    <row r="87" spans="2:12" ht="45" x14ac:dyDescent="0.25">
      <c r="B87" s="7" t="str">
        <f t="shared" si="7"/>
        <v>1</v>
      </c>
      <c r="C87" s="7" t="str">
        <f t="shared" si="8"/>
        <v>1</v>
      </c>
      <c r="D87" s="7" t="str">
        <f t="shared" si="9"/>
        <v>2</v>
      </c>
      <c r="E87" s="7" t="str">
        <f t="shared" si="10"/>
        <v>8</v>
      </c>
      <c r="F87" s="7" t="str">
        <f t="shared" si="11"/>
        <v>01</v>
      </c>
      <c r="G87" s="7" t="str">
        <f t="shared" si="12"/>
        <v>9</v>
      </c>
      <c r="H87" s="7" t="str">
        <f t="shared" si="13"/>
        <v>0</v>
      </c>
      <c r="I87" s="7">
        <v>11280190</v>
      </c>
      <c r="J87" s="8" t="s">
        <v>961</v>
      </c>
      <c r="K87" s="8" t="s">
        <v>966</v>
      </c>
      <c r="L87" s="8"/>
    </row>
    <row r="88" spans="2:12" ht="45" x14ac:dyDescent="0.25">
      <c r="B88" s="2" t="str">
        <f t="shared" si="7"/>
        <v>1</v>
      </c>
      <c r="C88" s="2" t="str">
        <f t="shared" si="8"/>
        <v>1</v>
      </c>
      <c r="D88" s="2" t="str">
        <f t="shared" si="9"/>
        <v>2</v>
      </c>
      <c r="E88" s="2" t="str">
        <f t="shared" si="10"/>
        <v>8</v>
      </c>
      <c r="F88" s="2" t="str">
        <f t="shared" si="11"/>
        <v>02</v>
      </c>
      <c r="G88" s="2" t="str">
        <f t="shared" si="12"/>
        <v>0</v>
      </c>
      <c r="H88" s="2" t="str">
        <f t="shared" si="13"/>
        <v>0</v>
      </c>
      <c r="I88" s="2">
        <v>11280200</v>
      </c>
      <c r="J88" s="3" t="s">
        <v>32</v>
      </c>
      <c r="K88" s="3" t="s">
        <v>379</v>
      </c>
      <c r="L88" s="12"/>
    </row>
    <row r="89" spans="2:12" ht="60" x14ac:dyDescent="0.25">
      <c r="B89" s="11" t="str">
        <f t="shared" si="7"/>
        <v>1</v>
      </c>
      <c r="C89" s="11" t="str">
        <f t="shared" si="8"/>
        <v>1</v>
      </c>
      <c r="D89" s="11" t="str">
        <f t="shared" si="9"/>
        <v>2</v>
      </c>
      <c r="E89" s="11" t="str">
        <f t="shared" si="10"/>
        <v>8</v>
      </c>
      <c r="F89" s="11" t="str">
        <f t="shared" si="11"/>
        <v>02</v>
      </c>
      <c r="G89" s="11" t="str">
        <f t="shared" si="12"/>
        <v>1</v>
      </c>
      <c r="H89" s="11" t="str">
        <f t="shared" si="13"/>
        <v>0</v>
      </c>
      <c r="I89" s="11">
        <v>11280210</v>
      </c>
      <c r="J89" s="14" t="s">
        <v>1397</v>
      </c>
      <c r="K89" s="14" t="s">
        <v>1398</v>
      </c>
      <c r="L89" s="14" t="s">
        <v>1459</v>
      </c>
    </row>
    <row r="90" spans="2:12" ht="60" x14ac:dyDescent="0.25">
      <c r="B90" s="11" t="str">
        <f t="shared" si="7"/>
        <v>1</v>
      </c>
      <c r="C90" s="11" t="str">
        <f t="shared" si="8"/>
        <v>1</v>
      </c>
      <c r="D90" s="11" t="str">
        <f t="shared" si="9"/>
        <v>2</v>
      </c>
      <c r="E90" s="11" t="str">
        <f t="shared" si="10"/>
        <v>8</v>
      </c>
      <c r="F90" s="11" t="str">
        <f t="shared" si="11"/>
        <v>02</v>
      </c>
      <c r="G90" s="11" t="str">
        <f t="shared" si="12"/>
        <v>2</v>
      </c>
      <c r="H90" s="11" t="str">
        <f t="shared" si="13"/>
        <v>0</v>
      </c>
      <c r="I90" s="11">
        <v>11280220</v>
      </c>
      <c r="J90" s="14" t="s">
        <v>1400</v>
      </c>
      <c r="K90" s="14" t="s">
        <v>1401</v>
      </c>
      <c r="L90" s="14" t="s">
        <v>1459</v>
      </c>
    </row>
    <row r="91" spans="2:12" ht="30" x14ac:dyDescent="0.25">
      <c r="B91" s="11" t="s">
        <v>1505</v>
      </c>
      <c r="C91" s="11" t="s">
        <v>1505</v>
      </c>
      <c r="D91" s="11" t="s">
        <v>1506</v>
      </c>
      <c r="E91" s="11" t="s">
        <v>1507</v>
      </c>
      <c r="F91" s="11" t="s">
        <v>1508</v>
      </c>
      <c r="G91" s="11" t="s">
        <v>1509</v>
      </c>
      <c r="H91" s="11" t="s">
        <v>1510</v>
      </c>
      <c r="I91" s="11">
        <v>11280230</v>
      </c>
      <c r="J91" s="14" t="s">
        <v>1413</v>
      </c>
      <c r="K91" s="14" t="s">
        <v>1414</v>
      </c>
      <c r="L91" s="14" t="s">
        <v>1459</v>
      </c>
    </row>
    <row r="92" spans="2:12" ht="45" x14ac:dyDescent="0.25">
      <c r="B92" s="11" t="str">
        <f t="shared" si="7"/>
        <v>1</v>
      </c>
      <c r="C92" s="11" t="str">
        <f t="shared" si="8"/>
        <v>1</v>
      </c>
      <c r="D92" s="11" t="str">
        <f t="shared" si="9"/>
        <v>2</v>
      </c>
      <c r="E92" s="11" t="str">
        <f t="shared" si="10"/>
        <v>8</v>
      </c>
      <c r="F92" s="11" t="str">
        <f t="shared" si="11"/>
        <v>02</v>
      </c>
      <c r="G92" s="11" t="str">
        <f t="shared" si="12"/>
        <v>9</v>
      </c>
      <c r="H92" s="11" t="str">
        <f t="shared" si="13"/>
        <v>0</v>
      </c>
      <c r="I92" s="11">
        <v>11280290</v>
      </c>
      <c r="J92" s="14" t="s">
        <v>1436</v>
      </c>
      <c r="K92" s="14" t="s">
        <v>1437</v>
      </c>
      <c r="L92" s="14" t="s">
        <v>1459</v>
      </c>
    </row>
    <row r="93" spans="2:12" ht="30" x14ac:dyDescent="0.25">
      <c r="B93" s="27" t="str">
        <f t="shared" si="7"/>
        <v>1</v>
      </c>
      <c r="C93" s="27" t="str">
        <f t="shared" si="8"/>
        <v>1</v>
      </c>
      <c r="D93" s="27" t="str">
        <f t="shared" si="9"/>
        <v>3</v>
      </c>
      <c r="E93" s="27" t="str">
        <f t="shared" si="10"/>
        <v>0</v>
      </c>
      <c r="F93" s="27" t="str">
        <f t="shared" si="11"/>
        <v>00</v>
      </c>
      <c r="G93" s="27" t="str">
        <f t="shared" si="12"/>
        <v>0</v>
      </c>
      <c r="H93" s="27" t="str">
        <f t="shared" si="13"/>
        <v>0</v>
      </c>
      <c r="I93" s="27">
        <v>11300000</v>
      </c>
      <c r="J93" s="26" t="s">
        <v>33</v>
      </c>
      <c r="K93" s="26" t="s">
        <v>380</v>
      </c>
      <c r="L93" s="26"/>
    </row>
    <row r="94" spans="2:12" ht="30" x14ac:dyDescent="0.25">
      <c r="B94" s="7" t="str">
        <f t="shared" si="7"/>
        <v>1</v>
      </c>
      <c r="C94" s="7" t="str">
        <f t="shared" si="8"/>
        <v>1</v>
      </c>
      <c r="D94" s="7" t="str">
        <f t="shared" si="9"/>
        <v>3</v>
      </c>
      <c r="E94" s="7" t="str">
        <f t="shared" si="10"/>
        <v>0</v>
      </c>
      <c r="F94" s="7" t="str">
        <f t="shared" si="11"/>
        <v>00</v>
      </c>
      <c r="G94" s="7" t="str">
        <f t="shared" si="12"/>
        <v>1</v>
      </c>
      <c r="H94" s="7" t="str">
        <f t="shared" si="13"/>
        <v>0</v>
      </c>
      <c r="I94" s="7">
        <v>11300010</v>
      </c>
      <c r="J94" s="8" t="s">
        <v>33</v>
      </c>
      <c r="K94" s="8" t="s">
        <v>380</v>
      </c>
      <c r="L94" s="8"/>
    </row>
    <row r="95" spans="2:12" ht="30" x14ac:dyDescent="0.25">
      <c r="B95" s="17" t="str">
        <f t="shared" si="7"/>
        <v>1</v>
      </c>
      <c r="C95" s="17" t="str">
        <f t="shared" si="8"/>
        <v>1</v>
      </c>
      <c r="D95" s="17" t="str">
        <f t="shared" si="9"/>
        <v>3</v>
      </c>
      <c r="E95" s="17" t="str">
        <f t="shared" si="10"/>
        <v>8</v>
      </c>
      <c r="F95" s="17" t="str">
        <f t="shared" si="11"/>
        <v>00</v>
      </c>
      <c r="G95" s="17" t="str">
        <f t="shared" si="12"/>
        <v>0</v>
      </c>
      <c r="H95" s="17" t="str">
        <f t="shared" si="13"/>
        <v>0</v>
      </c>
      <c r="I95" s="17">
        <v>11380000</v>
      </c>
      <c r="J95" s="16" t="s">
        <v>896</v>
      </c>
      <c r="K95" s="16" t="s">
        <v>908</v>
      </c>
      <c r="L95" s="16"/>
    </row>
    <row r="96" spans="2:12" ht="45" x14ac:dyDescent="0.25">
      <c r="B96" s="2" t="str">
        <f t="shared" si="7"/>
        <v>1</v>
      </c>
      <c r="C96" s="2" t="str">
        <f t="shared" si="8"/>
        <v>1</v>
      </c>
      <c r="D96" s="2" t="str">
        <f t="shared" si="9"/>
        <v>3</v>
      </c>
      <c r="E96" s="2" t="str">
        <f t="shared" si="10"/>
        <v>8</v>
      </c>
      <c r="F96" s="2" t="str">
        <f t="shared" si="11"/>
        <v>01</v>
      </c>
      <c r="G96" s="2" t="str">
        <f t="shared" si="12"/>
        <v>0</v>
      </c>
      <c r="H96" s="2" t="str">
        <f t="shared" si="13"/>
        <v>0</v>
      </c>
      <c r="I96" s="2">
        <v>11380100</v>
      </c>
      <c r="J96" s="3" t="s">
        <v>34</v>
      </c>
      <c r="K96" s="3" t="s">
        <v>35</v>
      </c>
      <c r="L96" s="3"/>
    </row>
    <row r="97" spans="2:12" ht="45" x14ac:dyDescent="0.25">
      <c r="B97" s="7" t="str">
        <f t="shared" si="7"/>
        <v>1</v>
      </c>
      <c r="C97" s="7" t="str">
        <f t="shared" si="8"/>
        <v>1</v>
      </c>
      <c r="D97" s="7" t="str">
        <f t="shared" si="9"/>
        <v>3</v>
      </c>
      <c r="E97" s="7" t="str">
        <f t="shared" si="10"/>
        <v>8</v>
      </c>
      <c r="F97" s="7" t="str">
        <f t="shared" si="11"/>
        <v>01</v>
      </c>
      <c r="G97" s="7" t="str">
        <f t="shared" si="12"/>
        <v>1</v>
      </c>
      <c r="H97" s="7" t="str">
        <f t="shared" si="13"/>
        <v>0</v>
      </c>
      <c r="I97" s="7">
        <v>11380110</v>
      </c>
      <c r="J97" s="8" t="s">
        <v>34</v>
      </c>
      <c r="K97" s="8" t="s">
        <v>35</v>
      </c>
      <c r="L97" s="8"/>
    </row>
    <row r="98" spans="2:12" ht="45" x14ac:dyDescent="0.25">
      <c r="B98" s="2" t="str">
        <f t="shared" si="7"/>
        <v>1</v>
      </c>
      <c r="C98" s="2" t="str">
        <f t="shared" si="8"/>
        <v>1</v>
      </c>
      <c r="D98" s="2" t="str">
        <f t="shared" si="9"/>
        <v>3</v>
      </c>
      <c r="E98" s="2" t="str">
        <f t="shared" si="10"/>
        <v>8</v>
      </c>
      <c r="F98" s="2" t="str">
        <f t="shared" si="11"/>
        <v>02</v>
      </c>
      <c r="G98" s="2" t="str">
        <f t="shared" si="12"/>
        <v>0</v>
      </c>
      <c r="H98" s="2" t="str">
        <f t="shared" si="13"/>
        <v>0</v>
      </c>
      <c r="I98" s="2">
        <v>11380200</v>
      </c>
      <c r="J98" s="3" t="s">
        <v>36</v>
      </c>
      <c r="K98" s="3" t="s">
        <v>37</v>
      </c>
      <c r="L98" s="3"/>
    </row>
    <row r="99" spans="2:12" ht="45" x14ac:dyDescent="0.25">
      <c r="B99" s="7" t="str">
        <f t="shared" si="7"/>
        <v>1</v>
      </c>
      <c r="C99" s="7" t="str">
        <f t="shared" si="8"/>
        <v>1</v>
      </c>
      <c r="D99" s="7" t="str">
        <f t="shared" si="9"/>
        <v>3</v>
      </c>
      <c r="E99" s="7" t="str">
        <f t="shared" si="10"/>
        <v>8</v>
      </c>
      <c r="F99" s="7" t="str">
        <f t="shared" si="11"/>
        <v>02</v>
      </c>
      <c r="G99" s="7" t="str">
        <f t="shared" si="12"/>
        <v>1</v>
      </c>
      <c r="H99" s="7" t="str">
        <f t="shared" si="13"/>
        <v>0</v>
      </c>
      <c r="I99" s="7">
        <v>11380210</v>
      </c>
      <c r="J99" s="8" t="s">
        <v>36</v>
      </c>
      <c r="K99" s="8" t="s">
        <v>37</v>
      </c>
      <c r="L99" s="8"/>
    </row>
    <row r="100" spans="2:12" ht="45" x14ac:dyDescent="0.25">
      <c r="B100" s="2" t="str">
        <f t="shared" si="7"/>
        <v>1</v>
      </c>
      <c r="C100" s="2" t="str">
        <f t="shared" si="8"/>
        <v>1</v>
      </c>
      <c r="D100" s="2" t="str">
        <f t="shared" si="9"/>
        <v>3</v>
      </c>
      <c r="E100" s="2" t="str">
        <f t="shared" si="10"/>
        <v>8</v>
      </c>
      <c r="F100" s="2" t="str">
        <f t="shared" si="11"/>
        <v>03</v>
      </c>
      <c r="G100" s="2" t="str">
        <f t="shared" si="12"/>
        <v>0</v>
      </c>
      <c r="H100" s="2" t="str">
        <f t="shared" si="13"/>
        <v>0</v>
      </c>
      <c r="I100" s="2">
        <v>11380300</v>
      </c>
      <c r="J100" s="3" t="s">
        <v>38</v>
      </c>
      <c r="K100" s="3" t="s">
        <v>39</v>
      </c>
      <c r="L100" s="3"/>
    </row>
    <row r="101" spans="2:12" ht="45" x14ac:dyDescent="0.25">
      <c r="B101" s="7" t="str">
        <f t="shared" si="7"/>
        <v>1</v>
      </c>
      <c r="C101" s="7" t="str">
        <f t="shared" si="8"/>
        <v>1</v>
      </c>
      <c r="D101" s="7" t="str">
        <f t="shared" si="9"/>
        <v>3</v>
      </c>
      <c r="E101" s="7" t="str">
        <f t="shared" si="10"/>
        <v>8</v>
      </c>
      <c r="F101" s="7" t="str">
        <f t="shared" si="11"/>
        <v>03</v>
      </c>
      <c r="G101" s="7" t="str">
        <f t="shared" si="12"/>
        <v>1</v>
      </c>
      <c r="H101" s="7" t="str">
        <f t="shared" si="13"/>
        <v>0</v>
      </c>
      <c r="I101" s="7">
        <v>11380310</v>
      </c>
      <c r="J101" s="8" t="s">
        <v>38</v>
      </c>
      <c r="K101" s="8" t="s">
        <v>39</v>
      </c>
      <c r="L101" s="8"/>
    </row>
    <row r="102" spans="2:12" ht="45" x14ac:dyDescent="0.25">
      <c r="B102" s="2" t="str">
        <f t="shared" si="7"/>
        <v>1</v>
      </c>
      <c r="C102" s="2" t="str">
        <f t="shared" si="8"/>
        <v>1</v>
      </c>
      <c r="D102" s="2" t="str">
        <f t="shared" si="9"/>
        <v>3</v>
      </c>
      <c r="E102" s="2" t="str">
        <f t="shared" si="10"/>
        <v>8</v>
      </c>
      <c r="F102" s="2" t="str">
        <f t="shared" si="11"/>
        <v>04</v>
      </c>
      <c r="G102" s="2" t="str">
        <f t="shared" si="12"/>
        <v>0</v>
      </c>
      <c r="H102" s="2" t="str">
        <f t="shared" si="13"/>
        <v>0</v>
      </c>
      <c r="I102" s="2">
        <v>11380400</v>
      </c>
      <c r="J102" s="3" t="s">
        <v>40</v>
      </c>
      <c r="K102" s="3" t="s">
        <v>41</v>
      </c>
      <c r="L102" s="3"/>
    </row>
    <row r="103" spans="2:12" ht="45" x14ac:dyDescent="0.25">
      <c r="B103" s="7" t="str">
        <f t="shared" si="7"/>
        <v>1</v>
      </c>
      <c r="C103" s="7" t="str">
        <f t="shared" si="8"/>
        <v>1</v>
      </c>
      <c r="D103" s="7" t="str">
        <f t="shared" si="9"/>
        <v>3</v>
      </c>
      <c r="E103" s="7" t="str">
        <f t="shared" si="10"/>
        <v>8</v>
      </c>
      <c r="F103" s="7" t="str">
        <f t="shared" si="11"/>
        <v>04</v>
      </c>
      <c r="G103" s="7" t="str">
        <f t="shared" si="12"/>
        <v>1</v>
      </c>
      <c r="H103" s="7" t="str">
        <f t="shared" si="13"/>
        <v>0</v>
      </c>
      <c r="I103" s="7">
        <v>11380410</v>
      </c>
      <c r="J103" s="8" t="s">
        <v>40</v>
      </c>
      <c r="K103" s="8" t="s">
        <v>41</v>
      </c>
      <c r="L103" s="8"/>
    </row>
    <row r="104" spans="2:12" ht="30" x14ac:dyDescent="0.25">
      <c r="B104" s="2" t="str">
        <f t="shared" si="7"/>
        <v>1</v>
      </c>
      <c r="C104" s="2" t="str">
        <f t="shared" si="8"/>
        <v>1</v>
      </c>
      <c r="D104" s="2" t="str">
        <f t="shared" si="9"/>
        <v>3</v>
      </c>
      <c r="E104" s="2" t="str">
        <f t="shared" si="10"/>
        <v>8</v>
      </c>
      <c r="F104" s="2" t="str">
        <f t="shared" si="11"/>
        <v>99</v>
      </c>
      <c r="G104" s="2" t="str">
        <f t="shared" si="12"/>
        <v>0</v>
      </c>
      <c r="H104" s="2" t="str">
        <f t="shared" si="13"/>
        <v>0</v>
      </c>
      <c r="I104" s="2">
        <v>11389900</v>
      </c>
      <c r="J104" s="3" t="s">
        <v>42</v>
      </c>
      <c r="K104" s="3" t="s">
        <v>43</v>
      </c>
      <c r="L104" s="3"/>
    </row>
    <row r="105" spans="2:12" ht="30" x14ac:dyDescent="0.25">
      <c r="B105" s="7" t="str">
        <f t="shared" si="7"/>
        <v>1</v>
      </c>
      <c r="C105" s="7" t="str">
        <f t="shared" si="8"/>
        <v>1</v>
      </c>
      <c r="D105" s="7" t="str">
        <f t="shared" si="9"/>
        <v>3</v>
      </c>
      <c r="E105" s="7" t="str">
        <f t="shared" si="10"/>
        <v>8</v>
      </c>
      <c r="F105" s="7" t="str">
        <f t="shared" si="11"/>
        <v>99</v>
      </c>
      <c r="G105" s="7" t="str">
        <f t="shared" si="12"/>
        <v>1</v>
      </c>
      <c r="H105" s="7" t="str">
        <f t="shared" si="13"/>
        <v>0</v>
      </c>
      <c r="I105" s="7">
        <v>11389910</v>
      </c>
      <c r="J105" s="8" t="s">
        <v>42</v>
      </c>
      <c r="K105" s="8" t="s">
        <v>43</v>
      </c>
      <c r="L105" s="8"/>
    </row>
    <row r="106" spans="2:12" ht="60" x14ac:dyDescent="0.25">
      <c r="B106" s="6" t="str">
        <f t="shared" si="7"/>
        <v>1</v>
      </c>
      <c r="C106" s="6" t="str">
        <f t="shared" si="8"/>
        <v>2</v>
      </c>
      <c r="D106" s="6" t="str">
        <f t="shared" si="9"/>
        <v>0</v>
      </c>
      <c r="E106" s="6" t="str">
        <f t="shared" si="10"/>
        <v>0</v>
      </c>
      <c r="F106" s="6" t="str">
        <f t="shared" si="11"/>
        <v>00</v>
      </c>
      <c r="G106" s="6" t="str">
        <f t="shared" si="12"/>
        <v>0</v>
      </c>
      <c r="H106" s="6" t="str">
        <f t="shared" si="13"/>
        <v>0</v>
      </c>
      <c r="I106" s="6">
        <v>12000000</v>
      </c>
      <c r="J106" s="5" t="s">
        <v>381</v>
      </c>
      <c r="K106" s="5" t="s">
        <v>382</v>
      </c>
      <c r="L106" s="5"/>
    </row>
    <row r="107" spans="2:12" ht="30" x14ac:dyDescent="0.25">
      <c r="B107" s="27" t="str">
        <f t="shared" si="7"/>
        <v>1</v>
      </c>
      <c r="C107" s="27" t="str">
        <f t="shared" si="8"/>
        <v>2</v>
      </c>
      <c r="D107" s="27" t="str">
        <f t="shared" si="9"/>
        <v>1</v>
      </c>
      <c r="E107" s="27" t="str">
        <f t="shared" si="10"/>
        <v>0</v>
      </c>
      <c r="F107" s="27" t="str">
        <f t="shared" si="11"/>
        <v>00</v>
      </c>
      <c r="G107" s="27" t="str">
        <f t="shared" si="12"/>
        <v>0</v>
      </c>
      <c r="H107" s="27" t="str">
        <f t="shared" si="13"/>
        <v>0</v>
      </c>
      <c r="I107" s="27">
        <v>12100000</v>
      </c>
      <c r="J107" s="26" t="s">
        <v>44</v>
      </c>
      <c r="K107" s="26" t="s">
        <v>383</v>
      </c>
      <c r="L107" s="26"/>
    </row>
    <row r="108" spans="2:12" ht="45" x14ac:dyDescent="0.25">
      <c r="B108" s="17" t="str">
        <f t="shared" si="7"/>
        <v>1</v>
      </c>
      <c r="C108" s="17" t="str">
        <f t="shared" si="8"/>
        <v>2</v>
      </c>
      <c r="D108" s="17" t="str">
        <f t="shared" si="9"/>
        <v>1</v>
      </c>
      <c r="E108" s="17" t="str">
        <f t="shared" si="10"/>
        <v>1</v>
      </c>
      <c r="F108" s="17" t="str">
        <f t="shared" si="11"/>
        <v>00</v>
      </c>
      <c r="G108" s="17" t="str">
        <f t="shared" si="12"/>
        <v>0</v>
      </c>
      <c r="H108" s="17" t="str">
        <f t="shared" si="13"/>
        <v>0</v>
      </c>
      <c r="I108" s="17">
        <v>12110000</v>
      </c>
      <c r="J108" s="16" t="s">
        <v>1049</v>
      </c>
      <c r="K108" s="16" t="s">
        <v>1208</v>
      </c>
      <c r="L108" s="16"/>
    </row>
    <row r="109" spans="2:12" ht="60" x14ac:dyDescent="0.25">
      <c r="B109" s="2" t="str">
        <f t="shared" si="7"/>
        <v>1</v>
      </c>
      <c r="C109" s="2" t="str">
        <f t="shared" si="8"/>
        <v>2</v>
      </c>
      <c r="D109" s="2" t="str">
        <f t="shared" si="9"/>
        <v>1</v>
      </c>
      <c r="E109" s="2" t="str">
        <f t="shared" si="10"/>
        <v>1</v>
      </c>
      <c r="F109" s="2" t="str">
        <f t="shared" si="11"/>
        <v>01</v>
      </c>
      <c r="G109" s="2" t="str">
        <f t="shared" si="12"/>
        <v>0</v>
      </c>
      <c r="H109" s="2" t="str">
        <f t="shared" si="13"/>
        <v>0</v>
      </c>
      <c r="I109" s="2">
        <v>12110100</v>
      </c>
      <c r="J109" s="3" t="s">
        <v>1050</v>
      </c>
      <c r="K109" s="3" t="s">
        <v>1207</v>
      </c>
      <c r="L109" s="3"/>
    </row>
    <row r="110" spans="2:12" ht="45" x14ac:dyDescent="0.25">
      <c r="B110" s="7" t="str">
        <f t="shared" si="7"/>
        <v>1</v>
      </c>
      <c r="C110" s="7" t="str">
        <f t="shared" si="8"/>
        <v>2</v>
      </c>
      <c r="D110" s="7" t="str">
        <f t="shared" si="9"/>
        <v>1</v>
      </c>
      <c r="E110" s="7" t="str">
        <f t="shared" si="10"/>
        <v>1</v>
      </c>
      <c r="F110" s="7" t="str">
        <f t="shared" si="11"/>
        <v>01</v>
      </c>
      <c r="G110" s="7" t="str">
        <f t="shared" si="12"/>
        <v>1</v>
      </c>
      <c r="H110" s="7" t="str">
        <f t="shared" si="13"/>
        <v>0</v>
      </c>
      <c r="I110" s="7">
        <v>12110110</v>
      </c>
      <c r="J110" s="8" t="s">
        <v>1050</v>
      </c>
      <c r="K110" s="8" t="s">
        <v>1209</v>
      </c>
      <c r="L110" s="8"/>
    </row>
    <row r="111" spans="2:12" ht="30" x14ac:dyDescent="0.25">
      <c r="B111" s="2" t="str">
        <f t="shared" si="7"/>
        <v>1</v>
      </c>
      <c r="C111" s="2" t="str">
        <f t="shared" si="8"/>
        <v>2</v>
      </c>
      <c r="D111" s="2" t="str">
        <f t="shared" si="9"/>
        <v>1</v>
      </c>
      <c r="E111" s="2" t="str">
        <f t="shared" si="10"/>
        <v>1</v>
      </c>
      <c r="F111" s="2" t="str">
        <f t="shared" si="11"/>
        <v>02</v>
      </c>
      <c r="G111" s="2" t="str">
        <f t="shared" si="12"/>
        <v>0</v>
      </c>
      <c r="H111" s="2" t="str">
        <f t="shared" si="13"/>
        <v>0</v>
      </c>
      <c r="I111" s="2">
        <v>12110200</v>
      </c>
      <c r="J111" s="3" t="s">
        <v>1051</v>
      </c>
      <c r="K111" s="3" t="s">
        <v>1210</v>
      </c>
      <c r="L111" s="3"/>
    </row>
    <row r="112" spans="2:12" ht="30" x14ac:dyDescent="0.25">
      <c r="B112" s="7" t="str">
        <f t="shared" si="7"/>
        <v>1</v>
      </c>
      <c r="C112" s="7" t="str">
        <f t="shared" si="8"/>
        <v>2</v>
      </c>
      <c r="D112" s="7" t="str">
        <f t="shared" si="9"/>
        <v>1</v>
      </c>
      <c r="E112" s="7" t="str">
        <f t="shared" si="10"/>
        <v>1</v>
      </c>
      <c r="F112" s="7" t="str">
        <f t="shared" si="11"/>
        <v>02</v>
      </c>
      <c r="G112" s="7" t="str">
        <f t="shared" si="12"/>
        <v>1</v>
      </c>
      <c r="H112" s="7" t="str">
        <f t="shared" si="13"/>
        <v>0</v>
      </c>
      <c r="I112" s="7">
        <v>12110210</v>
      </c>
      <c r="J112" s="8" t="s">
        <v>1051</v>
      </c>
      <c r="K112" s="8" t="s">
        <v>1210</v>
      </c>
      <c r="L112" s="8"/>
    </row>
    <row r="113" spans="2:12" ht="60" x14ac:dyDescent="0.25">
      <c r="B113" s="2" t="str">
        <f t="shared" si="7"/>
        <v>1</v>
      </c>
      <c r="C113" s="2" t="str">
        <f t="shared" si="8"/>
        <v>2</v>
      </c>
      <c r="D113" s="2" t="str">
        <f t="shared" si="9"/>
        <v>1</v>
      </c>
      <c r="E113" s="2" t="str">
        <f t="shared" si="10"/>
        <v>1</v>
      </c>
      <c r="F113" s="2" t="str">
        <f t="shared" si="11"/>
        <v>49</v>
      </c>
      <c r="G113" s="2" t="str">
        <f t="shared" si="12"/>
        <v>0</v>
      </c>
      <c r="H113" s="2" t="str">
        <f t="shared" si="13"/>
        <v>0</v>
      </c>
      <c r="I113" s="2">
        <v>12114900</v>
      </c>
      <c r="J113" s="3" t="s">
        <v>1052</v>
      </c>
      <c r="K113" s="3" t="s">
        <v>1211</v>
      </c>
      <c r="L113" s="3"/>
    </row>
    <row r="114" spans="2:12" ht="60" x14ac:dyDescent="0.25">
      <c r="B114" s="7" t="str">
        <f t="shared" si="7"/>
        <v>1</v>
      </c>
      <c r="C114" s="7" t="str">
        <f t="shared" si="8"/>
        <v>2</v>
      </c>
      <c r="D114" s="7" t="str">
        <f t="shared" si="9"/>
        <v>1</v>
      </c>
      <c r="E114" s="7" t="str">
        <f t="shared" si="10"/>
        <v>1</v>
      </c>
      <c r="F114" s="7" t="str">
        <f t="shared" si="11"/>
        <v>49</v>
      </c>
      <c r="G114" s="7" t="str">
        <f t="shared" si="12"/>
        <v>1</v>
      </c>
      <c r="H114" s="7" t="str">
        <f t="shared" si="13"/>
        <v>0</v>
      </c>
      <c r="I114" s="7">
        <v>12114910</v>
      </c>
      <c r="J114" s="8" t="s">
        <v>1052</v>
      </c>
      <c r="K114" s="8" t="s">
        <v>1211</v>
      </c>
      <c r="L114" s="8"/>
    </row>
    <row r="115" spans="2:12" ht="45" x14ac:dyDescent="0.25">
      <c r="B115" s="17" t="str">
        <f t="shared" si="7"/>
        <v>1</v>
      </c>
      <c r="C115" s="17" t="str">
        <f t="shared" si="8"/>
        <v>2</v>
      </c>
      <c r="D115" s="17" t="str">
        <f t="shared" si="9"/>
        <v>1</v>
      </c>
      <c r="E115" s="17" t="str">
        <f t="shared" si="10"/>
        <v>2</v>
      </c>
      <c r="F115" s="17" t="str">
        <f t="shared" si="11"/>
        <v>00</v>
      </c>
      <c r="G115" s="17" t="str">
        <f t="shared" si="12"/>
        <v>0</v>
      </c>
      <c r="H115" s="17" t="str">
        <f t="shared" si="13"/>
        <v>0</v>
      </c>
      <c r="I115" s="17">
        <v>12120000</v>
      </c>
      <c r="J115" s="16" t="s">
        <v>1053</v>
      </c>
      <c r="K115" s="16" t="s">
        <v>1212</v>
      </c>
      <c r="L115" s="16"/>
    </row>
    <row r="116" spans="2:12" ht="30" x14ac:dyDescent="0.25">
      <c r="B116" s="35" t="str">
        <f t="shared" si="7"/>
        <v>1</v>
      </c>
      <c r="C116" s="35" t="str">
        <f t="shared" si="8"/>
        <v>2</v>
      </c>
      <c r="D116" s="35" t="str">
        <f t="shared" si="9"/>
        <v>1</v>
      </c>
      <c r="E116" s="35" t="str">
        <f t="shared" si="10"/>
        <v>2</v>
      </c>
      <c r="F116" s="35" t="str">
        <f t="shared" si="11"/>
        <v>01</v>
      </c>
      <c r="G116" s="35" t="str">
        <f t="shared" si="12"/>
        <v>0</v>
      </c>
      <c r="H116" s="35" t="str">
        <f t="shared" si="13"/>
        <v>0</v>
      </c>
      <c r="I116" s="35">
        <v>12120100</v>
      </c>
      <c r="J116" s="36" t="s">
        <v>1405</v>
      </c>
      <c r="K116" s="36" t="s">
        <v>1407</v>
      </c>
      <c r="L116" s="36" t="s">
        <v>1455</v>
      </c>
    </row>
    <row r="117" spans="2:12" ht="45" x14ac:dyDescent="0.25">
      <c r="B117" s="37" t="str">
        <f t="shared" si="7"/>
        <v>1</v>
      </c>
      <c r="C117" s="37" t="str">
        <f t="shared" si="8"/>
        <v>2</v>
      </c>
      <c r="D117" s="37" t="str">
        <f t="shared" si="9"/>
        <v>1</v>
      </c>
      <c r="E117" s="37" t="str">
        <f t="shared" si="10"/>
        <v>2</v>
      </c>
      <c r="F117" s="37" t="str">
        <f t="shared" si="11"/>
        <v>01</v>
      </c>
      <c r="G117" s="37" t="str">
        <f t="shared" si="12"/>
        <v>1</v>
      </c>
      <c r="H117" s="37" t="str">
        <f t="shared" si="13"/>
        <v>0</v>
      </c>
      <c r="I117" s="37">
        <v>12120110</v>
      </c>
      <c r="J117" s="38" t="s">
        <v>1406</v>
      </c>
      <c r="K117" s="38" t="s">
        <v>1408</v>
      </c>
      <c r="L117" s="38" t="s">
        <v>1455</v>
      </c>
    </row>
    <row r="118" spans="2:12" ht="45" x14ac:dyDescent="0.25">
      <c r="B118" s="37" t="str">
        <f t="shared" si="7"/>
        <v>1</v>
      </c>
      <c r="C118" s="37" t="str">
        <f t="shared" si="8"/>
        <v>2</v>
      </c>
      <c r="D118" s="37" t="str">
        <f t="shared" si="9"/>
        <v>1</v>
      </c>
      <c r="E118" s="37" t="str">
        <f t="shared" si="10"/>
        <v>2</v>
      </c>
      <c r="F118" s="37" t="str">
        <f t="shared" si="11"/>
        <v>01</v>
      </c>
      <c r="G118" s="37" t="str">
        <f t="shared" si="12"/>
        <v>2</v>
      </c>
      <c r="H118" s="37" t="str">
        <f t="shared" si="13"/>
        <v>0</v>
      </c>
      <c r="I118" s="37">
        <v>12120120</v>
      </c>
      <c r="J118" s="38" t="s">
        <v>1411</v>
      </c>
      <c r="K118" s="38" t="s">
        <v>1412</v>
      </c>
      <c r="L118" s="38" t="s">
        <v>1455</v>
      </c>
    </row>
    <row r="119" spans="2:12" ht="45" x14ac:dyDescent="0.25">
      <c r="B119" s="32" t="str">
        <f t="shared" si="7"/>
        <v>1</v>
      </c>
      <c r="C119" s="32" t="str">
        <f t="shared" si="8"/>
        <v>2</v>
      </c>
      <c r="D119" s="32" t="str">
        <f t="shared" si="9"/>
        <v>1</v>
      </c>
      <c r="E119" s="32" t="str">
        <f t="shared" si="10"/>
        <v>2</v>
      </c>
      <c r="F119" s="32" t="str">
        <f t="shared" si="11"/>
        <v>02</v>
      </c>
      <c r="G119" s="32" t="str">
        <f t="shared" si="12"/>
        <v>0</v>
      </c>
      <c r="H119" s="32" t="str">
        <f t="shared" si="13"/>
        <v>0</v>
      </c>
      <c r="I119" s="32">
        <v>12120200</v>
      </c>
      <c r="J119" s="33" t="s">
        <v>1054</v>
      </c>
      <c r="K119" s="33" t="s">
        <v>1213</v>
      </c>
      <c r="L119" s="34" t="s">
        <v>1455</v>
      </c>
    </row>
    <row r="120" spans="2:12" ht="45" x14ac:dyDescent="0.25">
      <c r="B120" s="19" t="str">
        <f t="shared" si="7"/>
        <v>1</v>
      </c>
      <c r="C120" s="19" t="str">
        <f t="shared" si="8"/>
        <v>2</v>
      </c>
      <c r="D120" s="19" t="str">
        <f t="shared" si="9"/>
        <v>1</v>
      </c>
      <c r="E120" s="19" t="str">
        <f t="shared" si="10"/>
        <v>2</v>
      </c>
      <c r="F120" s="19" t="str">
        <f t="shared" si="11"/>
        <v>02</v>
      </c>
      <c r="G120" s="19" t="str">
        <f t="shared" si="12"/>
        <v>1</v>
      </c>
      <c r="H120" s="19" t="str">
        <f t="shared" si="13"/>
        <v>0</v>
      </c>
      <c r="I120" s="19">
        <v>12120210</v>
      </c>
      <c r="J120" s="18" t="s">
        <v>1054</v>
      </c>
      <c r="K120" s="18" t="s">
        <v>1213</v>
      </c>
      <c r="L120" s="21" t="s">
        <v>1455</v>
      </c>
    </row>
    <row r="121" spans="2:12" ht="45" x14ac:dyDescent="0.25">
      <c r="B121" s="32" t="str">
        <f t="shared" si="7"/>
        <v>1</v>
      </c>
      <c r="C121" s="32" t="str">
        <f t="shared" si="8"/>
        <v>2</v>
      </c>
      <c r="D121" s="32" t="str">
        <f t="shared" si="9"/>
        <v>1</v>
      </c>
      <c r="E121" s="32" t="str">
        <f t="shared" si="10"/>
        <v>2</v>
      </c>
      <c r="F121" s="32" t="str">
        <f t="shared" si="11"/>
        <v>03</v>
      </c>
      <c r="G121" s="32" t="str">
        <f t="shared" si="12"/>
        <v>0</v>
      </c>
      <c r="H121" s="32" t="str">
        <f t="shared" si="13"/>
        <v>0</v>
      </c>
      <c r="I121" s="32">
        <v>12120300</v>
      </c>
      <c r="J121" s="33" t="s">
        <v>1055</v>
      </c>
      <c r="K121" s="33" t="s">
        <v>1214</v>
      </c>
      <c r="L121" s="34" t="s">
        <v>1455</v>
      </c>
    </row>
    <row r="122" spans="2:12" ht="45" x14ac:dyDescent="0.25">
      <c r="B122" s="19" t="str">
        <f t="shared" si="7"/>
        <v>1</v>
      </c>
      <c r="C122" s="19" t="str">
        <f t="shared" si="8"/>
        <v>2</v>
      </c>
      <c r="D122" s="19" t="str">
        <f t="shared" si="9"/>
        <v>1</v>
      </c>
      <c r="E122" s="19" t="str">
        <f t="shared" si="10"/>
        <v>2</v>
      </c>
      <c r="F122" s="19" t="str">
        <f t="shared" si="11"/>
        <v>03</v>
      </c>
      <c r="G122" s="19" t="str">
        <f t="shared" si="12"/>
        <v>1</v>
      </c>
      <c r="H122" s="19" t="str">
        <f t="shared" si="13"/>
        <v>0</v>
      </c>
      <c r="I122" s="19">
        <v>12120310</v>
      </c>
      <c r="J122" s="18" t="s">
        <v>1055</v>
      </c>
      <c r="K122" s="18" t="s">
        <v>1214</v>
      </c>
      <c r="L122" s="21" t="s">
        <v>1455</v>
      </c>
    </row>
    <row r="123" spans="2:12" ht="45" x14ac:dyDescent="0.25">
      <c r="B123" s="32" t="str">
        <f t="shared" si="7"/>
        <v>1</v>
      </c>
      <c r="C123" s="32" t="str">
        <f t="shared" si="8"/>
        <v>2</v>
      </c>
      <c r="D123" s="32" t="str">
        <f t="shared" si="9"/>
        <v>1</v>
      </c>
      <c r="E123" s="32" t="str">
        <f t="shared" si="10"/>
        <v>2</v>
      </c>
      <c r="F123" s="32" t="str">
        <f t="shared" si="11"/>
        <v>04</v>
      </c>
      <c r="G123" s="32" t="str">
        <f t="shared" si="12"/>
        <v>0</v>
      </c>
      <c r="H123" s="32" t="str">
        <f t="shared" si="13"/>
        <v>0</v>
      </c>
      <c r="I123" s="32">
        <v>12120400</v>
      </c>
      <c r="J123" s="33" t="s">
        <v>1056</v>
      </c>
      <c r="K123" s="33" t="s">
        <v>1215</v>
      </c>
      <c r="L123" s="34" t="s">
        <v>1455</v>
      </c>
    </row>
    <row r="124" spans="2:12" ht="45" x14ac:dyDescent="0.25">
      <c r="B124" s="19" t="str">
        <f t="shared" si="7"/>
        <v>1</v>
      </c>
      <c r="C124" s="19" t="str">
        <f t="shared" si="8"/>
        <v>2</v>
      </c>
      <c r="D124" s="19" t="str">
        <f t="shared" si="9"/>
        <v>1</v>
      </c>
      <c r="E124" s="19" t="str">
        <f t="shared" si="10"/>
        <v>2</v>
      </c>
      <c r="F124" s="19" t="str">
        <f t="shared" si="11"/>
        <v>04</v>
      </c>
      <c r="G124" s="19" t="str">
        <f t="shared" si="12"/>
        <v>1</v>
      </c>
      <c r="H124" s="19" t="str">
        <f t="shared" si="13"/>
        <v>0</v>
      </c>
      <c r="I124" s="19">
        <v>12120410</v>
      </c>
      <c r="J124" s="18" t="s">
        <v>1056</v>
      </c>
      <c r="K124" s="18" t="s">
        <v>1215</v>
      </c>
      <c r="L124" s="21" t="s">
        <v>1455</v>
      </c>
    </row>
    <row r="125" spans="2:12" ht="60" x14ac:dyDescent="0.25">
      <c r="B125" s="32" t="str">
        <f t="shared" si="7"/>
        <v>1</v>
      </c>
      <c r="C125" s="32" t="str">
        <f t="shared" si="8"/>
        <v>2</v>
      </c>
      <c r="D125" s="32" t="str">
        <f t="shared" si="9"/>
        <v>1</v>
      </c>
      <c r="E125" s="32" t="str">
        <f t="shared" si="10"/>
        <v>2</v>
      </c>
      <c r="F125" s="32" t="str">
        <f t="shared" si="11"/>
        <v>05</v>
      </c>
      <c r="G125" s="32" t="str">
        <f t="shared" si="12"/>
        <v>0</v>
      </c>
      <c r="H125" s="32" t="str">
        <f t="shared" si="13"/>
        <v>0</v>
      </c>
      <c r="I125" s="32">
        <v>12120500</v>
      </c>
      <c r="J125" s="33" t="s">
        <v>1057</v>
      </c>
      <c r="K125" s="33" t="s">
        <v>1216</v>
      </c>
      <c r="L125" s="34" t="s">
        <v>1455</v>
      </c>
    </row>
    <row r="126" spans="2:12" ht="60" x14ac:dyDescent="0.25">
      <c r="B126" s="19" t="str">
        <f t="shared" si="7"/>
        <v>1</v>
      </c>
      <c r="C126" s="19" t="str">
        <f t="shared" si="8"/>
        <v>2</v>
      </c>
      <c r="D126" s="19" t="str">
        <f t="shared" si="9"/>
        <v>1</v>
      </c>
      <c r="E126" s="19" t="str">
        <f t="shared" si="10"/>
        <v>2</v>
      </c>
      <c r="F126" s="19" t="str">
        <f t="shared" si="11"/>
        <v>05</v>
      </c>
      <c r="G126" s="19" t="str">
        <f t="shared" si="12"/>
        <v>1</v>
      </c>
      <c r="H126" s="19" t="str">
        <f t="shared" si="13"/>
        <v>0</v>
      </c>
      <c r="I126" s="19">
        <v>12120510</v>
      </c>
      <c r="J126" s="18" t="s">
        <v>1057</v>
      </c>
      <c r="K126" s="18" t="s">
        <v>1216</v>
      </c>
      <c r="L126" s="21" t="s">
        <v>1455</v>
      </c>
    </row>
    <row r="127" spans="2:12" ht="60" x14ac:dyDescent="0.25">
      <c r="B127" s="32" t="str">
        <f t="shared" si="7"/>
        <v>1</v>
      </c>
      <c r="C127" s="32" t="str">
        <f t="shared" si="8"/>
        <v>2</v>
      </c>
      <c r="D127" s="32" t="str">
        <f t="shared" si="9"/>
        <v>1</v>
      </c>
      <c r="E127" s="32" t="str">
        <f t="shared" si="10"/>
        <v>2</v>
      </c>
      <c r="F127" s="32" t="str">
        <f t="shared" si="11"/>
        <v>06</v>
      </c>
      <c r="G127" s="32" t="str">
        <f t="shared" si="12"/>
        <v>0</v>
      </c>
      <c r="H127" s="32" t="str">
        <f t="shared" si="13"/>
        <v>0</v>
      </c>
      <c r="I127" s="32">
        <v>12120600</v>
      </c>
      <c r="J127" s="33" t="s">
        <v>1058</v>
      </c>
      <c r="K127" s="33" t="s">
        <v>1217</v>
      </c>
      <c r="L127" s="34" t="s">
        <v>1455</v>
      </c>
    </row>
    <row r="128" spans="2:12" ht="60" x14ac:dyDescent="0.25">
      <c r="B128" s="19" t="str">
        <f t="shared" si="7"/>
        <v>1</v>
      </c>
      <c r="C128" s="19" t="str">
        <f t="shared" si="8"/>
        <v>2</v>
      </c>
      <c r="D128" s="19" t="str">
        <f t="shared" si="9"/>
        <v>1</v>
      </c>
      <c r="E128" s="19" t="str">
        <f t="shared" si="10"/>
        <v>2</v>
      </c>
      <c r="F128" s="19" t="str">
        <f t="shared" si="11"/>
        <v>06</v>
      </c>
      <c r="G128" s="19" t="str">
        <f t="shared" si="12"/>
        <v>1</v>
      </c>
      <c r="H128" s="19" t="str">
        <f t="shared" si="13"/>
        <v>0</v>
      </c>
      <c r="I128" s="19">
        <v>12120610</v>
      </c>
      <c r="J128" s="18" t="s">
        <v>1058</v>
      </c>
      <c r="K128" s="18" t="s">
        <v>1217</v>
      </c>
      <c r="L128" s="21" t="s">
        <v>1455</v>
      </c>
    </row>
    <row r="129" spans="2:12" ht="60" x14ac:dyDescent="0.25">
      <c r="B129" s="32" t="str">
        <f t="shared" si="7"/>
        <v>1</v>
      </c>
      <c r="C129" s="32" t="str">
        <f t="shared" si="8"/>
        <v>2</v>
      </c>
      <c r="D129" s="32" t="str">
        <f t="shared" si="9"/>
        <v>1</v>
      </c>
      <c r="E129" s="32" t="str">
        <f t="shared" si="10"/>
        <v>2</v>
      </c>
      <c r="F129" s="32" t="str">
        <f t="shared" si="11"/>
        <v>07</v>
      </c>
      <c r="G129" s="32" t="str">
        <f t="shared" si="12"/>
        <v>0</v>
      </c>
      <c r="H129" s="32" t="str">
        <f t="shared" si="13"/>
        <v>0</v>
      </c>
      <c r="I129" s="32">
        <v>12120700</v>
      </c>
      <c r="J129" s="33" t="s">
        <v>1059</v>
      </c>
      <c r="K129" s="33" t="s">
        <v>1218</v>
      </c>
      <c r="L129" s="34" t="s">
        <v>1455</v>
      </c>
    </row>
    <row r="130" spans="2:12" ht="60" x14ac:dyDescent="0.25">
      <c r="B130" s="19" t="str">
        <f t="shared" si="7"/>
        <v>1</v>
      </c>
      <c r="C130" s="19" t="str">
        <f t="shared" si="8"/>
        <v>2</v>
      </c>
      <c r="D130" s="19" t="str">
        <f t="shared" si="9"/>
        <v>1</v>
      </c>
      <c r="E130" s="19" t="str">
        <f t="shared" si="10"/>
        <v>2</v>
      </c>
      <c r="F130" s="19" t="str">
        <f t="shared" si="11"/>
        <v>07</v>
      </c>
      <c r="G130" s="19" t="str">
        <f t="shared" si="12"/>
        <v>1</v>
      </c>
      <c r="H130" s="19" t="str">
        <f t="shared" si="13"/>
        <v>0</v>
      </c>
      <c r="I130" s="19">
        <v>12120710</v>
      </c>
      <c r="J130" s="18" t="s">
        <v>1059</v>
      </c>
      <c r="K130" s="18" t="s">
        <v>1218</v>
      </c>
      <c r="L130" s="21" t="s">
        <v>1455</v>
      </c>
    </row>
    <row r="131" spans="2:12" ht="45" x14ac:dyDescent="0.25">
      <c r="B131" s="32" t="str">
        <f t="shared" ref="B131:B194" si="14">MID($I131,1,1)</f>
        <v>1</v>
      </c>
      <c r="C131" s="32" t="str">
        <f t="shared" ref="C131:C194" si="15">MID($I131,2,1)</f>
        <v>2</v>
      </c>
      <c r="D131" s="32" t="str">
        <f t="shared" ref="D131:D194" si="16">MID($I131,3,1)</f>
        <v>1</v>
      </c>
      <c r="E131" s="32" t="str">
        <f t="shared" ref="E131:E194" si="17">MID($I131,4,1)</f>
        <v>2</v>
      </c>
      <c r="F131" s="32" t="str">
        <f t="shared" ref="F131:F194" si="18">MID($I131,5,2)</f>
        <v>08</v>
      </c>
      <c r="G131" s="32" t="str">
        <f t="shared" ref="G131:G194" si="19">MID($I131,7,1)</f>
        <v>0</v>
      </c>
      <c r="H131" s="32" t="str">
        <f t="shared" ref="H131:H194" si="20">MID($I131,8,1)</f>
        <v>0</v>
      </c>
      <c r="I131" s="32">
        <v>12120800</v>
      </c>
      <c r="J131" s="33" t="s">
        <v>1060</v>
      </c>
      <c r="K131" s="33" t="s">
        <v>1219</v>
      </c>
      <c r="L131" s="34" t="s">
        <v>1455</v>
      </c>
    </row>
    <row r="132" spans="2:12" ht="45" x14ac:dyDescent="0.25">
      <c r="B132" s="19" t="str">
        <f t="shared" si="14"/>
        <v>1</v>
      </c>
      <c r="C132" s="19" t="str">
        <f t="shared" si="15"/>
        <v>2</v>
      </c>
      <c r="D132" s="19" t="str">
        <f t="shared" si="16"/>
        <v>1</v>
      </c>
      <c r="E132" s="19" t="str">
        <f t="shared" si="17"/>
        <v>2</v>
      </c>
      <c r="F132" s="19" t="str">
        <f t="shared" si="18"/>
        <v>08</v>
      </c>
      <c r="G132" s="19" t="str">
        <f t="shared" si="19"/>
        <v>1</v>
      </c>
      <c r="H132" s="19" t="str">
        <f t="shared" si="20"/>
        <v>0</v>
      </c>
      <c r="I132" s="19">
        <v>12120810</v>
      </c>
      <c r="J132" s="18" t="s">
        <v>1060</v>
      </c>
      <c r="K132" s="18" t="s">
        <v>1219</v>
      </c>
      <c r="L132" s="21" t="s">
        <v>1455</v>
      </c>
    </row>
    <row r="133" spans="2:12" ht="60" x14ac:dyDescent="0.25">
      <c r="B133" s="32" t="str">
        <f t="shared" si="14"/>
        <v>1</v>
      </c>
      <c r="C133" s="32" t="str">
        <f t="shared" si="15"/>
        <v>2</v>
      </c>
      <c r="D133" s="32" t="str">
        <f t="shared" si="16"/>
        <v>1</v>
      </c>
      <c r="E133" s="32" t="str">
        <f t="shared" si="17"/>
        <v>2</v>
      </c>
      <c r="F133" s="32" t="str">
        <f t="shared" si="18"/>
        <v>09</v>
      </c>
      <c r="G133" s="32" t="str">
        <f t="shared" si="19"/>
        <v>0</v>
      </c>
      <c r="H133" s="32" t="str">
        <f t="shared" si="20"/>
        <v>0</v>
      </c>
      <c r="I133" s="32">
        <v>12120900</v>
      </c>
      <c r="J133" s="33" t="s">
        <v>1061</v>
      </c>
      <c r="K133" s="33" t="s">
        <v>1220</v>
      </c>
      <c r="L133" s="34" t="s">
        <v>1455</v>
      </c>
    </row>
    <row r="134" spans="2:12" ht="60" x14ac:dyDescent="0.25">
      <c r="B134" s="19" t="str">
        <f t="shared" si="14"/>
        <v>1</v>
      </c>
      <c r="C134" s="19" t="str">
        <f t="shared" si="15"/>
        <v>2</v>
      </c>
      <c r="D134" s="19" t="str">
        <f t="shared" si="16"/>
        <v>1</v>
      </c>
      <c r="E134" s="19" t="str">
        <f t="shared" si="17"/>
        <v>2</v>
      </c>
      <c r="F134" s="19" t="str">
        <f t="shared" si="18"/>
        <v>09</v>
      </c>
      <c r="G134" s="19" t="str">
        <f t="shared" si="19"/>
        <v>1</v>
      </c>
      <c r="H134" s="19" t="str">
        <f t="shared" si="20"/>
        <v>0</v>
      </c>
      <c r="I134" s="19">
        <v>12120910</v>
      </c>
      <c r="J134" s="18" t="s">
        <v>1061</v>
      </c>
      <c r="K134" s="18" t="s">
        <v>1220</v>
      </c>
      <c r="L134" s="21" t="s">
        <v>1455</v>
      </c>
    </row>
    <row r="135" spans="2:12" ht="45" x14ac:dyDescent="0.25">
      <c r="B135" s="32" t="str">
        <f t="shared" si="14"/>
        <v>1</v>
      </c>
      <c r="C135" s="32" t="str">
        <f t="shared" si="15"/>
        <v>2</v>
      </c>
      <c r="D135" s="32" t="str">
        <f t="shared" si="16"/>
        <v>1</v>
      </c>
      <c r="E135" s="32" t="str">
        <f t="shared" si="17"/>
        <v>2</v>
      </c>
      <c r="F135" s="32" t="str">
        <f t="shared" si="18"/>
        <v>10</v>
      </c>
      <c r="G135" s="32" t="str">
        <f t="shared" si="19"/>
        <v>0</v>
      </c>
      <c r="H135" s="32" t="str">
        <f t="shared" si="20"/>
        <v>0</v>
      </c>
      <c r="I135" s="32">
        <v>12121000</v>
      </c>
      <c r="J135" s="33" t="s">
        <v>1062</v>
      </c>
      <c r="K135" s="33" t="s">
        <v>1221</v>
      </c>
      <c r="L135" s="34" t="s">
        <v>1455</v>
      </c>
    </row>
    <row r="136" spans="2:12" ht="45" x14ac:dyDescent="0.25">
      <c r="B136" s="19" t="str">
        <f t="shared" si="14"/>
        <v>1</v>
      </c>
      <c r="C136" s="19" t="str">
        <f t="shared" si="15"/>
        <v>2</v>
      </c>
      <c r="D136" s="19" t="str">
        <f t="shared" si="16"/>
        <v>1</v>
      </c>
      <c r="E136" s="19" t="str">
        <f t="shared" si="17"/>
        <v>2</v>
      </c>
      <c r="F136" s="19" t="str">
        <f t="shared" si="18"/>
        <v>10</v>
      </c>
      <c r="G136" s="19" t="str">
        <f t="shared" si="19"/>
        <v>1</v>
      </c>
      <c r="H136" s="19" t="str">
        <f t="shared" si="20"/>
        <v>0</v>
      </c>
      <c r="I136" s="19">
        <v>12121010</v>
      </c>
      <c r="J136" s="18" t="s">
        <v>1062</v>
      </c>
      <c r="K136" s="18" t="s">
        <v>1221</v>
      </c>
      <c r="L136" s="21" t="s">
        <v>1455</v>
      </c>
    </row>
    <row r="137" spans="2:12" ht="60" x14ac:dyDescent="0.25">
      <c r="B137" s="32" t="str">
        <f t="shared" si="14"/>
        <v>1</v>
      </c>
      <c r="C137" s="32" t="str">
        <f t="shared" si="15"/>
        <v>2</v>
      </c>
      <c r="D137" s="32" t="str">
        <f t="shared" si="16"/>
        <v>1</v>
      </c>
      <c r="E137" s="32" t="str">
        <f t="shared" si="17"/>
        <v>2</v>
      </c>
      <c r="F137" s="32" t="str">
        <f t="shared" si="18"/>
        <v>11</v>
      </c>
      <c r="G137" s="32" t="str">
        <f t="shared" si="19"/>
        <v>0</v>
      </c>
      <c r="H137" s="32" t="str">
        <f t="shared" si="20"/>
        <v>0</v>
      </c>
      <c r="I137" s="32">
        <v>12121100</v>
      </c>
      <c r="J137" s="33" t="s">
        <v>1063</v>
      </c>
      <c r="K137" s="33" t="s">
        <v>1222</v>
      </c>
      <c r="L137" s="34" t="s">
        <v>1455</v>
      </c>
    </row>
    <row r="138" spans="2:12" ht="60" x14ac:dyDescent="0.25">
      <c r="B138" s="19" t="str">
        <f t="shared" si="14"/>
        <v>1</v>
      </c>
      <c r="C138" s="19" t="str">
        <f t="shared" si="15"/>
        <v>2</v>
      </c>
      <c r="D138" s="19" t="str">
        <f t="shared" si="16"/>
        <v>1</v>
      </c>
      <c r="E138" s="19" t="str">
        <f t="shared" si="17"/>
        <v>2</v>
      </c>
      <c r="F138" s="19" t="str">
        <f t="shared" si="18"/>
        <v>11</v>
      </c>
      <c r="G138" s="19" t="str">
        <f t="shared" si="19"/>
        <v>1</v>
      </c>
      <c r="H138" s="19" t="str">
        <f t="shared" si="20"/>
        <v>0</v>
      </c>
      <c r="I138" s="19">
        <v>12121110</v>
      </c>
      <c r="J138" s="18" t="s">
        <v>1063</v>
      </c>
      <c r="K138" s="18" t="s">
        <v>1222</v>
      </c>
      <c r="L138" s="21" t="s">
        <v>1455</v>
      </c>
    </row>
    <row r="139" spans="2:12" ht="60" x14ac:dyDescent="0.25">
      <c r="B139" s="32" t="str">
        <f t="shared" si="14"/>
        <v>1</v>
      </c>
      <c r="C139" s="32" t="str">
        <f t="shared" si="15"/>
        <v>2</v>
      </c>
      <c r="D139" s="32" t="str">
        <f t="shared" si="16"/>
        <v>1</v>
      </c>
      <c r="E139" s="32" t="str">
        <f t="shared" si="17"/>
        <v>2</v>
      </c>
      <c r="F139" s="32" t="str">
        <f t="shared" si="18"/>
        <v>12</v>
      </c>
      <c r="G139" s="32" t="str">
        <f t="shared" si="19"/>
        <v>0</v>
      </c>
      <c r="H139" s="32" t="str">
        <f t="shared" si="20"/>
        <v>0</v>
      </c>
      <c r="I139" s="32">
        <v>12121200</v>
      </c>
      <c r="J139" s="33" t="s">
        <v>1064</v>
      </c>
      <c r="K139" s="33" t="s">
        <v>1223</v>
      </c>
      <c r="L139" s="34" t="s">
        <v>1455</v>
      </c>
    </row>
    <row r="140" spans="2:12" ht="60" x14ac:dyDescent="0.25">
      <c r="B140" s="19" t="str">
        <f t="shared" si="14"/>
        <v>1</v>
      </c>
      <c r="C140" s="19" t="str">
        <f t="shared" si="15"/>
        <v>2</v>
      </c>
      <c r="D140" s="19" t="str">
        <f t="shared" si="16"/>
        <v>1</v>
      </c>
      <c r="E140" s="19" t="str">
        <f t="shared" si="17"/>
        <v>2</v>
      </c>
      <c r="F140" s="19" t="str">
        <f t="shared" si="18"/>
        <v>12</v>
      </c>
      <c r="G140" s="19" t="str">
        <f t="shared" si="19"/>
        <v>1</v>
      </c>
      <c r="H140" s="19" t="str">
        <f t="shared" si="20"/>
        <v>0</v>
      </c>
      <c r="I140" s="19">
        <v>12121210</v>
      </c>
      <c r="J140" s="18" t="s">
        <v>1064</v>
      </c>
      <c r="K140" s="18" t="s">
        <v>1223</v>
      </c>
      <c r="L140" s="21" t="s">
        <v>1455</v>
      </c>
    </row>
    <row r="141" spans="2:12" ht="45" x14ac:dyDescent="0.25">
      <c r="B141" s="2" t="str">
        <f t="shared" si="14"/>
        <v>1</v>
      </c>
      <c r="C141" s="2" t="str">
        <f t="shared" si="15"/>
        <v>2</v>
      </c>
      <c r="D141" s="2" t="str">
        <f t="shared" si="16"/>
        <v>1</v>
      </c>
      <c r="E141" s="2" t="str">
        <f t="shared" si="17"/>
        <v>2</v>
      </c>
      <c r="F141" s="2" t="str">
        <f t="shared" si="18"/>
        <v>49</v>
      </c>
      <c r="G141" s="2" t="str">
        <f t="shared" si="19"/>
        <v>0</v>
      </c>
      <c r="H141" s="2" t="str">
        <f t="shared" si="20"/>
        <v>0</v>
      </c>
      <c r="I141" s="2">
        <v>12124900</v>
      </c>
      <c r="J141" s="3" t="s">
        <v>1065</v>
      </c>
      <c r="K141" s="3" t="s">
        <v>1224</v>
      </c>
      <c r="L141" s="3"/>
    </row>
    <row r="142" spans="2:12" ht="45" x14ac:dyDescent="0.25">
      <c r="B142" s="7" t="str">
        <f t="shared" si="14"/>
        <v>1</v>
      </c>
      <c r="C142" s="7" t="str">
        <f t="shared" si="15"/>
        <v>2</v>
      </c>
      <c r="D142" s="7" t="str">
        <f t="shared" si="16"/>
        <v>1</v>
      </c>
      <c r="E142" s="7" t="str">
        <f t="shared" si="17"/>
        <v>2</v>
      </c>
      <c r="F142" s="7" t="str">
        <f t="shared" si="18"/>
        <v>49</v>
      </c>
      <c r="G142" s="7" t="str">
        <f t="shared" si="19"/>
        <v>1</v>
      </c>
      <c r="H142" s="7" t="str">
        <f t="shared" si="20"/>
        <v>0</v>
      </c>
      <c r="I142" s="7">
        <v>12124910</v>
      </c>
      <c r="J142" s="8" t="s">
        <v>1065</v>
      </c>
      <c r="K142" s="8" t="s">
        <v>1224</v>
      </c>
      <c r="L142" s="8"/>
    </row>
    <row r="143" spans="2:12" ht="28.5" customHeight="1" x14ac:dyDescent="0.25">
      <c r="B143" s="17" t="str">
        <f t="shared" si="14"/>
        <v>1</v>
      </c>
      <c r="C143" s="17" t="str">
        <f t="shared" si="15"/>
        <v>2</v>
      </c>
      <c r="D143" s="17" t="str">
        <f t="shared" si="16"/>
        <v>1</v>
      </c>
      <c r="E143" s="17" t="str">
        <f t="shared" si="17"/>
        <v>3</v>
      </c>
      <c r="F143" s="17" t="str">
        <f t="shared" si="18"/>
        <v>00</v>
      </c>
      <c r="G143" s="17" t="str">
        <f t="shared" si="19"/>
        <v>0</v>
      </c>
      <c r="H143" s="17" t="str">
        <f t="shared" si="20"/>
        <v>0</v>
      </c>
      <c r="I143" s="17">
        <v>12130000</v>
      </c>
      <c r="J143" s="16" t="s">
        <v>384</v>
      </c>
      <c r="K143" s="16" t="s">
        <v>1225</v>
      </c>
      <c r="L143" s="16"/>
    </row>
    <row r="144" spans="2:12" x14ac:dyDescent="0.25">
      <c r="B144" s="35" t="str">
        <f t="shared" si="14"/>
        <v>1</v>
      </c>
      <c r="C144" s="35" t="str">
        <f t="shared" si="15"/>
        <v>2</v>
      </c>
      <c r="D144" s="35" t="str">
        <f t="shared" si="16"/>
        <v>1</v>
      </c>
      <c r="E144" s="35" t="str">
        <f t="shared" si="17"/>
        <v>3</v>
      </c>
      <c r="F144" s="35" t="str">
        <f t="shared" si="18"/>
        <v>01</v>
      </c>
      <c r="G144" s="35" t="str">
        <f t="shared" si="19"/>
        <v>0</v>
      </c>
      <c r="H144" s="35" t="str">
        <f t="shared" si="20"/>
        <v>0</v>
      </c>
      <c r="I144" s="35">
        <v>12130100</v>
      </c>
      <c r="J144" s="36" t="s">
        <v>384</v>
      </c>
      <c r="K144" s="36" t="s">
        <v>1402</v>
      </c>
      <c r="L144" s="36" t="s">
        <v>1455</v>
      </c>
    </row>
    <row r="145" spans="2:12" ht="30" x14ac:dyDescent="0.25">
      <c r="B145" s="37" t="str">
        <f t="shared" si="14"/>
        <v>1</v>
      </c>
      <c r="C145" s="37" t="str">
        <f t="shared" si="15"/>
        <v>2</v>
      </c>
      <c r="D145" s="37" t="str">
        <f t="shared" si="16"/>
        <v>1</v>
      </c>
      <c r="E145" s="37" t="str">
        <f t="shared" si="17"/>
        <v>3</v>
      </c>
      <c r="F145" s="37" t="str">
        <f t="shared" si="18"/>
        <v>01</v>
      </c>
      <c r="G145" s="37" t="str">
        <f t="shared" si="19"/>
        <v>1</v>
      </c>
      <c r="H145" s="37" t="str">
        <f t="shared" si="20"/>
        <v>0</v>
      </c>
      <c r="I145" s="37">
        <v>12130110</v>
      </c>
      <c r="J145" s="38" t="s">
        <v>1403</v>
      </c>
      <c r="K145" s="38" t="s">
        <v>1404</v>
      </c>
      <c r="L145" s="38" t="s">
        <v>1455</v>
      </c>
    </row>
    <row r="146" spans="2:12" ht="30" x14ac:dyDescent="0.25">
      <c r="B146" s="37" t="str">
        <f t="shared" si="14"/>
        <v>1</v>
      </c>
      <c r="C146" s="37" t="str">
        <f t="shared" si="15"/>
        <v>2</v>
      </c>
      <c r="D146" s="37" t="str">
        <f t="shared" si="16"/>
        <v>1</v>
      </c>
      <c r="E146" s="37" t="str">
        <f t="shared" si="17"/>
        <v>3</v>
      </c>
      <c r="F146" s="37" t="str">
        <f t="shared" si="18"/>
        <v>01</v>
      </c>
      <c r="G146" s="37" t="str">
        <f t="shared" si="19"/>
        <v>2</v>
      </c>
      <c r="H146" s="37" t="str">
        <f t="shared" si="20"/>
        <v>0</v>
      </c>
      <c r="I146" s="37">
        <v>12130120</v>
      </c>
      <c r="J146" s="38" t="s">
        <v>1409</v>
      </c>
      <c r="K146" s="38" t="s">
        <v>1410</v>
      </c>
      <c r="L146" s="38" t="s">
        <v>1455</v>
      </c>
    </row>
    <row r="147" spans="2:12" ht="30" x14ac:dyDescent="0.25">
      <c r="B147" s="32" t="str">
        <f t="shared" si="14"/>
        <v>1</v>
      </c>
      <c r="C147" s="32" t="str">
        <f t="shared" si="15"/>
        <v>2</v>
      </c>
      <c r="D147" s="32" t="str">
        <f t="shared" si="16"/>
        <v>1</v>
      </c>
      <c r="E147" s="32" t="str">
        <f t="shared" si="17"/>
        <v>3</v>
      </c>
      <c r="F147" s="32" t="str">
        <f t="shared" si="18"/>
        <v>02</v>
      </c>
      <c r="G147" s="32" t="str">
        <f t="shared" si="19"/>
        <v>0</v>
      </c>
      <c r="H147" s="32" t="str">
        <f t="shared" si="20"/>
        <v>0</v>
      </c>
      <c r="I147" s="32">
        <v>12130200</v>
      </c>
      <c r="J147" s="33" t="s">
        <v>1066</v>
      </c>
      <c r="K147" s="33" t="s">
        <v>1226</v>
      </c>
      <c r="L147" s="34" t="s">
        <v>1455</v>
      </c>
    </row>
    <row r="148" spans="2:12" ht="30" x14ac:dyDescent="0.25">
      <c r="B148" s="19" t="str">
        <f t="shared" si="14"/>
        <v>1</v>
      </c>
      <c r="C148" s="19" t="str">
        <f t="shared" si="15"/>
        <v>2</v>
      </c>
      <c r="D148" s="19" t="str">
        <f t="shared" si="16"/>
        <v>1</v>
      </c>
      <c r="E148" s="19" t="str">
        <f t="shared" si="17"/>
        <v>3</v>
      </c>
      <c r="F148" s="19" t="str">
        <f t="shared" si="18"/>
        <v>02</v>
      </c>
      <c r="G148" s="19" t="str">
        <f t="shared" si="19"/>
        <v>1</v>
      </c>
      <c r="H148" s="19" t="str">
        <f t="shared" si="20"/>
        <v>0</v>
      </c>
      <c r="I148" s="19">
        <v>12130210</v>
      </c>
      <c r="J148" s="18" t="s">
        <v>1066</v>
      </c>
      <c r="K148" s="18" t="s">
        <v>1226</v>
      </c>
      <c r="L148" s="21" t="s">
        <v>1455</v>
      </c>
    </row>
    <row r="149" spans="2:12" ht="30" x14ac:dyDescent="0.25">
      <c r="B149" s="32" t="str">
        <f t="shared" si="14"/>
        <v>1</v>
      </c>
      <c r="C149" s="32" t="str">
        <f t="shared" si="15"/>
        <v>2</v>
      </c>
      <c r="D149" s="32" t="str">
        <f t="shared" si="16"/>
        <v>1</v>
      </c>
      <c r="E149" s="32" t="str">
        <f t="shared" si="17"/>
        <v>3</v>
      </c>
      <c r="F149" s="32" t="str">
        <f t="shared" si="18"/>
        <v>03</v>
      </c>
      <c r="G149" s="32" t="str">
        <f t="shared" si="19"/>
        <v>0</v>
      </c>
      <c r="H149" s="32" t="str">
        <f t="shared" si="20"/>
        <v>0</v>
      </c>
      <c r="I149" s="32">
        <v>12130300</v>
      </c>
      <c r="J149" s="33" t="s">
        <v>1067</v>
      </c>
      <c r="K149" s="33" t="s">
        <v>1227</v>
      </c>
      <c r="L149" s="34" t="s">
        <v>1455</v>
      </c>
    </row>
    <row r="150" spans="2:12" ht="30" x14ac:dyDescent="0.25">
      <c r="B150" s="19" t="str">
        <f t="shared" si="14"/>
        <v>1</v>
      </c>
      <c r="C150" s="19" t="str">
        <f t="shared" si="15"/>
        <v>2</v>
      </c>
      <c r="D150" s="19" t="str">
        <f t="shared" si="16"/>
        <v>1</v>
      </c>
      <c r="E150" s="19" t="str">
        <f t="shared" si="17"/>
        <v>3</v>
      </c>
      <c r="F150" s="19" t="str">
        <f t="shared" si="18"/>
        <v>03</v>
      </c>
      <c r="G150" s="19" t="str">
        <f t="shared" si="19"/>
        <v>1</v>
      </c>
      <c r="H150" s="19" t="str">
        <f t="shared" si="20"/>
        <v>0</v>
      </c>
      <c r="I150" s="19">
        <v>12130310</v>
      </c>
      <c r="J150" s="18" t="s">
        <v>1067</v>
      </c>
      <c r="K150" s="18" t="s">
        <v>1227</v>
      </c>
      <c r="L150" s="21" t="s">
        <v>1455</v>
      </c>
    </row>
    <row r="151" spans="2:12" ht="30" x14ac:dyDescent="0.25">
      <c r="B151" s="2" t="str">
        <f t="shared" si="14"/>
        <v>1</v>
      </c>
      <c r="C151" s="2" t="str">
        <f t="shared" si="15"/>
        <v>2</v>
      </c>
      <c r="D151" s="2" t="str">
        <f t="shared" si="16"/>
        <v>1</v>
      </c>
      <c r="E151" s="2" t="str">
        <f t="shared" si="17"/>
        <v>3</v>
      </c>
      <c r="F151" s="2" t="str">
        <f t="shared" si="18"/>
        <v>49</v>
      </c>
      <c r="G151" s="2" t="str">
        <f t="shared" si="19"/>
        <v>0</v>
      </c>
      <c r="H151" s="2" t="str">
        <f t="shared" si="20"/>
        <v>0</v>
      </c>
      <c r="I151" s="2">
        <v>12134900</v>
      </c>
      <c r="J151" s="3" t="s">
        <v>1068</v>
      </c>
      <c r="K151" s="3" t="s">
        <v>1228</v>
      </c>
      <c r="L151" s="3"/>
    </row>
    <row r="152" spans="2:12" ht="45" x14ac:dyDescent="0.25">
      <c r="B152" s="7" t="str">
        <f t="shared" si="14"/>
        <v>1</v>
      </c>
      <c r="C152" s="7" t="str">
        <f t="shared" si="15"/>
        <v>2</v>
      </c>
      <c r="D152" s="7" t="str">
        <f t="shared" si="16"/>
        <v>1</v>
      </c>
      <c r="E152" s="7" t="str">
        <f t="shared" si="17"/>
        <v>3</v>
      </c>
      <c r="F152" s="7" t="str">
        <f t="shared" si="18"/>
        <v>49</v>
      </c>
      <c r="G152" s="7" t="str">
        <f t="shared" si="19"/>
        <v>1</v>
      </c>
      <c r="H152" s="7" t="str">
        <f t="shared" si="20"/>
        <v>0</v>
      </c>
      <c r="I152" s="7">
        <v>12134910</v>
      </c>
      <c r="J152" s="8" t="s">
        <v>1068</v>
      </c>
      <c r="K152" s="8" t="s">
        <v>1229</v>
      </c>
      <c r="L152" s="8"/>
    </row>
    <row r="153" spans="2:12" ht="45" x14ac:dyDescent="0.25">
      <c r="B153" s="32" t="str">
        <f t="shared" si="14"/>
        <v>1</v>
      </c>
      <c r="C153" s="32" t="str">
        <f t="shared" si="15"/>
        <v>2</v>
      </c>
      <c r="D153" s="32" t="str">
        <f t="shared" si="16"/>
        <v>1</v>
      </c>
      <c r="E153" s="32" t="str">
        <f t="shared" si="17"/>
        <v>3</v>
      </c>
      <c r="F153" s="32" t="str">
        <f t="shared" si="18"/>
        <v>99</v>
      </c>
      <c r="G153" s="32" t="str">
        <f t="shared" si="19"/>
        <v>0</v>
      </c>
      <c r="H153" s="32" t="str">
        <f t="shared" si="20"/>
        <v>0</v>
      </c>
      <c r="I153" s="32">
        <v>12139900</v>
      </c>
      <c r="J153" s="33" t="s">
        <v>1069</v>
      </c>
      <c r="K153" s="33" t="s">
        <v>1230</v>
      </c>
      <c r="L153" s="34" t="s">
        <v>1455</v>
      </c>
    </row>
    <row r="154" spans="2:12" ht="45" x14ac:dyDescent="0.25">
      <c r="B154" s="19" t="str">
        <f t="shared" si="14"/>
        <v>1</v>
      </c>
      <c r="C154" s="19" t="str">
        <f t="shared" si="15"/>
        <v>2</v>
      </c>
      <c r="D154" s="19" t="str">
        <f t="shared" si="16"/>
        <v>1</v>
      </c>
      <c r="E154" s="19" t="str">
        <f t="shared" si="17"/>
        <v>3</v>
      </c>
      <c r="F154" s="19" t="str">
        <f t="shared" si="18"/>
        <v>99</v>
      </c>
      <c r="G154" s="19" t="str">
        <f t="shared" si="19"/>
        <v>1</v>
      </c>
      <c r="H154" s="19" t="str">
        <f t="shared" si="20"/>
        <v>0</v>
      </c>
      <c r="I154" s="19">
        <v>12139910</v>
      </c>
      <c r="J154" s="18" t="s">
        <v>1069</v>
      </c>
      <c r="K154" s="18" t="s">
        <v>1230</v>
      </c>
      <c r="L154" s="21" t="s">
        <v>1455</v>
      </c>
    </row>
    <row r="155" spans="2:12" ht="30" x14ac:dyDescent="0.25">
      <c r="B155" s="17" t="str">
        <f t="shared" si="14"/>
        <v>1</v>
      </c>
      <c r="C155" s="17" t="str">
        <f t="shared" si="15"/>
        <v>2</v>
      </c>
      <c r="D155" s="17" t="str">
        <f t="shared" si="16"/>
        <v>1</v>
      </c>
      <c r="E155" s="17" t="str">
        <f t="shared" si="17"/>
        <v>4</v>
      </c>
      <c r="F155" s="17" t="str">
        <f t="shared" si="18"/>
        <v>00</v>
      </c>
      <c r="G155" s="17" t="str">
        <f t="shared" si="19"/>
        <v>0</v>
      </c>
      <c r="H155" s="17" t="str">
        <f t="shared" si="20"/>
        <v>0</v>
      </c>
      <c r="I155" s="17">
        <v>12140000</v>
      </c>
      <c r="J155" s="16" t="s">
        <v>385</v>
      </c>
      <c r="K155" s="16" t="s">
        <v>1231</v>
      </c>
      <c r="L155" s="16"/>
    </row>
    <row r="156" spans="2:12" ht="120" x14ac:dyDescent="0.25">
      <c r="B156" s="35" t="str">
        <f t="shared" si="14"/>
        <v>1</v>
      </c>
      <c r="C156" s="35" t="str">
        <f t="shared" si="15"/>
        <v>2</v>
      </c>
      <c r="D156" s="35" t="str">
        <f t="shared" si="16"/>
        <v>1</v>
      </c>
      <c r="E156" s="35" t="str">
        <f t="shared" si="17"/>
        <v>4</v>
      </c>
      <c r="F156" s="35" t="str">
        <f t="shared" si="18"/>
        <v>01</v>
      </c>
      <c r="G156" s="35" t="str">
        <f t="shared" si="19"/>
        <v>0</v>
      </c>
      <c r="H156" s="35" t="str">
        <f t="shared" si="20"/>
        <v>0</v>
      </c>
      <c r="I156" s="35">
        <v>12140100</v>
      </c>
      <c r="J156" s="36" t="s">
        <v>1486</v>
      </c>
      <c r="K156" s="36" t="s">
        <v>1488</v>
      </c>
      <c r="L156" s="36" t="s">
        <v>1455</v>
      </c>
    </row>
    <row r="157" spans="2:12" ht="165" x14ac:dyDescent="0.25">
      <c r="B157" s="37" t="str">
        <f t="shared" si="14"/>
        <v>1</v>
      </c>
      <c r="C157" s="37" t="str">
        <f t="shared" si="15"/>
        <v>2</v>
      </c>
      <c r="D157" s="37" t="str">
        <f t="shared" si="16"/>
        <v>1</v>
      </c>
      <c r="E157" s="37" t="str">
        <f t="shared" si="17"/>
        <v>4</v>
      </c>
      <c r="F157" s="37" t="str">
        <f t="shared" si="18"/>
        <v>01</v>
      </c>
      <c r="G157" s="37" t="str">
        <f t="shared" si="19"/>
        <v>1</v>
      </c>
      <c r="H157" s="37" t="str">
        <f t="shared" si="20"/>
        <v>0</v>
      </c>
      <c r="I157" s="37">
        <v>12140110</v>
      </c>
      <c r="J157" s="38" t="s">
        <v>1487</v>
      </c>
      <c r="K157" s="38" t="s">
        <v>1489</v>
      </c>
      <c r="L157" s="38" t="s">
        <v>1455</v>
      </c>
    </row>
    <row r="158" spans="2:12" ht="120" x14ac:dyDescent="0.25">
      <c r="B158" s="37" t="str">
        <f t="shared" si="14"/>
        <v>1</v>
      </c>
      <c r="C158" s="37" t="str">
        <f t="shared" si="15"/>
        <v>2</v>
      </c>
      <c r="D158" s="37" t="str">
        <f t="shared" si="16"/>
        <v>1</v>
      </c>
      <c r="E158" s="37" t="str">
        <f t="shared" si="17"/>
        <v>4</v>
      </c>
      <c r="F158" s="37" t="str">
        <f t="shared" si="18"/>
        <v>01</v>
      </c>
      <c r="G158" s="37" t="str">
        <f t="shared" si="19"/>
        <v>2</v>
      </c>
      <c r="H158" s="37" t="str">
        <f t="shared" si="20"/>
        <v>0</v>
      </c>
      <c r="I158" s="37">
        <v>12140120</v>
      </c>
      <c r="J158" s="38" t="s">
        <v>1456</v>
      </c>
      <c r="K158" s="38" t="s">
        <v>1485</v>
      </c>
      <c r="L158" s="38" t="s">
        <v>1455</v>
      </c>
    </row>
    <row r="159" spans="2:12" ht="45" x14ac:dyDescent="0.25">
      <c r="B159" s="35" t="str">
        <f t="shared" si="14"/>
        <v>1</v>
      </c>
      <c r="C159" s="35" t="str">
        <f t="shared" si="15"/>
        <v>2</v>
      </c>
      <c r="D159" s="35" t="str">
        <f t="shared" si="16"/>
        <v>1</v>
      </c>
      <c r="E159" s="35" t="str">
        <f t="shared" si="17"/>
        <v>4</v>
      </c>
      <c r="F159" s="35" t="str">
        <f t="shared" si="18"/>
        <v>02</v>
      </c>
      <c r="G159" s="35" t="str">
        <f t="shared" si="19"/>
        <v>0</v>
      </c>
      <c r="H159" s="35" t="str">
        <f t="shared" si="20"/>
        <v>0</v>
      </c>
      <c r="I159" s="35">
        <v>12140200</v>
      </c>
      <c r="J159" s="36" t="s">
        <v>1490</v>
      </c>
      <c r="K159" s="36" t="s">
        <v>1491</v>
      </c>
      <c r="L159" s="36" t="s">
        <v>1455</v>
      </c>
    </row>
    <row r="160" spans="2:12" ht="45" x14ac:dyDescent="0.25">
      <c r="B160" s="37" t="str">
        <f t="shared" si="14"/>
        <v>1</v>
      </c>
      <c r="C160" s="37" t="str">
        <f t="shared" si="15"/>
        <v>2</v>
      </c>
      <c r="D160" s="37" t="str">
        <f t="shared" si="16"/>
        <v>1</v>
      </c>
      <c r="E160" s="37" t="str">
        <f t="shared" si="17"/>
        <v>4</v>
      </c>
      <c r="F160" s="37" t="str">
        <f t="shared" si="18"/>
        <v>02</v>
      </c>
      <c r="G160" s="37" t="str">
        <f t="shared" si="19"/>
        <v>1</v>
      </c>
      <c r="H160" s="37" t="str">
        <f t="shared" si="20"/>
        <v>0</v>
      </c>
      <c r="I160" s="37">
        <v>12140210</v>
      </c>
      <c r="J160" s="38" t="s">
        <v>1490</v>
      </c>
      <c r="K160" s="38" t="s">
        <v>1492</v>
      </c>
      <c r="L160" s="38" t="s">
        <v>1455</v>
      </c>
    </row>
    <row r="161" spans="2:12" ht="30" x14ac:dyDescent="0.25">
      <c r="B161" s="32" t="str">
        <f t="shared" si="14"/>
        <v>1</v>
      </c>
      <c r="C161" s="32" t="str">
        <f t="shared" si="15"/>
        <v>2</v>
      </c>
      <c r="D161" s="32" t="str">
        <f t="shared" si="16"/>
        <v>1</v>
      </c>
      <c r="E161" s="32" t="str">
        <f t="shared" si="17"/>
        <v>4</v>
      </c>
      <c r="F161" s="32" t="str">
        <f t="shared" si="18"/>
        <v>03</v>
      </c>
      <c r="G161" s="32" t="str">
        <f t="shared" si="19"/>
        <v>0</v>
      </c>
      <c r="H161" s="32" t="str">
        <f t="shared" si="20"/>
        <v>0</v>
      </c>
      <c r="I161" s="32">
        <v>12140300</v>
      </c>
      <c r="J161" s="33" t="s">
        <v>1070</v>
      </c>
      <c r="K161" s="33" t="s">
        <v>1232</v>
      </c>
      <c r="L161" s="34" t="s">
        <v>1455</v>
      </c>
    </row>
    <row r="162" spans="2:12" ht="30" x14ac:dyDescent="0.25">
      <c r="B162" s="19" t="str">
        <f t="shared" si="14"/>
        <v>1</v>
      </c>
      <c r="C162" s="19" t="str">
        <f t="shared" si="15"/>
        <v>2</v>
      </c>
      <c r="D162" s="19" t="str">
        <f t="shared" si="16"/>
        <v>1</v>
      </c>
      <c r="E162" s="19" t="str">
        <f t="shared" si="17"/>
        <v>4</v>
      </c>
      <c r="F162" s="19" t="str">
        <f t="shared" si="18"/>
        <v>03</v>
      </c>
      <c r="G162" s="19" t="str">
        <f t="shared" si="19"/>
        <v>1</v>
      </c>
      <c r="H162" s="19" t="str">
        <f t="shared" si="20"/>
        <v>0</v>
      </c>
      <c r="I162" s="19">
        <v>12140310</v>
      </c>
      <c r="J162" s="18" t="s">
        <v>1071</v>
      </c>
      <c r="K162" s="18" t="s">
        <v>1233</v>
      </c>
      <c r="L162" s="21" t="s">
        <v>1455</v>
      </c>
    </row>
    <row r="163" spans="2:12" ht="30" x14ac:dyDescent="0.25">
      <c r="B163" s="19" t="str">
        <f t="shared" si="14"/>
        <v>1</v>
      </c>
      <c r="C163" s="19" t="str">
        <f t="shared" si="15"/>
        <v>2</v>
      </c>
      <c r="D163" s="19" t="str">
        <f t="shared" si="16"/>
        <v>1</v>
      </c>
      <c r="E163" s="19" t="str">
        <f t="shared" si="17"/>
        <v>4</v>
      </c>
      <c r="F163" s="19" t="str">
        <f t="shared" si="18"/>
        <v>03</v>
      </c>
      <c r="G163" s="19" t="str">
        <f t="shared" si="19"/>
        <v>2</v>
      </c>
      <c r="H163" s="19" t="str">
        <f t="shared" si="20"/>
        <v>0</v>
      </c>
      <c r="I163" s="19">
        <v>12140320</v>
      </c>
      <c r="J163" s="18" t="s">
        <v>1072</v>
      </c>
      <c r="K163" s="18" t="s">
        <v>1234</v>
      </c>
      <c r="L163" s="21" t="s">
        <v>1455</v>
      </c>
    </row>
    <row r="164" spans="2:12" ht="30" x14ac:dyDescent="0.25">
      <c r="B164" s="19" t="str">
        <f t="shared" si="14"/>
        <v>1</v>
      </c>
      <c r="C164" s="19" t="str">
        <f t="shared" si="15"/>
        <v>2</v>
      </c>
      <c r="D164" s="19" t="str">
        <f t="shared" si="16"/>
        <v>1</v>
      </c>
      <c r="E164" s="19" t="str">
        <f t="shared" si="17"/>
        <v>4</v>
      </c>
      <c r="F164" s="19" t="str">
        <f t="shared" si="18"/>
        <v>03</v>
      </c>
      <c r="G164" s="19" t="str">
        <f t="shared" si="19"/>
        <v>3</v>
      </c>
      <c r="H164" s="19" t="str">
        <f t="shared" si="20"/>
        <v>0</v>
      </c>
      <c r="I164" s="19">
        <v>12140330</v>
      </c>
      <c r="J164" s="18" t="s">
        <v>1073</v>
      </c>
      <c r="K164" s="18" t="s">
        <v>1235</v>
      </c>
      <c r="L164" s="21" t="s">
        <v>1455</v>
      </c>
    </row>
    <row r="165" spans="2:12" ht="30" x14ac:dyDescent="0.25">
      <c r="B165" s="19" t="str">
        <f t="shared" si="14"/>
        <v>1</v>
      </c>
      <c r="C165" s="19" t="str">
        <f t="shared" si="15"/>
        <v>2</v>
      </c>
      <c r="D165" s="19" t="str">
        <f t="shared" si="16"/>
        <v>1</v>
      </c>
      <c r="E165" s="19" t="str">
        <f t="shared" si="17"/>
        <v>4</v>
      </c>
      <c r="F165" s="19" t="str">
        <f t="shared" si="18"/>
        <v>03</v>
      </c>
      <c r="G165" s="19" t="str">
        <f t="shared" si="19"/>
        <v>4</v>
      </c>
      <c r="H165" s="19" t="str">
        <f t="shared" si="20"/>
        <v>0</v>
      </c>
      <c r="I165" s="19">
        <v>12140340</v>
      </c>
      <c r="J165" s="18" t="s">
        <v>1074</v>
      </c>
      <c r="K165" s="18" t="s">
        <v>1236</v>
      </c>
      <c r="L165" s="21" t="s">
        <v>1455</v>
      </c>
    </row>
    <row r="166" spans="2:12" ht="30" x14ac:dyDescent="0.25">
      <c r="B166" s="19" t="str">
        <f t="shared" si="14"/>
        <v>1</v>
      </c>
      <c r="C166" s="19" t="str">
        <f t="shared" si="15"/>
        <v>2</v>
      </c>
      <c r="D166" s="19" t="str">
        <f t="shared" si="16"/>
        <v>1</v>
      </c>
      <c r="E166" s="19" t="str">
        <f t="shared" si="17"/>
        <v>4</v>
      </c>
      <c r="F166" s="19" t="str">
        <f t="shared" si="18"/>
        <v>03</v>
      </c>
      <c r="G166" s="19" t="str">
        <f t="shared" si="19"/>
        <v>5</v>
      </c>
      <c r="H166" s="19" t="str">
        <f t="shared" si="20"/>
        <v>0</v>
      </c>
      <c r="I166" s="19">
        <v>12140350</v>
      </c>
      <c r="J166" s="18" t="s">
        <v>1075</v>
      </c>
      <c r="K166" s="18" t="s">
        <v>1237</v>
      </c>
      <c r="L166" s="21" t="s">
        <v>1455</v>
      </c>
    </row>
    <row r="167" spans="2:12" ht="30" x14ac:dyDescent="0.25">
      <c r="B167" s="32" t="str">
        <f t="shared" si="14"/>
        <v>1</v>
      </c>
      <c r="C167" s="32" t="str">
        <f t="shared" si="15"/>
        <v>2</v>
      </c>
      <c r="D167" s="32" t="str">
        <f t="shared" si="16"/>
        <v>1</v>
      </c>
      <c r="E167" s="32" t="str">
        <f t="shared" si="17"/>
        <v>4</v>
      </c>
      <c r="F167" s="32" t="str">
        <f t="shared" si="18"/>
        <v>04</v>
      </c>
      <c r="G167" s="32" t="str">
        <f t="shared" si="19"/>
        <v>0</v>
      </c>
      <c r="H167" s="32" t="str">
        <f t="shared" si="20"/>
        <v>0</v>
      </c>
      <c r="I167" s="32">
        <v>12140400</v>
      </c>
      <c r="J167" s="33" t="s">
        <v>1076</v>
      </c>
      <c r="K167" s="33" t="s">
        <v>1238</v>
      </c>
      <c r="L167" s="34" t="s">
        <v>1455</v>
      </c>
    </row>
    <row r="168" spans="2:12" ht="30" x14ac:dyDescent="0.25">
      <c r="B168" s="19" t="str">
        <f t="shared" si="14"/>
        <v>1</v>
      </c>
      <c r="C168" s="19" t="str">
        <f t="shared" si="15"/>
        <v>2</v>
      </c>
      <c r="D168" s="19" t="str">
        <f t="shared" si="16"/>
        <v>1</v>
      </c>
      <c r="E168" s="19" t="str">
        <f t="shared" si="17"/>
        <v>4</v>
      </c>
      <c r="F168" s="19" t="str">
        <f t="shared" si="18"/>
        <v>04</v>
      </c>
      <c r="G168" s="19" t="str">
        <f t="shared" si="19"/>
        <v>1</v>
      </c>
      <c r="H168" s="19" t="str">
        <f t="shared" si="20"/>
        <v>0</v>
      </c>
      <c r="I168" s="19">
        <v>12140410</v>
      </c>
      <c r="J168" s="18" t="s">
        <v>1076</v>
      </c>
      <c r="K168" s="18" t="s">
        <v>1238</v>
      </c>
      <c r="L168" s="21" t="s">
        <v>1455</v>
      </c>
    </row>
    <row r="169" spans="2:12" ht="30" x14ac:dyDescent="0.25">
      <c r="B169" s="2" t="str">
        <f t="shared" si="14"/>
        <v>1</v>
      </c>
      <c r="C169" s="2" t="str">
        <f t="shared" si="15"/>
        <v>2</v>
      </c>
      <c r="D169" s="2" t="str">
        <f t="shared" si="16"/>
        <v>1</v>
      </c>
      <c r="E169" s="2" t="str">
        <f t="shared" si="17"/>
        <v>4</v>
      </c>
      <c r="F169" s="2" t="str">
        <f t="shared" si="18"/>
        <v>49</v>
      </c>
      <c r="G169" s="2" t="str">
        <f t="shared" si="19"/>
        <v>0</v>
      </c>
      <c r="H169" s="2" t="str">
        <f t="shared" si="20"/>
        <v>0</v>
      </c>
      <c r="I169" s="2">
        <v>12144900</v>
      </c>
      <c r="J169" s="3" t="s">
        <v>1077</v>
      </c>
      <c r="K169" s="3" t="s">
        <v>1239</v>
      </c>
      <c r="L169" s="3"/>
    </row>
    <row r="170" spans="2:12" ht="30" x14ac:dyDescent="0.25">
      <c r="B170" s="7" t="str">
        <f t="shared" si="14"/>
        <v>1</v>
      </c>
      <c r="C170" s="7" t="str">
        <f t="shared" si="15"/>
        <v>2</v>
      </c>
      <c r="D170" s="7" t="str">
        <f t="shared" si="16"/>
        <v>1</v>
      </c>
      <c r="E170" s="7" t="str">
        <f t="shared" si="17"/>
        <v>4</v>
      </c>
      <c r="F170" s="7" t="str">
        <f t="shared" si="18"/>
        <v>49</v>
      </c>
      <c r="G170" s="7" t="str">
        <f t="shared" si="19"/>
        <v>1</v>
      </c>
      <c r="H170" s="7" t="str">
        <f t="shared" si="20"/>
        <v>0</v>
      </c>
      <c r="I170" s="7">
        <v>12144910</v>
      </c>
      <c r="J170" s="8" t="s">
        <v>1077</v>
      </c>
      <c r="K170" s="8" t="s">
        <v>1239</v>
      </c>
      <c r="L170" s="8"/>
    </row>
    <row r="171" spans="2:12" ht="45" x14ac:dyDescent="0.25">
      <c r="B171" s="17" t="str">
        <f t="shared" si="14"/>
        <v>1</v>
      </c>
      <c r="C171" s="17" t="str">
        <f t="shared" si="15"/>
        <v>2</v>
      </c>
      <c r="D171" s="17" t="str">
        <f t="shared" si="16"/>
        <v>1</v>
      </c>
      <c r="E171" s="17" t="str">
        <f t="shared" si="17"/>
        <v>5</v>
      </c>
      <c r="F171" s="17" t="str">
        <f t="shared" si="18"/>
        <v>00</v>
      </c>
      <c r="G171" s="17" t="str">
        <f t="shared" si="19"/>
        <v>0</v>
      </c>
      <c r="H171" s="17" t="str">
        <f t="shared" si="20"/>
        <v>0</v>
      </c>
      <c r="I171" s="17">
        <v>12150000</v>
      </c>
      <c r="J171" s="16" t="s">
        <v>1078</v>
      </c>
      <c r="K171" s="16" t="s">
        <v>1363</v>
      </c>
      <c r="L171" s="16"/>
    </row>
    <row r="172" spans="2:12" ht="30" x14ac:dyDescent="0.25">
      <c r="B172" s="2" t="str">
        <f t="shared" si="14"/>
        <v>1</v>
      </c>
      <c r="C172" s="2" t="str">
        <f t="shared" si="15"/>
        <v>2</v>
      </c>
      <c r="D172" s="2" t="str">
        <f t="shared" si="16"/>
        <v>1</v>
      </c>
      <c r="E172" s="2" t="str">
        <f t="shared" si="17"/>
        <v>5</v>
      </c>
      <c r="F172" s="2" t="str">
        <f t="shared" si="18"/>
        <v>01</v>
      </c>
      <c r="G172" s="2" t="str">
        <f t="shared" si="19"/>
        <v>0</v>
      </c>
      <c r="H172" s="2" t="str">
        <f t="shared" si="20"/>
        <v>0</v>
      </c>
      <c r="I172" s="2">
        <v>12150100</v>
      </c>
      <c r="J172" s="3" t="s">
        <v>1081</v>
      </c>
      <c r="K172" s="3" t="s">
        <v>1364</v>
      </c>
      <c r="L172" s="3"/>
    </row>
    <row r="173" spans="2:12" ht="30" x14ac:dyDescent="0.25">
      <c r="B173" s="7" t="str">
        <f t="shared" si="14"/>
        <v>1</v>
      </c>
      <c r="C173" s="7" t="str">
        <f t="shared" si="15"/>
        <v>2</v>
      </c>
      <c r="D173" s="7" t="str">
        <f t="shared" si="16"/>
        <v>1</v>
      </c>
      <c r="E173" s="7" t="str">
        <f t="shared" si="17"/>
        <v>5</v>
      </c>
      <c r="F173" s="7" t="str">
        <f t="shared" si="18"/>
        <v>01</v>
      </c>
      <c r="G173" s="7" t="str">
        <f t="shared" si="19"/>
        <v>1</v>
      </c>
      <c r="H173" s="7" t="str">
        <f t="shared" si="20"/>
        <v>0</v>
      </c>
      <c r="I173" s="7">
        <v>12150110</v>
      </c>
      <c r="J173" s="8" t="s">
        <v>1082</v>
      </c>
      <c r="K173" s="8" t="s">
        <v>1365</v>
      </c>
      <c r="L173" s="8"/>
    </row>
    <row r="174" spans="2:12" ht="30" x14ac:dyDescent="0.25">
      <c r="B174" s="7" t="str">
        <f t="shared" si="14"/>
        <v>1</v>
      </c>
      <c r="C174" s="7" t="str">
        <f t="shared" si="15"/>
        <v>2</v>
      </c>
      <c r="D174" s="7" t="str">
        <f t="shared" si="16"/>
        <v>1</v>
      </c>
      <c r="E174" s="7" t="str">
        <f t="shared" si="17"/>
        <v>5</v>
      </c>
      <c r="F174" s="7" t="str">
        <f t="shared" si="18"/>
        <v>01</v>
      </c>
      <c r="G174" s="7" t="str">
        <f t="shared" si="19"/>
        <v>2</v>
      </c>
      <c r="H174" s="7" t="str">
        <f t="shared" si="20"/>
        <v>0</v>
      </c>
      <c r="I174" s="7">
        <v>12150120</v>
      </c>
      <c r="J174" s="8" t="s">
        <v>1083</v>
      </c>
      <c r="K174" s="8" t="s">
        <v>1366</v>
      </c>
      <c r="L174" s="8"/>
    </row>
    <row r="175" spans="2:12" ht="30" x14ac:dyDescent="0.25">
      <c r="B175" s="7" t="str">
        <f t="shared" si="14"/>
        <v>1</v>
      </c>
      <c r="C175" s="7" t="str">
        <f t="shared" si="15"/>
        <v>2</v>
      </c>
      <c r="D175" s="7" t="str">
        <f t="shared" si="16"/>
        <v>1</v>
      </c>
      <c r="E175" s="7" t="str">
        <f t="shared" si="17"/>
        <v>5</v>
      </c>
      <c r="F175" s="7" t="str">
        <f t="shared" si="18"/>
        <v>01</v>
      </c>
      <c r="G175" s="7" t="str">
        <f t="shared" si="19"/>
        <v>3</v>
      </c>
      <c r="H175" s="7" t="str">
        <f t="shared" si="20"/>
        <v>0</v>
      </c>
      <c r="I175" s="7">
        <v>12150130</v>
      </c>
      <c r="J175" s="8" t="s">
        <v>1084</v>
      </c>
      <c r="K175" s="8" t="s">
        <v>1367</v>
      </c>
      <c r="L175" s="8"/>
    </row>
    <row r="176" spans="2:12" ht="45" x14ac:dyDescent="0.25">
      <c r="B176" s="7" t="str">
        <f t="shared" si="14"/>
        <v>1</v>
      </c>
      <c r="C176" s="7" t="str">
        <f t="shared" si="15"/>
        <v>2</v>
      </c>
      <c r="D176" s="7" t="str">
        <f t="shared" si="16"/>
        <v>1</v>
      </c>
      <c r="E176" s="7" t="str">
        <f t="shared" si="17"/>
        <v>5</v>
      </c>
      <c r="F176" s="7" t="str">
        <f t="shared" si="18"/>
        <v>01</v>
      </c>
      <c r="G176" s="7" t="str">
        <f t="shared" si="19"/>
        <v>4</v>
      </c>
      <c r="H176" s="7" t="str">
        <f t="shared" si="20"/>
        <v>0</v>
      </c>
      <c r="I176" s="7">
        <v>12150140</v>
      </c>
      <c r="J176" s="8" t="s">
        <v>1085</v>
      </c>
      <c r="K176" s="8" t="s">
        <v>1368</v>
      </c>
      <c r="L176" s="8"/>
    </row>
    <row r="177" spans="2:12" ht="45" x14ac:dyDescent="0.25">
      <c r="B177" s="7" t="str">
        <f t="shared" si="14"/>
        <v>1</v>
      </c>
      <c r="C177" s="7" t="str">
        <f t="shared" si="15"/>
        <v>2</v>
      </c>
      <c r="D177" s="7" t="str">
        <f t="shared" si="16"/>
        <v>1</v>
      </c>
      <c r="E177" s="7" t="str">
        <f t="shared" si="17"/>
        <v>5</v>
      </c>
      <c r="F177" s="7" t="str">
        <f t="shared" si="18"/>
        <v>01</v>
      </c>
      <c r="G177" s="7" t="str">
        <f t="shared" si="19"/>
        <v>5</v>
      </c>
      <c r="H177" s="7" t="str">
        <f t="shared" si="20"/>
        <v>0</v>
      </c>
      <c r="I177" s="7">
        <v>12150150</v>
      </c>
      <c r="J177" s="8" t="s">
        <v>1086</v>
      </c>
      <c r="K177" s="8" t="s">
        <v>1369</v>
      </c>
      <c r="L177" s="8"/>
    </row>
    <row r="178" spans="2:12" ht="45" x14ac:dyDescent="0.25">
      <c r="B178" s="7" t="str">
        <f t="shared" si="14"/>
        <v>1</v>
      </c>
      <c r="C178" s="7" t="str">
        <f t="shared" si="15"/>
        <v>2</v>
      </c>
      <c r="D178" s="7" t="str">
        <f t="shared" si="16"/>
        <v>1</v>
      </c>
      <c r="E178" s="7" t="str">
        <f t="shared" si="17"/>
        <v>5</v>
      </c>
      <c r="F178" s="7" t="str">
        <f t="shared" si="18"/>
        <v>01</v>
      </c>
      <c r="G178" s="7" t="str">
        <f t="shared" si="19"/>
        <v>6</v>
      </c>
      <c r="H178" s="7" t="str">
        <f t="shared" si="20"/>
        <v>0</v>
      </c>
      <c r="I178" s="7">
        <v>12150160</v>
      </c>
      <c r="J178" s="8" t="s">
        <v>1087</v>
      </c>
      <c r="K178" s="8" t="s">
        <v>1370</v>
      </c>
      <c r="L178" s="8"/>
    </row>
    <row r="179" spans="2:12" ht="30" x14ac:dyDescent="0.25">
      <c r="B179" s="2" t="str">
        <f t="shared" si="14"/>
        <v>1</v>
      </c>
      <c r="C179" s="2" t="str">
        <f t="shared" si="15"/>
        <v>2</v>
      </c>
      <c r="D179" s="2" t="str">
        <f t="shared" si="16"/>
        <v>1</v>
      </c>
      <c r="E179" s="2" t="str">
        <f t="shared" si="17"/>
        <v>5</v>
      </c>
      <c r="F179" s="2" t="str">
        <f t="shared" si="18"/>
        <v>02</v>
      </c>
      <c r="G179" s="2" t="str">
        <f t="shared" si="19"/>
        <v>0</v>
      </c>
      <c r="H179" s="2" t="str">
        <f t="shared" si="20"/>
        <v>0</v>
      </c>
      <c r="I179" s="2">
        <v>12150200</v>
      </c>
      <c r="J179" s="3" t="s">
        <v>1088</v>
      </c>
      <c r="K179" s="3" t="s">
        <v>1342</v>
      </c>
      <c r="L179" s="3"/>
    </row>
    <row r="180" spans="2:12" ht="45" x14ac:dyDescent="0.25">
      <c r="B180" s="7" t="str">
        <f t="shared" si="14"/>
        <v>1</v>
      </c>
      <c r="C180" s="7" t="str">
        <f t="shared" si="15"/>
        <v>2</v>
      </c>
      <c r="D180" s="7" t="str">
        <f t="shared" si="16"/>
        <v>1</v>
      </c>
      <c r="E180" s="7" t="str">
        <f t="shared" si="17"/>
        <v>5</v>
      </c>
      <c r="F180" s="7" t="str">
        <f t="shared" si="18"/>
        <v>02</v>
      </c>
      <c r="G180" s="7" t="str">
        <f t="shared" si="19"/>
        <v>1</v>
      </c>
      <c r="H180" s="7" t="str">
        <f t="shared" si="20"/>
        <v>0</v>
      </c>
      <c r="I180" s="7">
        <v>12150210</v>
      </c>
      <c r="J180" s="8" t="s">
        <v>1089</v>
      </c>
      <c r="K180" s="8" t="s">
        <v>1354</v>
      </c>
      <c r="L180" s="8"/>
    </row>
    <row r="181" spans="2:12" ht="45" x14ac:dyDescent="0.25">
      <c r="B181" s="7" t="str">
        <f t="shared" si="14"/>
        <v>1</v>
      </c>
      <c r="C181" s="7" t="str">
        <f t="shared" si="15"/>
        <v>2</v>
      </c>
      <c r="D181" s="7" t="str">
        <f t="shared" si="16"/>
        <v>1</v>
      </c>
      <c r="E181" s="7" t="str">
        <f t="shared" si="17"/>
        <v>5</v>
      </c>
      <c r="F181" s="7" t="str">
        <f t="shared" si="18"/>
        <v>02</v>
      </c>
      <c r="G181" s="7" t="str">
        <f t="shared" si="19"/>
        <v>2</v>
      </c>
      <c r="H181" s="7" t="str">
        <f t="shared" si="20"/>
        <v>0</v>
      </c>
      <c r="I181" s="7">
        <v>12150220</v>
      </c>
      <c r="J181" s="8" t="s">
        <v>1090</v>
      </c>
      <c r="K181" s="8" t="s">
        <v>1355</v>
      </c>
      <c r="L181" s="8"/>
    </row>
    <row r="182" spans="2:12" ht="30" x14ac:dyDescent="0.25">
      <c r="B182" s="2" t="str">
        <f t="shared" si="14"/>
        <v>1</v>
      </c>
      <c r="C182" s="2" t="str">
        <f t="shared" si="15"/>
        <v>2</v>
      </c>
      <c r="D182" s="2" t="str">
        <f t="shared" si="16"/>
        <v>1</v>
      </c>
      <c r="E182" s="2" t="str">
        <f t="shared" si="17"/>
        <v>5</v>
      </c>
      <c r="F182" s="2" t="str">
        <f t="shared" si="18"/>
        <v>03</v>
      </c>
      <c r="G182" s="2" t="str">
        <f t="shared" si="19"/>
        <v>0</v>
      </c>
      <c r="H182" s="2" t="str">
        <f t="shared" si="20"/>
        <v>0</v>
      </c>
      <c r="I182" s="2">
        <v>12150300</v>
      </c>
      <c r="J182" s="3" t="s">
        <v>1091</v>
      </c>
      <c r="K182" s="3" t="s">
        <v>1356</v>
      </c>
      <c r="L182" s="3"/>
    </row>
    <row r="183" spans="2:12" ht="30" x14ac:dyDescent="0.25">
      <c r="B183" s="7" t="str">
        <f t="shared" si="14"/>
        <v>1</v>
      </c>
      <c r="C183" s="7" t="str">
        <f t="shared" si="15"/>
        <v>2</v>
      </c>
      <c r="D183" s="7" t="str">
        <f t="shared" si="16"/>
        <v>1</v>
      </c>
      <c r="E183" s="7" t="str">
        <f t="shared" si="17"/>
        <v>5</v>
      </c>
      <c r="F183" s="7" t="str">
        <f t="shared" si="18"/>
        <v>03</v>
      </c>
      <c r="G183" s="7" t="str">
        <f t="shared" si="19"/>
        <v>1</v>
      </c>
      <c r="H183" s="7" t="str">
        <f t="shared" si="20"/>
        <v>0</v>
      </c>
      <c r="I183" s="7">
        <v>12150310</v>
      </c>
      <c r="J183" s="8" t="s">
        <v>1091</v>
      </c>
      <c r="K183" s="8" t="s">
        <v>1356</v>
      </c>
      <c r="L183" s="8"/>
    </row>
    <row r="184" spans="2:12" ht="45.75" customHeight="1" x14ac:dyDescent="0.25">
      <c r="B184" s="17" t="str">
        <f t="shared" si="14"/>
        <v>1</v>
      </c>
      <c r="C184" s="17" t="str">
        <f t="shared" si="15"/>
        <v>2</v>
      </c>
      <c r="D184" s="17" t="str">
        <f t="shared" si="16"/>
        <v>1</v>
      </c>
      <c r="E184" s="17" t="str">
        <f t="shared" si="17"/>
        <v>6</v>
      </c>
      <c r="F184" s="17" t="str">
        <f t="shared" si="18"/>
        <v>00</v>
      </c>
      <c r="G184" s="17" t="str">
        <f t="shared" si="19"/>
        <v>0</v>
      </c>
      <c r="H184" s="17" t="str">
        <f t="shared" si="20"/>
        <v>0</v>
      </c>
      <c r="I184" s="17">
        <v>12160000</v>
      </c>
      <c r="J184" s="16" t="s">
        <v>1092</v>
      </c>
      <c r="K184" s="16" t="s">
        <v>1351</v>
      </c>
      <c r="L184" s="16"/>
    </row>
    <row r="185" spans="2:12" ht="60" x14ac:dyDescent="0.25">
      <c r="B185" s="2" t="str">
        <f t="shared" si="14"/>
        <v>1</v>
      </c>
      <c r="C185" s="2" t="str">
        <f t="shared" si="15"/>
        <v>2</v>
      </c>
      <c r="D185" s="2" t="str">
        <f t="shared" si="16"/>
        <v>1</v>
      </c>
      <c r="E185" s="2" t="str">
        <f t="shared" si="17"/>
        <v>6</v>
      </c>
      <c r="F185" s="2" t="str">
        <f t="shared" si="18"/>
        <v>01</v>
      </c>
      <c r="G185" s="2" t="str">
        <f t="shared" si="19"/>
        <v>0</v>
      </c>
      <c r="H185" s="2" t="str">
        <f t="shared" si="20"/>
        <v>0</v>
      </c>
      <c r="I185" s="2">
        <v>12160100</v>
      </c>
      <c r="J185" s="3" t="s">
        <v>1093</v>
      </c>
      <c r="K185" s="3" t="s">
        <v>1343</v>
      </c>
      <c r="L185" s="3"/>
    </row>
    <row r="186" spans="2:12" ht="60" x14ac:dyDescent="0.25">
      <c r="B186" s="7" t="str">
        <f t="shared" si="14"/>
        <v>1</v>
      </c>
      <c r="C186" s="7" t="str">
        <f t="shared" si="15"/>
        <v>2</v>
      </c>
      <c r="D186" s="7" t="str">
        <f t="shared" si="16"/>
        <v>1</v>
      </c>
      <c r="E186" s="7" t="str">
        <f t="shared" si="17"/>
        <v>6</v>
      </c>
      <c r="F186" s="7" t="str">
        <f t="shared" si="18"/>
        <v>01</v>
      </c>
      <c r="G186" s="7" t="str">
        <f t="shared" si="19"/>
        <v>1</v>
      </c>
      <c r="H186" s="7" t="str">
        <f t="shared" si="20"/>
        <v>0</v>
      </c>
      <c r="I186" s="7">
        <v>12160110</v>
      </c>
      <c r="J186" s="8" t="s">
        <v>1093</v>
      </c>
      <c r="K186" s="8" t="s">
        <v>1343</v>
      </c>
      <c r="L186" s="8"/>
    </row>
    <row r="187" spans="2:12" ht="78" customHeight="1" x14ac:dyDescent="0.25">
      <c r="B187" s="7" t="str">
        <f t="shared" si="14"/>
        <v>1</v>
      </c>
      <c r="C187" s="7" t="str">
        <f t="shared" si="15"/>
        <v>2</v>
      </c>
      <c r="D187" s="7" t="str">
        <f t="shared" si="16"/>
        <v>1</v>
      </c>
      <c r="E187" s="7" t="str">
        <f t="shared" si="17"/>
        <v>6</v>
      </c>
      <c r="F187" s="7" t="str">
        <f t="shared" si="18"/>
        <v>01</v>
      </c>
      <c r="G187" s="7" t="str">
        <f t="shared" si="19"/>
        <v>2</v>
      </c>
      <c r="H187" s="7" t="str">
        <f t="shared" si="20"/>
        <v>0</v>
      </c>
      <c r="I187" s="7">
        <v>12160120</v>
      </c>
      <c r="J187" s="8" t="s">
        <v>1094</v>
      </c>
      <c r="K187" s="8" t="s">
        <v>1350</v>
      </c>
      <c r="L187" s="8"/>
    </row>
    <row r="188" spans="2:12" ht="30" x14ac:dyDescent="0.25">
      <c r="B188" s="2" t="str">
        <f t="shared" si="14"/>
        <v>1</v>
      </c>
      <c r="C188" s="2" t="str">
        <f t="shared" si="15"/>
        <v>2</v>
      </c>
      <c r="D188" s="2" t="str">
        <f t="shared" si="16"/>
        <v>1</v>
      </c>
      <c r="E188" s="2" t="str">
        <f t="shared" si="17"/>
        <v>6</v>
      </c>
      <c r="F188" s="2" t="str">
        <f t="shared" si="18"/>
        <v>02</v>
      </c>
      <c r="G188" s="2" t="str">
        <f t="shared" si="19"/>
        <v>0</v>
      </c>
      <c r="H188" s="2" t="str">
        <f t="shared" si="20"/>
        <v>0</v>
      </c>
      <c r="I188" s="2">
        <v>12160200</v>
      </c>
      <c r="J188" s="3" t="s">
        <v>1095</v>
      </c>
      <c r="K188" s="3" t="s">
        <v>1344</v>
      </c>
      <c r="L188" s="3"/>
    </row>
    <row r="189" spans="2:12" ht="30" x14ac:dyDescent="0.25">
      <c r="B189" s="7" t="str">
        <f t="shared" si="14"/>
        <v>1</v>
      </c>
      <c r="C189" s="7" t="str">
        <f t="shared" si="15"/>
        <v>2</v>
      </c>
      <c r="D189" s="7" t="str">
        <f t="shared" si="16"/>
        <v>1</v>
      </c>
      <c r="E189" s="7" t="str">
        <f t="shared" si="17"/>
        <v>6</v>
      </c>
      <c r="F189" s="7" t="str">
        <f t="shared" si="18"/>
        <v>02</v>
      </c>
      <c r="G189" s="7" t="str">
        <f t="shared" si="19"/>
        <v>1</v>
      </c>
      <c r="H189" s="7" t="str">
        <f t="shared" si="20"/>
        <v>0</v>
      </c>
      <c r="I189" s="7">
        <v>12160210</v>
      </c>
      <c r="J189" s="8" t="s">
        <v>1095</v>
      </c>
      <c r="K189" s="8" t="s">
        <v>1344</v>
      </c>
      <c r="L189" s="8"/>
    </row>
    <row r="190" spans="2:12" ht="51" customHeight="1" x14ac:dyDescent="0.25">
      <c r="B190" s="7" t="str">
        <f t="shared" si="14"/>
        <v>1</v>
      </c>
      <c r="C190" s="7" t="str">
        <f t="shared" si="15"/>
        <v>2</v>
      </c>
      <c r="D190" s="7" t="str">
        <f t="shared" si="16"/>
        <v>1</v>
      </c>
      <c r="E190" s="7" t="str">
        <f t="shared" si="17"/>
        <v>6</v>
      </c>
      <c r="F190" s="7" t="str">
        <f t="shared" si="18"/>
        <v>02</v>
      </c>
      <c r="G190" s="7" t="str">
        <f t="shared" si="19"/>
        <v>2</v>
      </c>
      <c r="H190" s="7" t="str">
        <f t="shared" si="20"/>
        <v>0</v>
      </c>
      <c r="I190" s="7">
        <v>12160220</v>
      </c>
      <c r="J190" s="8" t="s">
        <v>1096</v>
      </c>
      <c r="K190" s="8" t="s">
        <v>1349</v>
      </c>
      <c r="L190" s="8"/>
    </row>
    <row r="191" spans="2:12" ht="51" customHeight="1" x14ac:dyDescent="0.25">
      <c r="B191" s="2" t="str">
        <f t="shared" si="14"/>
        <v>1</v>
      </c>
      <c r="C191" s="2" t="str">
        <f t="shared" si="15"/>
        <v>2</v>
      </c>
      <c r="D191" s="2" t="str">
        <f t="shared" si="16"/>
        <v>1</v>
      </c>
      <c r="E191" s="2" t="str">
        <f t="shared" si="17"/>
        <v>6</v>
      </c>
      <c r="F191" s="2" t="str">
        <f t="shared" si="18"/>
        <v>03</v>
      </c>
      <c r="G191" s="2" t="str">
        <f t="shared" si="19"/>
        <v>0</v>
      </c>
      <c r="H191" s="2" t="str">
        <f t="shared" si="20"/>
        <v>0</v>
      </c>
      <c r="I191" s="2">
        <v>12160300</v>
      </c>
      <c r="J191" s="3" t="s">
        <v>1097</v>
      </c>
      <c r="K191" s="3" t="s">
        <v>1347</v>
      </c>
      <c r="L191" s="3"/>
    </row>
    <row r="192" spans="2:12" ht="51" customHeight="1" x14ac:dyDescent="0.25">
      <c r="B192" s="7" t="str">
        <f t="shared" si="14"/>
        <v>1</v>
      </c>
      <c r="C192" s="7" t="str">
        <f t="shared" si="15"/>
        <v>2</v>
      </c>
      <c r="D192" s="7" t="str">
        <f t="shared" si="16"/>
        <v>1</v>
      </c>
      <c r="E192" s="7" t="str">
        <f t="shared" si="17"/>
        <v>6</v>
      </c>
      <c r="F192" s="7" t="str">
        <f t="shared" si="18"/>
        <v>03</v>
      </c>
      <c r="G192" s="7" t="str">
        <f t="shared" si="19"/>
        <v>1</v>
      </c>
      <c r="H192" s="7" t="str">
        <f t="shared" si="20"/>
        <v>0</v>
      </c>
      <c r="I192" s="7">
        <v>12160310</v>
      </c>
      <c r="J192" s="8" t="s">
        <v>1097</v>
      </c>
      <c r="K192" s="8" t="s">
        <v>1347</v>
      </c>
      <c r="L192" s="8"/>
    </row>
    <row r="193" spans="2:12" ht="60" x14ac:dyDescent="0.25">
      <c r="B193" s="7" t="str">
        <f t="shared" si="14"/>
        <v>1</v>
      </c>
      <c r="C193" s="7" t="str">
        <f t="shared" si="15"/>
        <v>2</v>
      </c>
      <c r="D193" s="7" t="str">
        <f t="shared" si="16"/>
        <v>1</v>
      </c>
      <c r="E193" s="7" t="str">
        <f t="shared" si="17"/>
        <v>6</v>
      </c>
      <c r="F193" s="7" t="str">
        <f t="shared" si="18"/>
        <v>03</v>
      </c>
      <c r="G193" s="7" t="str">
        <f t="shared" si="19"/>
        <v>2</v>
      </c>
      <c r="H193" s="7" t="str">
        <f t="shared" si="20"/>
        <v>0</v>
      </c>
      <c r="I193" s="7">
        <v>12160320</v>
      </c>
      <c r="J193" s="8" t="s">
        <v>1098</v>
      </c>
      <c r="K193" s="8" t="s">
        <v>1348</v>
      </c>
      <c r="L193" s="8"/>
    </row>
    <row r="194" spans="2:12" ht="60" x14ac:dyDescent="0.25">
      <c r="B194" s="2" t="str">
        <f t="shared" si="14"/>
        <v>1</v>
      </c>
      <c r="C194" s="2" t="str">
        <f t="shared" si="15"/>
        <v>2</v>
      </c>
      <c r="D194" s="2" t="str">
        <f t="shared" si="16"/>
        <v>1</v>
      </c>
      <c r="E194" s="2" t="str">
        <f t="shared" si="17"/>
        <v>6</v>
      </c>
      <c r="F194" s="2" t="str">
        <f t="shared" si="18"/>
        <v>04</v>
      </c>
      <c r="G194" s="2" t="str">
        <f t="shared" si="19"/>
        <v>0</v>
      </c>
      <c r="H194" s="2" t="str">
        <f t="shared" si="20"/>
        <v>0</v>
      </c>
      <c r="I194" s="2">
        <v>12160400</v>
      </c>
      <c r="J194" s="3" t="s">
        <v>1099</v>
      </c>
      <c r="K194" s="3" t="s">
        <v>1345</v>
      </c>
      <c r="L194" s="3"/>
    </row>
    <row r="195" spans="2:12" ht="60" x14ac:dyDescent="0.25">
      <c r="B195" s="7" t="str">
        <f t="shared" ref="B195:B258" si="21">MID($I195,1,1)</f>
        <v>1</v>
      </c>
      <c r="C195" s="7" t="str">
        <f t="shared" ref="C195:C258" si="22">MID($I195,2,1)</f>
        <v>2</v>
      </c>
      <c r="D195" s="7" t="str">
        <f t="shared" ref="D195:D258" si="23">MID($I195,3,1)</f>
        <v>1</v>
      </c>
      <c r="E195" s="7" t="str">
        <f t="shared" ref="E195:E258" si="24">MID($I195,4,1)</f>
        <v>6</v>
      </c>
      <c r="F195" s="7" t="str">
        <f t="shared" ref="F195:F258" si="25">MID($I195,5,2)</f>
        <v>04</v>
      </c>
      <c r="G195" s="7" t="str">
        <f t="shared" ref="G195:G258" si="26">MID($I195,7,1)</f>
        <v>1</v>
      </c>
      <c r="H195" s="7" t="str">
        <f t="shared" ref="H195:H258" si="27">MID($I195,8,1)</f>
        <v>0</v>
      </c>
      <c r="I195" s="7">
        <v>12160410</v>
      </c>
      <c r="J195" s="8" t="s">
        <v>1099</v>
      </c>
      <c r="K195" s="8" t="s">
        <v>1345</v>
      </c>
      <c r="L195" s="8"/>
    </row>
    <row r="196" spans="2:12" ht="75" customHeight="1" x14ac:dyDescent="0.25">
      <c r="B196" s="7" t="str">
        <f t="shared" si="21"/>
        <v>1</v>
      </c>
      <c r="C196" s="7" t="str">
        <f t="shared" si="22"/>
        <v>2</v>
      </c>
      <c r="D196" s="7" t="str">
        <f t="shared" si="23"/>
        <v>1</v>
      </c>
      <c r="E196" s="7" t="str">
        <f t="shared" si="24"/>
        <v>6</v>
      </c>
      <c r="F196" s="7" t="str">
        <f t="shared" si="25"/>
        <v>04</v>
      </c>
      <c r="G196" s="7" t="str">
        <f t="shared" si="26"/>
        <v>2</v>
      </c>
      <c r="H196" s="7" t="str">
        <f t="shared" si="27"/>
        <v>0</v>
      </c>
      <c r="I196" s="7">
        <v>12160420</v>
      </c>
      <c r="J196" s="8" t="s">
        <v>1100</v>
      </c>
      <c r="K196" s="8" t="s">
        <v>1346</v>
      </c>
      <c r="L196" s="8"/>
    </row>
    <row r="197" spans="2:12" ht="45" x14ac:dyDescent="0.25">
      <c r="B197" s="17" t="str">
        <f t="shared" si="21"/>
        <v>1</v>
      </c>
      <c r="C197" s="17" t="str">
        <f t="shared" si="22"/>
        <v>2</v>
      </c>
      <c r="D197" s="17" t="str">
        <f t="shared" si="23"/>
        <v>1</v>
      </c>
      <c r="E197" s="17" t="str">
        <f t="shared" si="24"/>
        <v>7</v>
      </c>
      <c r="F197" s="17" t="str">
        <f t="shared" si="25"/>
        <v>00</v>
      </c>
      <c r="G197" s="17" t="str">
        <f t="shared" si="26"/>
        <v>0</v>
      </c>
      <c r="H197" s="17" t="str">
        <f t="shared" si="27"/>
        <v>0</v>
      </c>
      <c r="I197" s="17">
        <v>12170000</v>
      </c>
      <c r="J197" s="16" t="s">
        <v>386</v>
      </c>
      <c r="K197" s="16" t="s">
        <v>1240</v>
      </c>
      <c r="L197" s="16"/>
    </row>
    <row r="198" spans="2:12" x14ac:dyDescent="0.25">
      <c r="B198" s="2" t="str">
        <f t="shared" si="21"/>
        <v>1</v>
      </c>
      <c r="C198" s="2" t="str">
        <f t="shared" si="22"/>
        <v>2</v>
      </c>
      <c r="D198" s="2" t="str">
        <f t="shared" si="23"/>
        <v>1</v>
      </c>
      <c r="E198" s="2" t="str">
        <f t="shared" si="24"/>
        <v>7</v>
      </c>
      <c r="F198" s="2" t="str">
        <f t="shared" si="25"/>
        <v>01</v>
      </c>
      <c r="G198" s="2" t="str">
        <f t="shared" si="26"/>
        <v>0</v>
      </c>
      <c r="H198" s="2" t="str">
        <f t="shared" si="27"/>
        <v>0</v>
      </c>
      <c r="I198" s="2">
        <v>12170100</v>
      </c>
      <c r="J198" s="3" t="s">
        <v>387</v>
      </c>
      <c r="K198" s="3" t="s">
        <v>1241</v>
      </c>
      <c r="L198" s="3"/>
    </row>
    <row r="199" spans="2:12" x14ac:dyDescent="0.25">
      <c r="B199" s="7" t="str">
        <f t="shared" si="21"/>
        <v>1</v>
      </c>
      <c r="C199" s="7" t="str">
        <f t="shared" si="22"/>
        <v>2</v>
      </c>
      <c r="D199" s="7" t="str">
        <f t="shared" si="23"/>
        <v>1</v>
      </c>
      <c r="E199" s="7" t="str">
        <f t="shared" si="24"/>
        <v>7</v>
      </c>
      <c r="F199" s="7" t="str">
        <f t="shared" si="25"/>
        <v>01</v>
      </c>
      <c r="G199" s="7" t="str">
        <f t="shared" si="26"/>
        <v>1</v>
      </c>
      <c r="H199" s="7" t="str">
        <f t="shared" si="27"/>
        <v>0</v>
      </c>
      <c r="I199" s="7">
        <v>12170110</v>
      </c>
      <c r="J199" s="8" t="s">
        <v>387</v>
      </c>
      <c r="K199" s="8" t="s">
        <v>1241</v>
      </c>
      <c r="L199" s="8"/>
    </row>
    <row r="200" spans="2:12" ht="45" x14ac:dyDescent="0.25">
      <c r="B200" s="7" t="str">
        <f t="shared" si="21"/>
        <v>1</v>
      </c>
      <c r="C200" s="7" t="str">
        <f t="shared" si="22"/>
        <v>2</v>
      </c>
      <c r="D200" s="7" t="str">
        <f t="shared" si="23"/>
        <v>1</v>
      </c>
      <c r="E200" s="7" t="str">
        <f t="shared" si="24"/>
        <v>7</v>
      </c>
      <c r="F200" s="7" t="str">
        <f t="shared" si="25"/>
        <v>01</v>
      </c>
      <c r="G200" s="7" t="str">
        <f t="shared" si="26"/>
        <v>2</v>
      </c>
      <c r="H200" s="7" t="str">
        <f t="shared" si="27"/>
        <v>0</v>
      </c>
      <c r="I200" s="7">
        <v>12170120</v>
      </c>
      <c r="J200" s="8" t="s">
        <v>1101</v>
      </c>
      <c r="K200" s="8" t="s">
        <v>1242</v>
      </c>
      <c r="L200" s="8"/>
    </row>
    <row r="201" spans="2:12" x14ac:dyDescent="0.25">
      <c r="B201" s="2" t="str">
        <f t="shared" si="21"/>
        <v>1</v>
      </c>
      <c r="C201" s="2" t="str">
        <f t="shared" si="22"/>
        <v>2</v>
      </c>
      <c r="D201" s="2" t="str">
        <f t="shared" si="23"/>
        <v>1</v>
      </c>
      <c r="E201" s="2" t="str">
        <f t="shared" si="24"/>
        <v>7</v>
      </c>
      <c r="F201" s="2" t="str">
        <f t="shared" si="25"/>
        <v>02</v>
      </c>
      <c r="G201" s="2" t="str">
        <f t="shared" si="26"/>
        <v>0</v>
      </c>
      <c r="H201" s="2" t="str">
        <f t="shared" si="27"/>
        <v>0</v>
      </c>
      <c r="I201" s="2">
        <v>12170200</v>
      </c>
      <c r="J201" s="3" t="s">
        <v>388</v>
      </c>
      <c r="K201" s="3" t="s">
        <v>1243</v>
      </c>
      <c r="L201" s="3"/>
    </row>
    <row r="202" spans="2:12" x14ac:dyDescent="0.25">
      <c r="B202" s="7" t="str">
        <f t="shared" si="21"/>
        <v>1</v>
      </c>
      <c r="C202" s="7" t="str">
        <f t="shared" si="22"/>
        <v>2</v>
      </c>
      <c r="D202" s="7" t="str">
        <f t="shared" si="23"/>
        <v>1</v>
      </c>
      <c r="E202" s="7" t="str">
        <f t="shared" si="24"/>
        <v>7</v>
      </c>
      <c r="F202" s="7" t="str">
        <f t="shared" si="25"/>
        <v>02</v>
      </c>
      <c r="G202" s="7" t="str">
        <f t="shared" si="26"/>
        <v>1</v>
      </c>
      <c r="H202" s="7" t="str">
        <f t="shared" si="27"/>
        <v>0</v>
      </c>
      <c r="I202" s="7">
        <v>12170210</v>
      </c>
      <c r="J202" s="8" t="s">
        <v>388</v>
      </c>
      <c r="K202" s="8" t="s">
        <v>1243</v>
      </c>
      <c r="L202" s="8"/>
    </row>
    <row r="203" spans="2:12" ht="30" x14ac:dyDescent="0.25">
      <c r="B203" s="7" t="str">
        <f t="shared" si="21"/>
        <v>1</v>
      </c>
      <c r="C203" s="7" t="str">
        <f t="shared" si="22"/>
        <v>2</v>
      </c>
      <c r="D203" s="7" t="str">
        <f t="shared" si="23"/>
        <v>1</v>
      </c>
      <c r="E203" s="7" t="str">
        <f t="shared" si="24"/>
        <v>7</v>
      </c>
      <c r="F203" s="7" t="str">
        <f t="shared" si="25"/>
        <v>02</v>
      </c>
      <c r="G203" s="7" t="str">
        <f t="shared" si="26"/>
        <v>2</v>
      </c>
      <c r="H203" s="7" t="str">
        <f t="shared" si="27"/>
        <v>0</v>
      </c>
      <c r="I203" s="7">
        <v>12170220</v>
      </c>
      <c r="J203" s="8" t="s">
        <v>1102</v>
      </c>
      <c r="K203" s="8" t="s">
        <v>1244</v>
      </c>
      <c r="L203" s="8"/>
    </row>
    <row r="204" spans="2:12" ht="105" x14ac:dyDescent="0.25">
      <c r="B204" s="2" t="str">
        <f t="shared" si="21"/>
        <v>1</v>
      </c>
      <c r="C204" s="2" t="str">
        <f t="shared" si="22"/>
        <v>2</v>
      </c>
      <c r="D204" s="2" t="str">
        <f t="shared" si="23"/>
        <v>1</v>
      </c>
      <c r="E204" s="2" t="str">
        <f t="shared" si="24"/>
        <v>7</v>
      </c>
      <c r="F204" s="2" t="str">
        <f t="shared" si="25"/>
        <v>03</v>
      </c>
      <c r="G204" s="2" t="str">
        <f t="shared" si="26"/>
        <v>0</v>
      </c>
      <c r="H204" s="2" t="str">
        <f t="shared" si="27"/>
        <v>0</v>
      </c>
      <c r="I204" s="2">
        <v>12170300</v>
      </c>
      <c r="J204" s="3" t="s">
        <v>389</v>
      </c>
      <c r="K204" s="3" t="s">
        <v>1245</v>
      </c>
      <c r="L204" s="3"/>
    </row>
    <row r="205" spans="2:12" ht="60" x14ac:dyDescent="0.25">
      <c r="B205" s="7" t="str">
        <f t="shared" si="21"/>
        <v>1</v>
      </c>
      <c r="C205" s="7" t="str">
        <f t="shared" si="22"/>
        <v>2</v>
      </c>
      <c r="D205" s="7" t="str">
        <f t="shared" si="23"/>
        <v>1</v>
      </c>
      <c r="E205" s="7" t="str">
        <f t="shared" si="24"/>
        <v>7</v>
      </c>
      <c r="F205" s="7" t="str">
        <f t="shared" si="25"/>
        <v>03</v>
      </c>
      <c r="G205" s="7" t="str">
        <f t="shared" si="26"/>
        <v>1</v>
      </c>
      <c r="H205" s="7" t="str">
        <f t="shared" si="27"/>
        <v>0</v>
      </c>
      <c r="I205" s="7">
        <v>12170310</v>
      </c>
      <c r="J205" s="8" t="s">
        <v>389</v>
      </c>
      <c r="K205" s="8" t="s">
        <v>1246</v>
      </c>
      <c r="L205" s="8"/>
    </row>
    <row r="206" spans="2:12" ht="75" x14ac:dyDescent="0.25">
      <c r="B206" s="7" t="str">
        <f t="shared" si="21"/>
        <v>1</v>
      </c>
      <c r="C206" s="7" t="str">
        <f t="shared" si="22"/>
        <v>2</v>
      </c>
      <c r="D206" s="7" t="str">
        <f t="shared" si="23"/>
        <v>1</v>
      </c>
      <c r="E206" s="7" t="str">
        <f t="shared" si="24"/>
        <v>7</v>
      </c>
      <c r="F206" s="7" t="str">
        <f t="shared" si="25"/>
        <v>03</v>
      </c>
      <c r="G206" s="7" t="str">
        <f t="shared" si="26"/>
        <v>2</v>
      </c>
      <c r="H206" s="7" t="str">
        <f t="shared" si="27"/>
        <v>0</v>
      </c>
      <c r="I206" s="7">
        <v>12170320</v>
      </c>
      <c r="J206" s="8" t="s">
        <v>1103</v>
      </c>
      <c r="K206" s="8" t="s">
        <v>1247</v>
      </c>
      <c r="L206" s="8"/>
    </row>
    <row r="207" spans="2:12" x14ac:dyDescent="0.25">
      <c r="B207" s="2" t="str">
        <f t="shared" si="21"/>
        <v>1</v>
      </c>
      <c r="C207" s="2" t="str">
        <f t="shared" si="22"/>
        <v>2</v>
      </c>
      <c r="D207" s="2" t="str">
        <f t="shared" si="23"/>
        <v>1</v>
      </c>
      <c r="E207" s="2" t="str">
        <f t="shared" si="24"/>
        <v>7</v>
      </c>
      <c r="F207" s="2" t="str">
        <f t="shared" si="25"/>
        <v>04</v>
      </c>
      <c r="G207" s="2" t="str">
        <f t="shared" si="26"/>
        <v>0</v>
      </c>
      <c r="H207" s="2" t="str">
        <f t="shared" si="27"/>
        <v>0</v>
      </c>
      <c r="I207" s="2">
        <v>12170400</v>
      </c>
      <c r="J207" s="3" t="s">
        <v>390</v>
      </c>
      <c r="K207" s="3" t="s">
        <v>1248</v>
      </c>
      <c r="L207" s="3"/>
    </row>
    <row r="208" spans="2:12" x14ac:dyDescent="0.25">
      <c r="B208" s="7" t="str">
        <f t="shared" si="21"/>
        <v>1</v>
      </c>
      <c r="C208" s="7" t="str">
        <f t="shared" si="22"/>
        <v>2</v>
      </c>
      <c r="D208" s="7" t="str">
        <f t="shared" si="23"/>
        <v>1</v>
      </c>
      <c r="E208" s="7" t="str">
        <f t="shared" si="24"/>
        <v>7</v>
      </c>
      <c r="F208" s="7" t="str">
        <f t="shared" si="25"/>
        <v>04</v>
      </c>
      <c r="G208" s="7" t="str">
        <f t="shared" si="26"/>
        <v>1</v>
      </c>
      <c r="H208" s="7" t="str">
        <f t="shared" si="27"/>
        <v>0</v>
      </c>
      <c r="I208" s="7">
        <v>12170410</v>
      </c>
      <c r="J208" s="8" t="s">
        <v>390</v>
      </c>
      <c r="K208" s="8" t="s">
        <v>1248</v>
      </c>
      <c r="L208" s="8"/>
    </row>
    <row r="209" spans="2:12" x14ac:dyDescent="0.25">
      <c r="B209" s="7" t="str">
        <f t="shared" si="21"/>
        <v>1</v>
      </c>
      <c r="C209" s="7" t="str">
        <f t="shared" si="22"/>
        <v>2</v>
      </c>
      <c r="D209" s="7" t="str">
        <f t="shared" si="23"/>
        <v>1</v>
      </c>
      <c r="E209" s="7" t="str">
        <f t="shared" si="24"/>
        <v>7</v>
      </c>
      <c r="F209" s="7" t="str">
        <f t="shared" si="25"/>
        <v>04</v>
      </c>
      <c r="G209" s="7" t="str">
        <f t="shared" si="26"/>
        <v>2</v>
      </c>
      <c r="H209" s="7" t="str">
        <f t="shared" si="27"/>
        <v>0</v>
      </c>
      <c r="I209" s="7">
        <v>12170420</v>
      </c>
      <c r="J209" s="8" t="s">
        <v>1104</v>
      </c>
      <c r="K209" s="8" t="s">
        <v>1249</v>
      </c>
      <c r="L209" s="8"/>
    </row>
    <row r="210" spans="2:12" x14ac:dyDescent="0.25">
      <c r="B210" s="2" t="str">
        <f t="shared" si="21"/>
        <v>1</v>
      </c>
      <c r="C210" s="2" t="str">
        <f t="shared" si="22"/>
        <v>2</v>
      </c>
      <c r="D210" s="2" t="str">
        <f t="shared" si="23"/>
        <v>1</v>
      </c>
      <c r="E210" s="2" t="str">
        <f t="shared" si="24"/>
        <v>7</v>
      </c>
      <c r="F210" s="2" t="str">
        <f t="shared" si="25"/>
        <v>05</v>
      </c>
      <c r="G210" s="2" t="str">
        <f t="shared" si="26"/>
        <v>0</v>
      </c>
      <c r="H210" s="2" t="str">
        <f t="shared" si="27"/>
        <v>0</v>
      </c>
      <c r="I210" s="2">
        <v>12170500</v>
      </c>
      <c r="J210" s="3" t="s">
        <v>1105</v>
      </c>
      <c r="K210" s="3" t="s">
        <v>1250</v>
      </c>
      <c r="L210" s="3"/>
    </row>
    <row r="211" spans="2:12" x14ac:dyDescent="0.25">
      <c r="B211" s="7" t="str">
        <f t="shared" si="21"/>
        <v>1</v>
      </c>
      <c r="C211" s="7" t="str">
        <f t="shared" si="22"/>
        <v>2</v>
      </c>
      <c r="D211" s="7" t="str">
        <f t="shared" si="23"/>
        <v>1</v>
      </c>
      <c r="E211" s="7" t="str">
        <f t="shared" si="24"/>
        <v>7</v>
      </c>
      <c r="F211" s="7" t="str">
        <f t="shared" si="25"/>
        <v>05</v>
      </c>
      <c r="G211" s="7" t="str">
        <f t="shared" si="26"/>
        <v>1</v>
      </c>
      <c r="H211" s="7" t="str">
        <f t="shared" si="27"/>
        <v>0</v>
      </c>
      <c r="I211" s="7">
        <v>12170510</v>
      </c>
      <c r="J211" s="8" t="s">
        <v>1105</v>
      </c>
      <c r="K211" s="8" t="s">
        <v>1250</v>
      </c>
      <c r="L211" s="8"/>
    </row>
    <row r="212" spans="2:12" x14ac:dyDescent="0.25">
      <c r="B212" s="7" t="str">
        <f t="shared" si="21"/>
        <v>1</v>
      </c>
      <c r="C212" s="7" t="str">
        <f t="shared" si="22"/>
        <v>2</v>
      </c>
      <c r="D212" s="7" t="str">
        <f t="shared" si="23"/>
        <v>1</v>
      </c>
      <c r="E212" s="7" t="str">
        <f t="shared" si="24"/>
        <v>7</v>
      </c>
      <c r="F212" s="7" t="str">
        <f t="shared" si="25"/>
        <v>05</v>
      </c>
      <c r="G212" s="7" t="str">
        <f t="shared" si="26"/>
        <v>2</v>
      </c>
      <c r="H212" s="7" t="str">
        <f t="shared" si="27"/>
        <v>0</v>
      </c>
      <c r="I212" s="7">
        <v>12170520</v>
      </c>
      <c r="J212" s="8" t="s">
        <v>1106</v>
      </c>
      <c r="K212" s="8" t="s">
        <v>1250</v>
      </c>
      <c r="L212" s="8"/>
    </row>
    <row r="213" spans="2:12" ht="30" x14ac:dyDescent="0.25">
      <c r="B213" s="2" t="str">
        <f t="shared" si="21"/>
        <v>1</v>
      </c>
      <c r="C213" s="2" t="str">
        <f t="shared" si="22"/>
        <v>2</v>
      </c>
      <c r="D213" s="2" t="str">
        <f t="shared" si="23"/>
        <v>1</v>
      </c>
      <c r="E213" s="2" t="str">
        <f t="shared" si="24"/>
        <v>7</v>
      </c>
      <c r="F213" s="2" t="str">
        <f t="shared" si="25"/>
        <v>06</v>
      </c>
      <c r="G213" s="2" t="str">
        <f t="shared" si="26"/>
        <v>0</v>
      </c>
      <c r="H213" s="2" t="str">
        <f t="shared" si="27"/>
        <v>0</v>
      </c>
      <c r="I213" s="2">
        <v>12170600</v>
      </c>
      <c r="J213" s="3" t="s">
        <v>1107</v>
      </c>
      <c r="K213" s="3" t="s">
        <v>1251</v>
      </c>
      <c r="L213" s="3"/>
    </row>
    <row r="214" spans="2:12" ht="30" x14ac:dyDescent="0.25">
      <c r="B214" s="7" t="str">
        <f t="shared" si="21"/>
        <v>1</v>
      </c>
      <c r="C214" s="7" t="str">
        <f t="shared" si="22"/>
        <v>2</v>
      </c>
      <c r="D214" s="7" t="str">
        <f t="shared" si="23"/>
        <v>1</v>
      </c>
      <c r="E214" s="7" t="str">
        <f t="shared" si="24"/>
        <v>7</v>
      </c>
      <c r="F214" s="7" t="str">
        <f t="shared" si="25"/>
        <v>06</v>
      </c>
      <c r="G214" s="7" t="str">
        <f t="shared" si="26"/>
        <v>1</v>
      </c>
      <c r="H214" s="7" t="str">
        <f t="shared" si="27"/>
        <v>0</v>
      </c>
      <c r="I214" s="7">
        <v>12170610</v>
      </c>
      <c r="J214" s="8" t="s">
        <v>1107</v>
      </c>
      <c r="K214" s="8" t="s">
        <v>1251</v>
      </c>
      <c r="L214" s="8"/>
    </row>
    <row r="215" spans="2:12" ht="30" x14ac:dyDescent="0.25">
      <c r="B215" s="7" t="str">
        <f t="shared" si="21"/>
        <v>1</v>
      </c>
      <c r="C215" s="7" t="str">
        <f t="shared" si="22"/>
        <v>2</v>
      </c>
      <c r="D215" s="7" t="str">
        <f t="shared" si="23"/>
        <v>1</v>
      </c>
      <c r="E215" s="7" t="str">
        <f t="shared" si="24"/>
        <v>7</v>
      </c>
      <c r="F215" s="7" t="str">
        <f t="shared" si="25"/>
        <v>06</v>
      </c>
      <c r="G215" s="7" t="str">
        <f t="shared" si="26"/>
        <v>2</v>
      </c>
      <c r="H215" s="7" t="str">
        <f t="shared" si="27"/>
        <v>0</v>
      </c>
      <c r="I215" s="7">
        <v>12170620</v>
      </c>
      <c r="J215" s="8" t="s">
        <v>1108</v>
      </c>
      <c r="K215" s="8" t="s">
        <v>1251</v>
      </c>
      <c r="L215" s="8"/>
    </row>
    <row r="216" spans="2:12" ht="30" x14ac:dyDescent="0.25">
      <c r="B216" s="17" t="str">
        <f t="shared" si="21"/>
        <v>1</v>
      </c>
      <c r="C216" s="17" t="str">
        <f t="shared" si="22"/>
        <v>2</v>
      </c>
      <c r="D216" s="17" t="str">
        <f t="shared" si="23"/>
        <v>1</v>
      </c>
      <c r="E216" s="17" t="str">
        <f t="shared" si="24"/>
        <v>8</v>
      </c>
      <c r="F216" s="17" t="str">
        <f t="shared" si="25"/>
        <v>00</v>
      </c>
      <c r="G216" s="17" t="str">
        <f t="shared" si="26"/>
        <v>0</v>
      </c>
      <c r="H216" s="17" t="str">
        <f t="shared" si="27"/>
        <v>0</v>
      </c>
      <c r="I216" s="17">
        <v>12180000</v>
      </c>
      <c r="J216" s="16" t="s">
        <v>898</v>
      </c>
      <c r="K216" s="16" t="s">
        <v>1138</v>
      </c>
      <c r="L216" s="16"/>
    </row>
    <row r="217" spans="2:12" ht="45" x14ac:dyDescent="0.25">
      <c r="B217" s="2" t="str">
        <f t="shared" si="21"/>
        <v>1</v>
      </c>
      <c r="C217" s="2" t="str">
        <f t="shared" si="22"/>
        <v>2</v>
      </c>
      <c r="D217" s="2" t="str">
        <f t="shared" si="23"/>
        <v>1</v>
      </c>
      <c r="E217" s="2" t="str">
        <f t="shared" si="24"/>
        <v>8</v>
      </c>
      <c r="F217" s="2" t="str">
        <f t="shared" si="25"/>
        <v>01</v>
      </c>
      <c r="G217" s="2" t="str">
        <f t="shared" si="26"/>
        <v>0</v>
      </c>
      <c r="H217" s="2" t="str">
        <f t="shared" si="27"/>
        <v>0</v>
      </c>
      <c r="I217" s="2">
        <v>12180100</v>
      </c>
      <c r="J217" s="3" t="s">
        <v>1133</v>
      </c>
      <c r="K217" s="3" t="s">
        <v>1136</v>
      </c>
      <c r="L217" s="3"/>
    </row>
    <row r="218" spans="2:12" ht="30" x14ac:dyDescent="0.25">
      <c r="B218" s="7" t="str">
        <f t="shared" si="21"/>
        <v>1</v>
      </c>
      <c r="C218" s="7" t="str">
        <f t="shared" si="22"/>
        <v>2</v>
      </c>
      <c r="D218" s="7" t="str">
        <f t="shared" si="23"/>
        <v>1</v>
      </c>
      <c r="E218" s="7" t="str">
        <f t="shared" si="24"/>
        <v>8</v>
      </c>
      <c r="F218" s="7" t="str">
        <f t="shared" si="25"/>
        <v>01</v>
      </c>
      <c r="G218" s="7" t="str">
        <f t="shared" si="26"/>
        <v>1</v>
      </c>
      <c r="H218" s="7" t="str">
        <f t="shared" si="27"/>
        <v>0</v>
      </c>
      <c r="I218" s="7">
        <v>12180110</v>
      </c>
      <c r="J218" s="8" t="s">
        <v>1079</v>
      </c>
      <c r="K218" s="8" t="s">
        <v>1165</v>
      </c>
      <c r="L218" s="8"/>
    </row>
    <row r="219" spans="2:12" ht="30" x14ac:dyDescent="0.25">
      <c r="B219" s="7" t="str">
        <f t="shared" si="21"/>
        <v>1</v>
      </c>
      <c r="C219" s="7" t="str">
        <f t="shared" si="22"/>
        <v>2</v>
      </c>
      <c r="D219" s="7" t="str">
        <f t="shared" si="23"/>
        <v>1</v>
      </c>
      <c r="E219" s="7" t="str">
        <f t="shared" si="24"/>
        <v>8</v>
      </c>
      <c r="F219" s="7" t="str">
        <f t="shared" si="25"/>
        <v>01</v>
      </c>
      <c r="G219" s="7" t="str">
        <f t="shared" si="26"/>
        <v>2</v>
      </c>
      <c r="H219" s="7" t="str">
        <f t="shared" si="27"/>
        <v>0</v>
      </c>
      <c r="I219" s="7">
        <v>12180120</v>
      </c>
      <c r="J219" s="8" t="s">
        <v>1080</v>
      </c>
      <c r="K219" s="8" t="s">
        <v>1166</v>
      </c>
      <c r="L219" s="8"/>
    </row>
    <row r="220" spans="2:12" ht="30" x14ac:dyDescent="0.25">
      <c r="B220" s="7" t="str">
        <f t="shared" si="21"/>
        <v>1</v>
      </c>
      <c r="C220" s="7" t="str">
        <f t="shared" si="22"/>
        <v>2</v>
      </c>
      <c r="D220" s="7" t="str">
        <f t="shared" si="23"/>
        <v>1</v>
      </c>
      <c r="E220" s="7" t="str">
        <f t="shared" si="24"/>
        <v>8</v>
      </c>
      <c r="F220" s="7" t="str">
        <f t="shared" si="25"/>
        <v>01</v>
      </c>
      <c r="G220" s="7" t="str">
        <f t="shared" si="26"/>
        <v>3</v>
      </c>
      <c r="H220" s="7" t="str">
        <f t="shared" si="27"/>
        <v>0</v>
      </c>
      <c r="I220" s="7">
        <v>12180130</v>
      </c>
      <c r="J220" s="8" t="s">
        <v>1134</v>
      </c>
      <c r="K220" s="8" t="s">
        <v>1167</v>
      </c>
      <c r="L220" s="8"/>
    </row>
    <row r="221" spans="2:12" ht="45" x14ac:dyDescent="0.25">
      <c r="B221" s="7" t="str">
        <f t="shared" si="21"/>
        <v>1</v>
      </c>
      <c r="C221" s="7" t="str">
        <f t="shared" si="22"/>
        <v>2</v>
      </c>
      <c r="D221" s="7" t="str">
        <f t="shared" si="23"/>
        <v>1</v>
      </c>
      <c r="E221" s="7" t="str">
        <f t="shared" si="24"/>
        <v>8</v>
      </c>
      <c r="F221" s="7" t="str">
        <f t="shared" si="25"/>
        <v>01</v>
      </c>
      <c r="G221" s="7" t="str">
        <f t="shared" si="26"/>
        <v>4</v>
      </c>
      <c r="H221" s="7" t="str">
        <f t="shared" si="27"/>
        <v>0</v>
      </c>
      <c r="I221" s="7">
        <v>12180140</v>
      </c>
      <c r="J221" s="8" t="s">
        <v>1085</v>
      </c>
      <c r="K221" s="8" t="s">
        <v>1168</v>
      </c>
      <c r="L221" s="8"/>
    </row>
    <row r="222" spans="2:12" ht="45" x14ac:dyDescent="0.25">
      <c r="B222" s="7" t="str">
        <f t="shared" si="21"/>
        <v>1</v>
      </c>
      <c r="C222" s="7" t="str">
        <f t="shared" si="22"/>
        <v>2</v>
      </c>
      <c r="D222" s="7" t="str">
        <f t="shared" si="23"/>
        <v>1</v>
      </c>
      <c r="E222" s="7" t="str">
        <f t="shared" si="24"/>
        <v>8</v>
      </c>
      <c r="F222" s="7" t="str">
        <f t="shared" si="25"/>
        <v>01</v>
      </c>
      <c r="G222" s="7" t="str">
        <f t="shared" si="26"/>
        <v>5</v>
      </c>
      <c r="H222" s="7" t="str">
        <f t="shared" si="27"/>
        <v>0</v>
      </c>
      <c r="I222" s="7">
        <v>12180150</v>
      </c>
      <c r="J222" s="8" t="s">
        <v>1086</v>
      </c>
      <c r="K222" s="8" t="s">
        <v>1169</v>
      </c>
      <c r="L222" s="8"/>
    </row>
    <row r="223" spans="2:12" ht="45" x14ac:dyDescent="0.25">
      <c r="B223" s="7" t="str">
        <f t="shared" si="21"/>
        <v>1</v>
      </c>
      <c r="C223" s="7" t="str">
        <f t="shared" si="22"/>
        <v>2</v>
      </c>
      <c r="D223" s="7" t="str">
        <f t="shared" si="23"/>
        <v>1</v>
      </c>
      <c r="E223" s="7" t="str">
        <f t="shared" si="24"/>
        <v>8</v>
      </c>
      <c r="F223" s="7" t="str">
        <f t="shared" si="25"/>
        <v>01</v>
      </c>
      <c r="G223" s="7" t="str">
        <f t="shared" si="26"/>
        <v>6</v>
      </c>
      <c r="H223" s="7" t="str">
        <f t="shared" si="27"/>
        <v>0</v>
      </c>
      <c r="I223" s="7">
        <v>12180160</v>
      </c>
      <c r="J223" s="8" t="s">
        <v>1087</v>
      </c>
      <c r="K223" s="8" t="s">
        <v>1170</v>
      </c>
      <c r="L223" s="8"/>
    </row>
    <row r="224" spans="2:12" ht="45" x14ac:dyDescent="0.25">
      <c r="B224" s="2" t="str">
        <f t="shared" si="21"/>
        <v>1</v>
      </c>
      <c r="C224" s="2" t="str">
        <f t="shared" si="22"/>
        <v>2</v>
      </c>
      <c r="D224" s="2" t="str">
        <f t="shared" si="23"/>
        <v>1</v>
      </c>
      <c r="E224" s="2" t="str">
        <f t="shared" si="24"/>
        <v>8</v>
      </c>
      <c r="F224" s="2" t="str">
        <f t="shared" si="25"/>
        <v>02</v>
      </c>
      <c r="G224" s="2" t="str">
        <f t="shared" si="26"/>
        <v>0</v>
      </c>
      <c r="H224" s="2" t="str">
        <f t="shared" si="27"/>
        <v>0</v>
      </c>
      <c r="I224" s="2">
        <v>12180200</v>
      </c>
      <c r="J224" s="3" t="s">
        <v>1156</v>
      </c>
      <c r="K224" s="3" t="s">
        <v>1171</v>
      </c>
      <c r="L224" s="3"/>
    </row>
    <row r="225" spans="2:12" ht="45" x14ac:dyDescent="0.25">
      <c r="B225" s="7" t="str">
        <f t="shared" si="21"/>
        <v>1</v>
      </c>
      <c r="C225" s="7" t="str">
        <f t="shared" si="22"/>
        <v>2</v>
      </c>
      <c r="D225" s="7" t="str">
        <f t="shared" si="23"/>
        <v>1</v>
      </c>
      <c r="E225" s="7" t="str">
        <f t="shared" si="24"/>
        <v>8</v>
      </c>
      <c r="F225" s="7" t="str">
        <f t="shared" si="25"/>
        <v>02</v>
      </c>
      <c r="G225" s="7" t="str">
        <f t="shared" si="26"/>
        <v>1</v>
      </c>
      <c r="H225" s="7" t="str">
        <f t="shared" si="27"/>
        <v>0</v>
      </c>
      <c r="I225" s="7">
        <v>12180210</v>
      </c>
      <c r="J225" s="8" t="s">
        <v>1144</v>
      </c>
      <c r="K225" s="8" t="s">
        <v>1172</v>
      </c>
      <c r="L225" s="8"/>
    </row>
    <row r="226" spans="2:12" ht="45" x14ac:dyDescent="0.25">
      <c r="B226" s="7" t="str">
        <f t="shared" si="21"/>
        <v>1</v>
      </c>
      <c r="C226" s="7" t="str">
        <f t="shared" si="22"/>
        <v>2</v>
      </c>
      <c r="D226" s="7" t="str">
        <f t="shared" si="23"/>
        <v>1</v>
      </c>
      <c r="E226" s="7" t="str">
        <f t="shared" si="24"/>
        <v>8</v>
      </c>
      <c r="F226" s="7" t="str">
        <f t="shared" si="25"/>
        <v>02</v>
      </c>
      <c r="G226" s="7" t="str">
        <f t="shared" si="26"/>
        <v>2</v>
      </c>
      <c r="H226" s="7" t="str">
        <f t="shared" si="27"/>
        <v>0</v>
      </c>
      <c r="I226" s="7">
        <v>12180220</v>
      </c>
      <c r="J226" s="8" t="s">
        <v>1145</v>
      </c>
      <c r="K226" s="8" t="s">
        <v>1173</v>
      </c>
      <c r="L226" s="8"/>
    </row>
    <row r="227" spans="2:12" ht="45" x14ac:dyDescent="0.25">
      <c r="B227" s="7" t="str">
        <f t="shared" si="21"/>
        <v>1</v>
      </c>
      <c r="C227" s="7" t="str">
        <f t="shared" si="22"/>
        <v>2</v>
      </c>
      <c r="D227" s="7" t="str">
        <f t="shared" si="23"/>
        <v>1</v>
      </c>
      <c r="E227" s="7" t="str">
        <f t="shared" si="24"/>
        <v>8</v>
      </c>
      <c r="F227" s="7" t="str">
        <f t="shared" si="25"/>
        <v>02</v>
      </c>
      <c r="G227" s="7" t="str">
        <f t="shared" si="26"/>
        <v>3</v>
      </c>
      <c r="H227" s="7" t="str">
        <f t="shared" si="27"/>
        <v>0</v>
      </c>
      <c r="I227" s="7">
        <v>12180230</v>
      </c>
      <c r="J227" s="8" t="s">
        <v>1146</v>
      </c>
      <c r="K227" s="8" t="s">
        <v>1174</v>
      </c>
      <c r="L227" s="8"/>
    </row>
    <row r="228" spans="2:12" ht="45" x14ac:dyDescent="0.25">
      <c r="B228" s="7" t="str">
        <f t="shared" si="21"/>
        <v>1</v>
      </c>
      <c r="C228" s="7" t="str">
        <f t="shared" si="22"/>
        <v>2</v>
      </c>
      <c r="D228" s="7" t="str">
        <f t="shared" si="23"/>
        <v>1</v>
      </c>
      <c r="E228" s="7" t="str">
        <f t="shared" si="24"/>
        <v>8</v>
      </c>
      <c r="F228" s="7" t="str">
        <f t="shared" si="25"/>
        <v>02</v>
      </c>
      <c r="G228" s="7" t="str">
        <f t="shared" si="26"/>
        <v>4</v>
      </c>
      <c r="H228" s="7" t="str">
        <f t="shared" si="27"/>
        <v>0</v>
      </c>
      <c r="I228" s="7">
        <v>12180240</v>
      </c>
      <c r="J228" s="8" t="s">
        <v>1147</v>
      </c>
      <c r="K228" s="8" t="s">
        <v>1175</v>
      </c>
      <c r="L228" s="8"/>
    </row>
    <row r="229" spans="2:12" ht="45" x14ac:dyDescent="0.25">
      <c r="B229" s="7" t="str">
        <f t="shared" si="21"/>
        <v>1</v>
      </c>
      <c r="C229" s="7" t="str">
        <f t="shared" si="22"/>
        <v>2</v>
      </c>
      <c r="D229" s="7" t="str">
        <f t="shared" si="23"/>
        <v>1</v>
      </c>
      <c r="E229" s="7" t="str">
        <f t="shared" si="24"/>
        <v>8</v>
      </c>
      <c r="F229" s="7" t="str">
        <f t="shared" si="25"/>
        <v>02</v>
      </c>
      <c r="G229" s="7" t="str">
        <f t="shared" si="26"/>
        <v>5</v>
      </c>
      <c r="H229" s="7" t="str">
        <f t="shared" si="27"/>
        <v>0</v>
      </c>
      <c r="I229" s="7">
        <v>12180250</v>
      </c>
      <c r="J229" s="8" t="s">
        <v>1148</v>
      </c>
      <c r="K229" s="8" t="s">
        <v>1176</v>
      </c>
      <c r="L229" s="8"/>
    </row>
    <row r="230" spans="2:12" ht="45" x14ac:dyDescent="0.25">
      <c r="B230" s="7" t="str">
        <f t="shared" si="21"/>
        <v>1</v>
      </c>
      <c r="C230" s="7" t="str">
        <f t="shared" si="22"/>
        <v>2</v>
      </c>
      <c r="D230" s="7" t="str">
        <f t="shared" si="23"/>
        <v>1</v>
      </c>
      <c r="E230" s="7" t="str">
        <f t="shared" si="24"/>
        <v>8</v>
      </c>
      <c r="F230" s="7" t="str">
        <f t="shared" si="25"/>
        <v>02</v>
      </c>
      <c r="G230" s="7" t="str">
        <f t="shared" si="26"/>
        <v>6</v>
      </c>
      <c r="H230" s="7" t="str">
        <f t="shared" si="27"/>
        <v>0</v>
      </c>
      <c r="I230" s="7">
        <v>12180260</v>
      </c>
      <c r="J230" s="8" t="s">
        <v>1149</v>
      </c>
      <c r="K230" s="8" t="s">
        <v>1177</v>
      </c>
      <c r="L230" s="8"/>
    </row>
    <row r="231" spans="2:12" ht="45" x14ac:dyDescent="0.25">
      <c r="B231" s="2" t="str">
        <f t="shared" si="21"/>
        <v>1</v>
      </c>
      <c r="C231" s="2" t="str">
        <f t="shared" si="22"/>
        <v>2</v>
      </c>
      <c r="D231" s="2" t="str">
        <f t="shared" si="23"/>
        <v>1</v>
      </c>
      <c r="E231" s="2" t="str">
        <f t="shared" si="24"/>
        <v>8</v>
      </c>
      <c r="F231" s="2" t="str">
        <f t="shared" si="25"/>
        <v>03</v>
      </c>
      <c r="G231" s="2" t="str">
        <f t="shared" si="26"/>
        <v>0</v>
      </c>
      <c r="H231" s="2" t="str">
        <f t="shared" si="27"/>
        <v>0</v>
      </c>
      <c r="I231" s="2">
        <v>12180300</v>
      </c>
      <c r="J231" s="3" t="s">
        <v>1131</v>
      </c>
      <c r="K231" s="3" t="s">
        <v>1137</v>
      </c>
      <c r="L231" s="3"/>
    </row>
    <row r="232" spans="2:12" ht="30" x14ac:dyDescent="0.25">
      <c r="B232" s="7" t="str">
        <f t="shared" si="21"/>
        <v>1</v>
      </c>
      <c r="C232" s="7" t="str">
        <f t="shared" si="22"/>
        <v>2</v>
      </c>
      <c r="D232" s="7" t="str">
        <f t="shared" si="23"/>
        <v>1</v>
      </c>
      <c r="E232" s="7" t="str">
        <f t="shared" si="24"/>
        <v>8</v>
      </c>
      <c r="F232" s="7" t="str">
        <f t="shared" si="25"/>
        <v>03</v>
      </c>
      <c r="G232" s="7" t="str">
        <f t="shared" si="26"/>
        <v>1</v>
      </c>
      <c r="H232" s="7" t="str">
        <f t="shared" si="27"/>
        <v>0</v>
      </c>
      <c r="I232" s="7">
        <v>12180310</v>
      </c>
      <c r="J232" s="8" t="s">
        <v>1132</v>
      </c>
      <c r="K232" s="8" t="s">
        <v>1178</v>
      </c>
      <c r="L232" s="8"/>
    </row>
    <row r="233" spans="2:12" ht="30" x14ac:dyDescent="0.25">
      <c r="B233" s="7" t="str">
        <f t="shared" si="21"/>
        <v>1</v>
      </c>
      <c r="C233" s="7" t="str">
        <f t="shared" si="22"/>
        <v>2</v>
      </c>
      <c r="D233" s="7" t="str">
        <f t="shared" si="23"/>
        <v>1</v>
      </c>
      <c r="E233" s="7" t="str">
        <f t="shared" si="24"/>
        <v>8</v>
      </c>
      <c r="F233" s="7" t="str">
        <f t="shared" si="25"/>
        <v>03</v>
      </c>
      <c r="G233" s="7" t="str">
        <f t="shared" si="26"/>
        <v>2</v>
      </c>
      <c r="H233" s="7" t="str">
        <f t="shared" si="27"/>
        <v>0</v>
      </c>
      <c r="I233" s="7">
        <v>12180320</v>
      </c>
      <c r="J233" s="8" t="s">
        <v>1126</v>
      </c>
      <c r="K233" s="8" t="s">
        <v>1179</v>
      </c>
      <c r="L233" s="8"/>
    </row>
    <row r="234" spans="2:12" ht="30" x14ac:dyDescent="0.25">
      <c r="B234" s="7" t="str">
        <f t="shared" si="21"/>
        <v>1</v>
      </c>
      <c r="C234" s="7" t="str">
        <f t="shared" si="22"/>
        <v>2</v>
      </c>
      <c r="D234" s="7" t="str">
        <f t="shared" si="23"/>
        <v>1</v>
      </c>
      <c r="E234" s="7" t="str">
        <f t="shared" si="24"/>
        <v>8</v>
      </c>
      <c r="F234" s="7" t="str">
        <f t="shared" si="25"/>
        <v>03</v>
      </c>
      <c r="G234" s="7" t="str">
        <f t="shared" si="26"/>
        <v>3</v>
      </c>
      <c r="H234" s="7" t="str">
        <f t="shared" si="27"/>
        <v>0</v>
      </c>
      <c r="I234" s="7">
        <v>12180330</v>
      </c>
      <c r="J234" s="8" t="s">
        <v>1127</v>
      </c>
      <c r="K234" s="8" t="s">
        <v>1180</v>
      </c>
      <c r="L234" s="8"/>
    </row>
    <row r="235" spans="2:12" ht="45" x14ac:dyDescent="0.25">
      <c r="B235" s="7" t="str">
        <f t="shared" si="21"/>
        <v>1</v>
      </c>
      <c r="C235" s="7" t="str">
        <f t="shared" si="22"/>
        <v>2</v>
      </c>
      <c r="D235" s="7" t="str">
        <f t="shared" si="23"/>
        <v>1</v>
      </c>
      <c r="E235" s="7" t="str">
        <f t="shared" si="24"/>
        <v>8</v>
      </c>
      <c r="F235" s="7" t="str">
        <f t="shared" si="25"/>
        <v>03</v>
      </c>
      <c r="G235" s="7" t="str">
        <f t="shared" si="26"/>
        <v>4</v>
      </c>
      <c r="H235" s="7" t="str">
        <f t="shared" si="27"/>
        <v>0</v>
      </c>
      <c r="I235" s="7">
        <v>12180340</v>
      </c>
      <c r="J235" s="8" t="s">
        <v>1128</v>
      </c>
      <c r="K235" s="8" t="s">
        <v>1181</v>
      </c>
      <c r="L235" s="8"/>
    </row>
    <row r="236" spans="2:12" ht="45" x14ac:dyDescent="0.25">
      <c r="B236" s="7" t="str">
        <f t="shared" si="21"/>
        <v>1</v>
      </c>
      <c r="C236" s="7" t="str">
        <f t="shared" si="22"/>
        <v>2</v>
      </c>
      <c r="D236" s="7" t="str">
        <f t="shared" si="23"/>
        <v>1</v>
      </c>
      <c r="E236" s="7" t="str">
        <f t="shared" si="24"/>
        <v>8</v>
      </c>
      <c r="F236" s="7" t="str">
        <f t="shared" si="25"/>
        <v>03</v>
      </c>
      <c r="G236" s="7" t="str">
        <f t="shared" si="26"/>
        <v>5</v>
      </c>
      <c r="H236" s="7" t="str">
        <f t="shared" si="27"/>
        <v>0</v>
      </c>
      <c r="I236" s="7">
        <v>12180350</v>
      </c>
      <c r="J236" s="8" t="s">
        <v>1129</v>
      </c>
      <c r="K236" s="8" t="s">
        <v>1182</v>
      </c>
      <c r="L236" s="8"/>
    </row>
    <row r="237" spans="2:12" ht="45" x14ac:dyDescent="0.25">
      <c r="B237" s="7" t="str">
        <f t="shared" si="21"/>
        <v>1</v>
      </c>
      <c r="C237" s="7" t="str">
        <f t="shared" si="22"/>
        <v>2</v>
      </c>
      <c r="D237" s="7" t="str">
        <f t="shared" si="23"/>
        <v>1</v>
      </c>
      <c r="E237" s="7" t="str">
        <f t="shared" si="24"/>
        <v>8</v>
      </c>
      <c r="F237" s="7" t="str">
        <f t="shared" si="25"/>
        <v>03</v>
      </c>
      <c r="G237" s="7" t="str">
        <f t="shared" si="26"/>
        <v>6</v>
      </c>
      <c r="H237" s="7" t="str">
        <f t="shared" si="27"/>
        <v>0</v>
      </c>
      <c r="I237" s="7">
        <v>12180360</v>
      </c>
      <c r="J237" s="8" t="s">
        <v>1130</v>
      </c>
      <c r="K237" s="8" t="s">
        <v>1183</v>
      </c>
      <c r="L237" s="8"/>
    </row>
    <row r="238" spans="2:12" ht="45" x14ac:dyDescent="0.25">
      <c r="B238" s="2" t="str">
        <f t="shared" si="21"/>
        <v>1</v>
      </c>
      <c r="C238" s="2" t="str">
        <f t="shared" si="22"/>
        <v>2</v>
      </c>
      <c r="D238" s="2" t="str">
        <f t="shared" si="23"/>
        <v>1</v>
      </c>
      <c r="E238" s="2" t="str">
        <f t="shared" si="24"/>
        <v>8</v>
      </c>
      <c r="F238" s="2" t="str">
        <f t="shared" si="25"/>
        <v>04</v>
      </c>
      <c r="G238" s="2" t="str">
        <f t="shared" si="26"/>
        <v>0</v>
      </c>
      <c r="H238" s="2" t="str">
        <f t="shared" si="27"/>
        <v>0</v>
      </c>
      <c r="I238" s="2">
        <v>12180400</v>
      </c>
      <c r="J238" s="3" t="s">
        <v>1157</v>
      </c>
      <c r="K238" s="3" t="s">
        <v>1184</v>
      </c>
      <c r="L238" s="3"/>
    </row>
    <row r="239" spans="2:12" ht="45" x14ac:dyDescent="0.25">
      <c r="B239" s="7" t="str">
        <f t="shared" si="21"/>
        <v>1</v>
      </c>
      <c r="C239" s="7" t="str">
        <f t="shared" si="22"/>
        <v>2</v>
      </c>
      <c r="D239" s="7" t="str">
        <f t="shared" si="23"/>
        <v>1</v>
      </c>
      <c r="E239" s="7" t="str">
        <f t="shared" si="24"/>
        <v>8</v>
      </c>
      <c r="F239" s="7" t="str">
        <f t="shared" si="25"/>
        <v>04</v>
      </c>
      <c r="G239" s="7" t="str">
        <f t="shared" si="26"/>
        <v>1</v>
      </c>
      <c r="H239" s="7" t="str">
        <f t="shared" si="27"/>
        <v>0</v>
      </c>
      <c r="I239" s="7">
        <v>12180410</v>
      </c>
      <c r="J239" s="8" t="s">
        <v>1150</v>
      </c>
      <c r="K239" s="8" t="s">
        <v>1185</v>
      </c>
      <c r="L239" s="8"/>
    </row>
    <row r="240" spans="2:12" ht="45" x14ac:dyDescent="0.25">
      <c r="B240" s="7" t="str">
        <f t="shared" si="21"/>
        <v>1</v>
      </c>
      <c r="C240" s="7" t="str">
        <f t="shared" si="22"/>
        <v>2</v>
      </c>
      <c r="D240" s="7" t="str">
        <f t="shared" si="23"/>
        <v>1</v>
      </c>
      <c r="E240" s="7" t="str">
        <f t="shared" si="24"/>
        <v>8</v>
      </c>
      <c r="F240" s="7" t="str">
        <f t="shared" si="25"/>
        <v>04</v>
      </c>
      <c r="G240" s="7" t="str">
        <f t="shared" si="26"/>
        <v>2</v>
      </c>
      <c r="H240" s="7" t="str">
        <f t="shared" si="27"/>
        <v>0</v>
      </c>
      <c r="I240" s="7">
        <v>12180420</v>
      </c>
      <c r="J240" s="8" t="s">
        <v>1151</v>
      </c>
      <c r="K240" s="8" t="s">
        <v>1186</v>
      </c>
      <c r="L240" s="8"/>
    </row>
    <row r="241" spans="2:12" ht="45" x14ac:dyDescent="0.25">
      <c r="B241" s="7" t="str">
        <f t="shared" si="21"/>
        <v>1</v>
      </c>
      <c r="C241" s="7" t="str">
        <f t="shared" si="22"/>
        <v>2</v>
      </c>
      <c r="D241" s="7" t="str">
        <f t="shared" si="23"/>
        <v>1</v>
      </c>
      <c r="E241" s="7" t="str">
        <f t="shared" si="24"/>
        <v>8</v>
      </c>
      <c r="F241" s="7" t="str">
        <f t="shared" si="25"/>
        <v>04</v>
      </c>
      <c r="G241" s="7" t="str">
        <f t="shared" si="26"/>
        <v>3</v>
      </c>
      <c r="H241" s="7" t="str">
        <f t="shared" si="27"/>
        <v>0</v>
      </c>
      <c r="I241" s="7">
        <v>12180430</v>
      </c>
      <c r="J241" s="8" t="s">
        <v>1152</v>
      </c>
      <c r="K241" s="8" t="s">
        <v>1187</v>
      </c>
      <c r="L241" s="8"/>
    </row>
    <row r="242" spans="2:12" ht="45" x14ac:dyDescent="0.25">
      <c r="B242" s="7" t="str">
        <f t="shared" si="21"/>
        <v>1</v>
      </c>
      <c r="C242" s="7" t="str">
        <f t="shared" si="22"/>
        <v>2</v>
      </c>
      <c r="D242" s="7" t="str">
        <f t="shared" si="23"/>
        <v>1</v>
      </c>
      <c r="E242" s="7" t="str">
        <f t="shared" si="24"/>
        <v>8</v>
      </c>
      <c r="F242" s="7" t="str">
        <f t="shared" si="25"/>
        <v>04</v>
      </c>
      <c r="G242" s="7" t="str">
        <f t="shared" si="26"/>
        <v>4</v>
      </c>
      <c r="H242" s="7" t="str">
        <f t="shared" si="27"/>
        <v>0</v>
      </c>
      <c r="I242" s="7">
        <v>12180440</v>
      </c>
      <c r="J242" s="8" t="s">
        <v>1153</v>
      </c>
      <c r="K242" s="8" t="s">
        <v>1188</v>
      </c>
      <c r="L242" s="8"/>
    </row>
    <row r="243" spans="2:12" ht="45" x14ac:dyDescent="0.25">
      <c r="B243" s="7" t="str">
        <f t="shared" si="21"/>
        <v>1</v>
      </c>
      <c r="C243" s="7" t="str">
        <f t="shared" si="22"/>
        <v>2</v>
      </c>
      <c r="D243" s="7" t="str">
        <f t="shared" si="23"/>
        <v>1</v>
      </c>
      <c r="E243" s="7" t="str">
        <f t="shared" si="24"/>
        <v>8</v>
      </c>
      <c r="F243" s="7" t="str">
        <f t="shared" si="25"/>
        <v>04</v>
      </c>
      <c r="G243" s="7" t="str">
        <f t="shared" si="26"/>
        <v>5</v>
      </c>
      <c r="H243" s="7" t="str">
        <f t="shared" si="27"/>
        <v>0</v>
      </c>
      <c r="I243" s="7">
        <v>12180450</v>
      </c>
      <c r="J243" s="8" t="s">
        <v>1154</v>
      </c>
      <c r="K243" s="8" t="s">
        <v>1189</v>
      </c>
      <c r="L243" s="8"/>
    </row>
    <row r="244" spans="2:12" ht="45" x14ac:dyDescent="0.25">
      <c r="B244" s="7" t="str">
        <f t="shared" si="21"/>
        <v>1</v>
      </c>
      <c r="C244" s="7" t="str">
        <f t="shared" si="22"/>
        <v>2</v>
      </c>
      <c r="D244" s="7" t="str">
        <f t="shared" si="23"/>
        <v>1</v>
      </c>
      <c r="E244" s="7" t="str">
        <f t="shared" si="24"/>
        <v>8</v>
      </c>
      <c r="F244" s="7" t="str">
        <f t="shared" si="25"/>
        <v>04</v>
      </c>
      <c r="G244" s="7" t="str">
        <f t="shared" si="26"/>
        <v>6</v>
      </c>
      <c r="H244" s="7" t="str">
        <f t="shared" si="27"/>
        <v>0</v>
      </c>
      <c r="I244" s="7">
        <v>12180460</v>
      </c>
      <c r="J244" s="8" t="s">
        <v>1155</v>
      </c>
      <c r="K244" s="8" t="s">
        <v>1190</v>
      </c>
      <c r="L244" s="8"/>
    </row>
    <row r="245" spans="2:12" ht="30" x14ac:dyDescent="0.25">
      <c r="B245" s="2" t="str">
        <f t="shared" si="21"/>
        <v>1</v>
      </c>
      <c r="C245" s="2" t="str">
        <f t="shared" si="22"/>
        <v>2</v>
      </c>
      <c r="D245" s="2" t="str">
        <f t="shared" si="23"/>
        <v>1</v>
      </c>
      <c r="E245" s="2" t="str">
        <f t="shared" si="24"/>
        <v>8</v>
      </c>
      <c r="F245" s="2" t="str">
        <f t="shared" si="25"/>
        <v>05</v>
      </c>
      <c r="G245" s="2" t="str">
        <f t="shared" si="26"/>
        <v>0</v>
      </c>
      <c r="H245" s="2" t="str">
        <f t="shared" si="27"/>
        <v>0</v>
      </c>
      <c r="I245" s="2">
        <v>12180500</v>
      </c>
      <c r="J245" s="3" t="s">
        <v>1139</v>
      </c>
      <c r="K245" s="3" t="s">
        <v>1135</v>
      </c>
      <c r="L245" s="3"/>
    </row>
    <row r="246" spans="2:12" ht="30" x14ac:dyDescent="0.25">
      <c r="B246" s="7" t="str">
        <f t="shared" si="21"/>
        <v>1</v>
      </c>
      <c r="C246" s="7" t="str">
        <f t="shared" si="22"/>
        <v>2</v>
      </c>
      <c r="D246" s="7" t="str">
        <f t="shared" si="23"/>
        <v>1</v>
      </c>
      <c r="E246" s="7" t="str">
        <f t="shared" si="24"/>
        <v>8</v>
      </c>
      <c r="F246" s="7" t="str">
        <f t="shared" si="25"/>
        <v>05</v>
      </c>
      <c r="G246" s="7" t="str">
        <f t="shared" si="26"/>
        <v>1</v>
      </c>
      <c r="H246" s="7" t="str">
        <f t="shared" si="27"/>
        <v>0</v>
      </c>
      <c r="I246" s="7">
        <v>12180510</v>
      </c>
      <c r="J246" s="8" t="s">
        <v>880</v>
      </c>
      <c r="K246" s="8" t="s">
        <v>1191</v>
      </c>
      <c r="L246" s="8"/>
    </row>
    <row r="247" spans="2:12" ht="30" x14ac:dyDescent="0.25">
      <c r="B247" s="7" t="str">
        <f t="shared" si="21"/>
        <v>1</v>
      </c>
      <c r="C247" s="7" t="str">
        <f t="shared" si="22"/>
        <v>2</v>
      </c>
      <c r="D247" s="7" t="str">
        <f t="shared" si="23"/>
        <v>1</v>
      </c>
      <c r="E247" s="7" t="str">
        <f t="shared" si="24"/>
        <v>8</v>
      </c>
      <c r="F247" s="7" t="str">
        <f t="shared" si="25"/>
        <v>05</v>
      </c>
      <c r="G247" s="7" t="str">
        <f t="shared" si="26"/>
        <v>2</v>
      </c>
      <c r="H247" s="7" t="str">
        <f t="shared" si="27"/>
        <v>0</v>
      </c>
      <c r="I247" s="7">
        <v>12180520</v>
      </c>
      <c r="J247" s="8" t="s">
        <v>881</v>
      </c>
      <c r="K247" s="8" t="s">
        <v>1192</v>
      </c>
      <c r="L247" s="8"/>
    </row>
    <row r="248" spans="2:12" ht="30" x14ac:dyDescent="0.25">
      <c r="B248" s="7" t="str">
        <f t="shared" si="21"/>
        <v>1</v>
      </c>
      <c r="C248" s="7" t="str">
        <f t="shared" si="22"/>
        <v>2</v>
      </c>
      <c r="D248" s="7" t="str">
        <f t="shared" si="23"/>
        <v>1</v>
      </c>
      <c r="E248" s="7" t="str">
        <f t="shared" si="24"/>
        <v>8</v>
      </c>
      <c r="F248" s="7" t="str">
        <f t="shared" si="25"/>
        <v>05</v>
      </c>
      <c r="G248" s="7" t="str">
        <f t="shared" si="26"/>
        <v>3</v>
      </c>
      <c r="H248" s="7" t="str">
        <f t="shared" si="27"/>
        <v>0</v>
      </c>
      <c r="I248" s="7">
        <v>12180530</v>
      </c>
      <c r="J248" s="8" t="s">
        <v>882</v>
      </c>
      <c r="K248" s="8" t="s">
        <v>1193</v>
      </c>
      <c r="L248" s="8"/>
    </row>
    <row r="249" spans="2:12" ht="30" x14ac:dyDescent="0.25">
      <c r="B249" s="2" t="str">
        <f t="shared" si="21"/>
        <v>1</v>
      </c>
      <c r="C249" s="2" t="str">
        <f t="shared" si="22"/>
        <v>2</v>
      </c>
      <c r="D249" s="2" t="str">
        <f t="shared" si="23"/>
        <v>1</v>
      </c>
      <c r="E249" s="2" t="str">
        <f t="shared" si="24"/>
        <v>8</v>
      </c>
      <c r="F249" s="2" t="str">
        <f t="shared" si="25"/>
        <v>06</v>
      </c>
      <c r="G249" s="2" t="str">
        <f t="shared" si="26"/>
        <v>0</v>
      </c>
      <c r="H249" s="2" t="str">
        <f t="shared" si="27"/>
        <v>0</v>
      </c>
      <c r="I249" s="2">
        <v>12180600</v>
      </c>
      <c r="J249" s="3" t="s">
        <v>1158</v>
      </c>
      <c r="K249" s="3" t="s">
        <v>1198</v>
      </c>
      <c r="L249" s="3"/>
    </row>
    <row r="250" spans="2:12" ht="30" x14ac:dyDescent="0.25">
      <c r="B250" s="7" t="str">
        <f t="shared" si="21"/>
        <v>1</v>
      </c>
      <c r="C250" s="7" t="str">
        <f t="shared" si="22"/>
        <v>2</v>
      </c>
      <c r="D250" s="7" t="str">
        <f t="shared" si="23"/>
        <v>1</v>
      </c>
      <c r="E250" s="7" t="str">
        <f t="shared" si="24"/>
        <v>8</v>
      </c>
      <c r="F250" s="7" t="str">
        <f t="shared" si="25"/>
        <v>06</v>
      </c>
      <c r="G250" s="7" t="str">
        <f t="shared" si="26"/>
        <v>1</v>
      </c>
      <c r="H250" s="7" t="str">
        <f t="shared" si="27"/>
        <v>0</v>
      </c>
      <c r="I250" s="7">
        <v>12180610</v>
      </c>
      <c r="J250" s="8" t="s">
        <v>1159</v>
      </c>
      <c r="K250" s="8" t="s">
        <v>1201</v>
      </c>
      <c r="L250" s="8"/>
    </row>
    <row r="251" spans="2:12" ht="30" x14ac:dyDescent="0.25">
      <c r="B251" s="7" t="str">
        <f t="shared" si="21"/>
        <v>1</v>
      </c>
      <c r="C251" s="7" t="str">
        <f t="shared" si="22"/>
        <v>2</v>
      </c>
      <c r="D251" s="7" t="str">
        <f t="shared" si="23"/>
        <v>1</v>
      </c>
      <c r="E251" s="7" t="str">
        <f t="shared" si="24"/>
        <v>8</v>
      </c>
      <c r="F251" s="7" t="str">
        <f t="shared" si="25"/>
        <v>06</v>
      </c>
      <c r="G251" s="7" t="str">
        <f t="shared" si="26"/>
        <v>2</v>
      </c>
      <c r="H251" s="7" t="str">
        <f t="shared" si="27"/>
        <v>0</v>
      </c>
      <c r="I251" s="7">
        <v>12180620</v>
      </c>
      <c r="J251" s="8" t="s">
        <v>1160</v>
      </c>
      <c r="K251" s="8" t="s">
        <v>1202</v>
      </c>
      <c r="L251" s="8"/>
    </row>
    <row r="252" spans="2:12" ht="30" x14ac:dyDescent="0.25">
      <c r="B252" s="7" t="str">
        <f t="shared" si="21"/>
        <v>1</v>
      </c>
      <c r="C252" s="7" t="str">
        <f t="shared" si="22"/>
        <v>2</v>
      </c>
      <c r="D252" s="7" t="str">
        <f t="shared" si="23"/>
        <v>1</v>
      </c>
      <c r="E252" s="7" t="str">
        <f t="shared" si="24"/>
        <v>8</v>
      </c>
      <c r="F252" s="7" t="str">
        <f t="shared" si="25"/>
        <v>06</v>
      </c>
      <c r="G252" s="7" t="str">
        <f t="shared" si="26"/>
        <v>3</v>
      </c>
      <c r="H252" s="7" t="str">
        <f t="shared" si="27"/>
        <v>0</v>
      </c>
      <c r="I252" s="7">
        <v>12180630</v>
      </c>
      <c r="J252" s="8" t="s">
        <v>1161</v>
      </c>
      <c r="K252" s="8" t="s">
        <v>1203</v>
      </c>
      <c r="L252" s="8"/>
    </row>
    <row r="253" spans="2:12" ht="30" x14ac:dyDescent="0.25">
      <c r="B253" s="2" t="str">
        <f t="shared" si="21"/>
        <v>1</v>
      </c>
      <c r="C253" s="2" t="str">
        <f t="shared" si="22"/>
        <v>2</v>
      </c>
      <c r="D253" s="2" t="str">
        <f t="shared" si="23"/>
        <v>1</v>
      </c>
      <c r="E253" s="2" t="str">
        <f t="shared" si="24"/>
        <v>8</v>
      </c>
      <c r="F253" s="2" t="str">
        <f t="shared" si="25"/>
        <v>07</v>
      </c>
      <c r="G253" s="2" t="str">
        <f t="shared" si="26"/>
        <v>0</v>
      </c>
      <c r="H253" s="2" t="str">
        <f t="shared" si="27"/>
        <v>0</v>
      </c>
      <c r="I253" s="2">
        <v>12180700</v>
      </c>
      <c r="J253" s="3" t="s">
        <v>1140</v>
      </c>
      <c r="K253" s="3" t="s">
        <v>1194</v>
      </c>
      <c r="L253" s="3"/>
    </row>
    <row r="254" spans="2:12" ht="30" x14ac:dyDescent="0.25">
      <c r="B254" s="7" t="str">
        <f t="shared" si="21"/>
        <v>1</v>
      </c>
      <c r="C254" s="7" t="str">
        <f t="shared" si="22"/>
        <v>2</v>
      </c>
      <c r="D254" s="7" t="str">
        <f t="shared" si="23"/>
        <v>1</v>
      </c>
      <c r="E254" s="7" t="str">
        <f t="shared" si="24"/>
        <v>8</v>
      </c>
      <c r="F254" s="7" t="str">
        <f t="shared" si="25"/>
        <v>07</v>
      </c>
      <c r="G254" s="7" t="str">
        <f t="shared" si="26"/>
        <v>1</v>
      </c>
      <c r="H254" s="7" t="str">
        <f t="shared" si="27"/>
        <v>0</v>
      </c>
      <c r="I254" s="7">
        <v>12180710</v>
      </c>
      <c r="J254" s="8" t="s">
        <v>1141</v>
      </c>
      <c r="K254" s="8" t="s">
        <v>1195</v>
      </c>
      <c r="L254" s="8"/>
    </row>
    <row r="255" spans="2:12" ht="30" x14ac:dyDescent="0.25">
      <c r="B255" s="7" t="str">
        <f t="shared" si="21"/>
        <v>1</v>
      </c>
      <c r="C255" s="7" t="str">
        <f t="shared" si="22"/>
        <v>2</v>
      </c>
      <c r="D255" s="7" t="str">
        <f t="shared" si="23"/>
        <v>1</v>
      </c>
      <c r="E255" s="7" t="str">
        <f t="shared" si="24"/>
        <v>8</v>
      </c>
      <c r="F255" s="7" t="str">
        <f t="shared" si="25"/>
        <v>07</v>
      </c>
      <c r="G255" s="7" t="str">
        <f t="shared" si="26"/>
        <v>2</v>
      </c>
      <c r="H255" s="7" t="str">
        <f t="shared" si="27"/>
        <v>0</v>
      </c>
      <c r="I255" s="7">
        <v>12180720</v>
      </c>
      <c r="J255" s="8" t="s">
        <v>1142</v>
      </c>
      <c r="K255" s="8" t="s">
        <v>1196</v>
      </c>
      <c r="L255" s="8"/>
    </row>
    <row r="256" spans="2:12" ht="30" x14ac:dyDescent="0.25">
      <c r="B256" s="7" t="str">
        <f t="shared" si="21"/>
        <v>1</v>
      </c>
      <c r="C256" s="7" t="str">
        <f t="shared" si="22"/>
        <v>2</v>
      </c>
      <c r="D256" s="7" t="str">
        <f t="shared" si="23"/>
        <v>1</v>
      </c>
      <c r="E256" s="7" t="str">
        <f t="shared" si="24"/>
        <v>8</v>
      </c>
      <c r="F256" s="7" t="str">
        <f t="shared" si="25"/>
        <v>07</v>
      </c>
      <c r="G256" s="7" t="str">
        <f t="shared" si="26"/>
        <v>3</v>
      </c>
      <c r="H256" s="7" t="str">
        <f t="shared" si="27"/>
        <v>0</v>
      </c>
      <c r="I256" s="7">
        <v>12180730</v>
      </c>
      <c r="J256" s="8" t="s">
        <v>1143</v>
      </c>
      <c r="K256" s="8" t="s">
        <v>1197</v>
      </c>
      <c r="L256" s="8"/>
    </row>
    <row r="257" spans="2:12" ht="30" x14ac:dyDescent="0.25">
      <c r="B257" s="2" t="str">
        <f t="shared" si="21"/>
        <v>1</v>
      </c>
      <c r="C257" s="2" t="str">
        <f t="shared" si="22"/>
        <v>2</v>
      </c>
      <c r="D257" s="2" t="str">
        <f t="shared" si="23"/>
        <v>1</v>
      </c>
      <c r="E257" s="2" t="str">
        <f t="shared" si="24"/>
        <v>8</v>
      </c>
      <c r="F257" s="2" t="str">
        <f t="shared" si="25"/>
        <v>08</v>
      </c>
      <c r="G257" s="2" t="str">
        <f t="shared" si="26"/>
        <v>0</v>
      </c>
      <c r="H257" s="2" t="str">
        <f t="shared" si="27"/>
        <v>0</v>
      </c>
      <c r="I257" s="2">
        <v>12180800</v>
      </c>
      <c r="J257" s="3" t="s">
        <v>1199</v>
      </c>
      <c r="K257" s="3" t="s">
        <v>1200</v>
      </c>
      <c r="L257" s="3"/>
    </row>
    <row r="258" spans="2:12" ht="30" x14ac:dyDescent="0.25">
      <c r="B258" s="7" t="str">
        <f t="shared" si="21"/>
        <v>1</v>
      </c>
      <c r="C258" s="7" t="str">
        <f t="shared" si="22"/>
        <v>2</v>
      </c>
      <c r="D258" s="7" t="str">
        <f t="shared" si="23"/>
        <v>1</v>
      </c>
      <c r="E258" s="7" t="str">
        <f t="shared" si="24"/>
        <v>8</v>
      </c>
      <c r="F258" s="7" t="str">
        <f t="shared" si="25"/>
        <v>08</v>
      </c>
      <c r="G258" s="7" t="str">
        <f t="shared" si="26"/>
        <v>1</v>
      </c>
      <c r="H258" s="7" t="str">
        <f t="shared" si="27"/>
        <v>0</v>
      </c>
      <c r="I258" s="7">
        <v>12180810</v>
      </c>
      <c r="J258" s="8" t="s">
        <v>1162</v>
      </c>
      <c r="K258" s="8" t="s">
        <v>1204</v>
      </c>
      <c r="L258" s="8"/>
    </row>
    <row r="259" spans="2:12" ht="30" x14ac:dyDescent="0.25">
      <c r="B259" s="7" t="str">
        <f t="shared" ref="B259:B322" si="28">MID($I259,1,1)</f>
        <v>1</v>
      </c>
      <c r="C259" s="7" t="str">
        <f t="shared" ref="C259:C322" si="29">MID($I259,2,1)</f>
        <v>2</v>
      </c>
      <c r="D259" s="7" t="str">
        <f t="shared" ref="D259:D322" si="30">MID($I259,3,1)</f>
        <v>1</v>
      </c>
      <c r="E259" s="7" t="str">
        <f t="shared" ref="E259:E322" si="31">MID($I259,4,1)</f>
        <v>8</v>
      </c>
      <c r="F259" s="7" t="str">
        <f t="shared" ref="F259:F322" si="32">MID($I259,5,2)</f>
        <v>08</v>
      </c>
      <c r="G259" s="7" t="str">
        <f t="shared" ref="G259:G322" si="33">MID($I259,7,1)</f>
        <v>2</v>
      </c>
      <c r="H259" s="7" t="str">
        <f t="shared" ref="H259:H322" si="34">MID($I259,8,1)</f>
        <v>0</v>
      </c>
      <c r="I259" s="7">
        <v>12180820</v>
      </c>
      <c r="J259" s="8" t="s">
        <v>1163</v>
      </c>
      <c r="K259" s="8" t="s">
        <v>1205</v>
      </c>
      <c r="L259" s="8"/>
    </row>
    <row r="260" spans="2:12" ht="45" x14ac:dyDescent="0.25">
      <c r="B260" s="7" t="str">
        <f t="shared" si="28"/>
        <v>1</v>
      </c>
      <c r="C260" s="7" t="str">
        <f t="shared" si="29"/>
        <v>2</v>
      </c>
      <c r="D260" s="7" t="str">
        <f t="shared" si="30"/>
        <v>1</v>
      </c>
      <c r="E260" s="7" t="str">
        <f t="shared" si="31"/>
        <v>8</v>
      </c>
      <c r="F260" s="7" t="str">
        <f t="shared" si="32"/>
        <v>08</v>
      </c>
      <c r="G260" s="7" t="str">
        <f t="shared" si="33"/>
        <v>3</v>
      </c>
      <c r="H260" s="7" t="str">
        <f t="shared" si="34"/>
        <v>0</v>
      </c>
      <c r="I260" s="7">
        <v>12180830</v>
      </c>
      <c r="J260" s="8" t="s">
        <v>1164</v>
      </c>
      <c r="K260" s="8" t="s">
        <v>1206</v>
      </c>
      <c r="L260" s="8"/>
    </row>
    <row r="261" spans="2:12" ht="30" x14ac:dyDescent="0.25">
      <c r="B261" s="17" t="str">
        <f t="shared" si="28"/>
        <v>1</v>
      </c>
      <c r="C261" s="17" t="str">
        <f t="shared" si="29"/>
        <v>2</v>
      </c>
      <c r="D261" s="17" t="str">
        <f t="shared" si="30"/>
        <v>1</v>
      </c>
      <c r="E261" s="17" t="str">
        <f t="shared" si="31"/>
        <v>9</v>
      </c>
      <c r="F261" s="17" t="str">
        <f t="shared" si="32"/>
        <v>00</v>
      </c>
      <c r="G261" s="17" t="str">
        <f t="shared" si="33"/>
        <v>0</v>
      </c>
      <c r="H261" s="17" t="str">
        <f t="shared" si="34"/>
        <v>0</v>
      </c>
      <c r="I261" s="17">
        <v>12190000</v>
      </c>
      <c r="J261" s="16" t="s">
        <v>54</v>
      </c>
      <c r="K261" s="16" t="s">
        <v>1252</v>
      </c>
      <c r="L261" s="16"/>
    </row>
    <row r="262" spans="2:12" ht="45" x14ac:dyDescent="0.25">
      <c r="B262" s="2" t="str">
        <f t="shared" si="28"/>
        <v>1</v>
      </c>
      <c r="C262" s="2" t="str">
        <f t="shared" si="29"/>
        <v>2</v>
      </c>
      <c r="D262" s="2" t="str">
        <f t="shared" si="30"/>
        <v>1</v>
      </c>
      <c r="E262" s="2" t="str">
        <f t="shared" si="31"/>
        <v>9</v>
      </c>
      <c r="F262" s="2" t="str">
        <f t="shared" si="32"/>
        <v>01</v>
      </c>
      <c r="G262" s="2" t="str">
        <f t="shared" si="33"/>
        <v>0</v>
      </c>
      <c r="H262" s="2" t="str">
        <f t="shared" si="34"/>
        <v>0</v>
      </c>
      <c r="I262" s="2">
        <v>12190100</v>
      </c>
      <c r="J262" s="3" t="s">
        <v>391</v>
      </c>
      <c r="K262" s="3" t="s">
        <v>1253</v>
      </c>
      <c r="L262" s="3"/>
    </row>
    <row r="263" spans="2:12" ht="45" x14ac:dyDescent="0.25">
      <c r="B263" s="7" t="str">
        <f t="shared" si="28"/>
        <v>1</v>
      </c>
      <c r="C263" s="7" t="str">
        <f t="shared" si="29"/>
        <v>2</v>
      </c>
      <c r="D263" s="7" t="str">
        <f t="shared" si="30"/>
        <v>1</v>
      </c>
      <c r="E263" s="7" t="str">
        <f t="shared" si="31"/>
        <v>9</v>
      </c>
      <c r="F263" s="7" t="str">
        <f t="shared" si="32"/>
        <v>01</v>
      </c>
      <c r="G263" s="7" t="str">
        <f t="shared" si="33"/>
        <v>1</v>
      </c>
      <c r="H263" s="7" t="str">
        <f t="shared" si="34"/>
        <v>0</v>
      </c>
      <c r="I263" s="7">
        <v>12190110</v>
      </c>
      <c r="J263" s="8" t="s">
        <v>391</v>
      </c>
      <c r="K263" s="8" t="s">
        <v>1253</v>
      </c>
      <c r="L263" s="8"/>
    </row>
    <row r="264" spans="2:12" ht="30" x14ac:dyDescent="0.25">
      <c r="B264" s="7" t="str">
        <f t="shared" si="28"/>
        <v>1</v>
      </c>
      <c r="C264" s="7" t="str">
        <f t="shared" si="29"/>
        <v>2</v>
      </c>
      <c r="D264" s="7" t="str">
        <f t="shared" si="30"/>
        <v>1</v>
      </c>
      <c r="E264" s="7" t="str">
        <f t="shared" si="31"/>
        <v>9</v>
      </c>
      <c r="F264" s="7" t="str">
        <f t="shared" si="32"/>
        <v>01</v>
      </c>
      <c r="G264" s="7" t="str">
        <f t="shared" si="33"/>
        <v>2</v>
      </c>
      <c r="H264" s="7" t="str">
        <f t="shared" si="34"/>
        <v>0</v>
      </c>
      <c r="I264" s="7">
        <v>12190120</v>
      </c>
      <c r="J264" s="8" t="s">
        <v>1109</v>
      </c>
      <c r="K264" s="8" t="s">
        <v>1254</v>
      </c>
      <c r="L264" s="8"/>
    </row>
    <row r="265" spans="2:12" ht="60" x14ac:dyDescent="0.25">
      <c r="B265" s="2" t="str">
        <f t="shared" si="28"/>
        <v>1</v>
      </c>
      <c r="C265" s="2" t="str">
        <f t="shared" si="29"/>
        <v>2</v>
      </c>
      <c r="D265" s="2" t="str">
        <f t="shared" si="30"/>
        <v>1</v>
      </c>
      <c r="E265" s="2" t="str">
        <f t="shared" si="31"/>
        <v>9</v>
      </c>
      <c r="F265" s="2" t="str">
        <f t="shared" si="32"/>
        <v>02</v>
      </c>
      <c r="G265" s="2" t="str">
        <f t="shared" si="33"/>
        <v>0</v>
      </c>
      <c r="H265" s="2" t="str">
        <f t="shared" si="34"/>
        <v>0</v>
      </c>
      <c r="I265" s="2">
        <v>12190200</v>
      </c>
      <c r="J265" s="3" t="s">
        <v>46</v>
      </c>
      <c r="K265" s="3" t="s">
        <v>392</v>
      </c>
      <c r="L265" s="3"/>
    </row>
    <row r="266" spans="2:12" ht="60" x14ac:dyDescent="0.25">
      <c r="B266" s="7" t="str">
        <f t="shared" si="28"/>
        <v>1</v>
      </c>
      <c r="C266" s="7" t="str">
        <f t="shared" si="29"/>
        <v>2</v>
      </c>
      <c r="D266" s="7" t="str">
        <f t="shared" si="30"/>
        <v>1</v>
      </c>
      <c r="E266" s="7" t="str">
        <f t="shared" si="31"/>
        <v>9</v>
      </c>
      <c r="F266" s="7" t="str">
        <f t="shared" si="32"/>
        <v>02</v>
      </c>
      <c r="G266" s="7" t="str">
        <f t="shared" si="33"/>
        <v>1</v>
      </c>
      <c r="H266" s="7" t="str">
        <f t="shared" si="34"/>
        <v>0</v>
      </c>
      <c r="I266" s="7">
        <v>12190210</v>
      </c>
      <c r="J266" s="8" t="s">
        <v>46</v>
      </c>
      <c r="K266" s="8" t="s">
        <v>392</v>
      </c>
      <c r="L266" s="8"/>
    </row>
    <row r="267" spans="2:12" ht="75" x14ac:dyDescent="0.25">
      <c r="B267" s="7" t="str">
        <f t="shared" si="28"/>
        <v>1</v>
      </c>
      <c r="C267" s="7" t="str">
        <f t="shared" si="29"/>
        <v>2</v>
      </c>
      <c r="D267" s="7" t="str">
        <f t="shared" si="30"/>
        <v>1</v>
      </c>
      <c r="E267" s="7" t="str">
        <f t="shared" si="31"/>
        <v>9</v>
      </c>
      <c r="F267" s="7" t="str">
        <f t="shared" si="32"/>
        <v>02</v>
      </c>
      <c r="G267" s="7" t="str">
        <f t="shared" si="33"/>
        <v>2</v>
      </c>
      <c r="H267" s="7" t="str">
        <f t="shared" si="34"/>
        <v>0</v>
      </c>
      <c r="I267" s="7">
        <v>12190220</v>
      </c>
      <c r="J267" s="8" t="s">
        <v>1110</v>
      </c>
      <c r="K267" s="8" t="s">
        <v>1255</v>
      </c>
      <c r="L267" s="8"/>
    </row>
    <row r="268" spans="2:12" ht="60" x14ac:dyDescent="0.25">
      <c r="B268" s="2" t="str">
        <f t="shared" si="28"/>
        <v>1</v>
      </c>
      <c r="C268" s="2" t="str">
        <f t="shared" si="29"/>
        <v>2</v>
      </c>
      <c r="D268" s="2" t="str">
        <f t="shared" si="30"/>
        <v>1</v>
      </c>
      <c r="E268" s="2" t="str">
        <f t="shared" si="31"/>
        <v>9</v>
      </c>
      <c r="F268" s="2" t="str">
        <f t="shared" si="32"/>
        <v>03</v>
      </c>
      <c r="G268" s="2" t="str">
        <f t="shared" si="33"/>
        <v>0</v>
      </c>
      <c r="H268" s="2" t="str">
        <f t="shared" si="34"/>
        <v>0</v>
      </c>
      <c r="I268" s="2">
        <v>12190300</v>
      </c>
      <c r="J268" s="3" t="s">
        <v>393</v>
      </c>
      <c r="K268" s="3" t="s">
        <v>1256</v>
      </c>
      <c r="L268" s="3"/>
    </row>
    <row r="269" spans="2:12" ht="30" x14ac:dyDescent="0.25">
      <c r="B269" s="7" t="str">
        <f t="shared" si="28"/>
        <v>1</v>
      </c>
      <c r="C269" s="7" t="str">
        <f t="shared" si="29"/>
        <v>2</v>
      </c>
      <c r="D269" s="7" t="str">
        <f t="shared" si="30"/>
        <v>1</v>
      </c>
      <c r="E269" s="7" t="str">
        <f t="shared" si="31"/>
        <v>9</v>
      </c>
      <c r="F269" s="7" t="str">
        <f t="shared" si="32"/>
        <v>03</v>
      </c>
      <c r="G269" s="7" t="str">
        <f t="shared" si="33"/>
        <v>1</v>
      </c>
      <c r="H269" s="7" t="str">
        <f t="shared" si="34"/>
        <v>0</v>
      </c>
      <c r="I269" s="7">
        <v>12190310</v>
      </c>
      <c r="J269" s="8" t="s">
        <v>52</v>
      </c>
      <c r="K269" s="8" t="s">
        <v>394</v>
      </c>
      <c r="L269" s="8"/>
    </row>
    <row r="270" spans="2:12" ht="120" x14ac:dyDescent="0.25">
      <c r="B270" s="7" t="str">
        <f t="shared" si="28"/>
        <v>1</v>
      </c>
      <c r="C270" s="7" t="str">
        <f t="shared" si="29"/>
        <v>2</v>
      </c>
      <c r="D270" s="7" t="str">
        <f t="shared" si="30"/>
        <v>1</v>
      </c>
      <c r="E270" s="7" t="str">
        <f t="shared" si="31"/>
        <v>9</v>
      </c>
      <c r="F270" s="7" t="str">
        <f t="shared" si="32"/>
        <v>03</v>
      </c>
      <c r="G270" s="7" t="str">
        <f t="shared" si="33"/>
        <v>2</v>
      </c>
      <c r="H270" s="7" t="str">
        <f t="shared" si="34"/>
        <v>0</v>
      </c>
      <c r="I270" s="7">
        <v>12190320</v>
      </c>
      <c r="J270" s="8" t="s">
        <v>53</v>
      </c>
      <c r="K270" s="8" t="s">
        <v>1257</v>
      </c>
      <c r="L270" s="8"/>
    </row>
    <row r="271" spans="2:12" ht="60" x14ac:dyDescent="0.25">
      <c r="B271" s="7" t="str">
        <f t="shared" si="28"/>
        <v>1</v>
      </c>
      <c r="C271" s="7" t="str">
        <f t="shared" si="29"/>
        <v>2</v>
      </c>
      <c r="D271" s="7" t="str">
        <f t="shared" si="30"/>
        <v>1</v>
      </c>
      <c r="E271" s="7" t="str">
        <f t="shared" si="31"/>
        <v>9</v>
      </c>
      <c r="F271" s="7" t="str">
        <f t="shared" si="32"/>
        <v>03</v>
      </c>
      <c r="G271" s="7" t="str">
        <f t="shared" si="33"/>
        <v>3</v>
      </c>
      <c r="H271" s="7" t="str">
        <f t="shared" si="34"/>
        <v>0</v>
      </c>
      <c r="I271" s="7">
        <v>12190330</v>
      </c>
      <c r="J271" s="8" t="s">
        <v>1111</v>
      </c>
      <c r="K271" s="8" t="s">
        <v>1258</v>
      </c>
      <c r="L271" s="8"/>
    </row>
    <row r="272" spans="2:12" ht="45" x14ac:dyDescent="0.25">
      <c r="B272" s="2" t="str">
        <f t="shared" si="28"/>
        <v>1</v>
      </c>
      <c r="C272" s="2" t="str">
        <f t="shared" si="29"/>
        <v>2</v>
      </c>
      <c r="D272" s="2" t="str">
        <f t="shared" si="30"/>
        <v>1</v>
      </c>
      <c r="E272" s="2" t="str">
        <f t="shared" si="31"/>
        <v>9</v>
      </c>
      <c r="F272" s="2" t="str">
        <f t="shared" si="32"/>
        <v>04</v>
      </c>
      <c r="G272" s="2" t="str">
        <f t="shared" si="33"/>
        <v>0</v>
      </c>
      <c r="H272" s="2" t="str">
        <f t="shared" si="34"/>
        <v>0</v>
      </c>
      <c r="I272" s="2">
        <v>12190400</v>
      </c>
      <c r="J272" s="3" t="s">
        <v>45</v>
      </c>
      <c r="K272" s="3" t="s">
        <v>1259</v>
      </c>
      <c r="L272" s="3"/>
    </row>
    <row r="273" spans="2:12" ht="45" x14ac:dyDescent="0.25">
      <c r="B273" s="7" t="str">
        <f t="shared" si="28"/>
        <v>1</v>
      </c>
      <c r="C273" s="7" t="str">
        <f t="shared" si="29"/>
        <v>2</v>
      </c>
      <c r="D273" s="7" t="str">
        <f t="shared" si="30"/>
        <v>1</v>
      </c>
      <c r="E273" s="7" t="str">
        <f t="shared" si="31"/>
        <v>9</v>
      </c>
      <c r="F273" s="7" t="str">
        <f t="shared" si="32"/>
        <v>04</v>
      </c>
      <c r="G273" s="7" t="str">
        <f t="shared" si="33"/>
        <v>1</v>
      </c>
      <c r="H273" s="7" t="str">
        <f t="shared" si="34"/>
        <v>0</v>
      </c>
      <c r="I273" s="7">
        <v>12190410</v>
      </c>
      <c r="J273" s="8" t="s">
        <v>45</v>
      </c>
      <c r="K273" s="8" t="s">
        <v>1259</v>
      </c>
      <c r="L273" s="8"/>
    </row>
    <row r="274" spans="2:12" ht="75" x14ac:dyDescent="0.25">
      <c r="B274" s="7" t="str">
        <f t="shared" si="28"/>
        <v>1</v>
      </c>
      <c r="C274" s="7" t="str">
        <f t="shared" si="29"/>
        <v>2</v>
      </c>
      <c r="D274" s="7" t="str">
        <f t="shared" si="30"/>
        <v>1</v>
      </c>
      <c r="E274" s="7" t="str">
        <f t="shared" si="31"/>
        <v>9</v>
      </c>
      <c r="F274" s="7" t="str">
        <f t="shared" si="32"/>
        <v>04</v>
      </c>
      <c r="G274" s="7" t="str">
        <f t="shared" si="33"/>
        <v>2</v>
      </c>
      <c r="H274" s="7" t="str">
        <f t="shared" si="34"/>
        <v>0</v>
      </c>
      <c r="I274" s="7">
        <v>12190420</v>
      </c>
      <c r="J274" s="8" t="s">
        <v>1112</v>
      </c>
      <c r="K274" s="8" t="s">
        <v>1260</v>
      </c>
      <c r="L274" s="8"/>
    </row>
    <row r="275" spans="2:12" ht="105" x14ac:dyDescent="0.25">
      <c r="B275" s="2" t="str">
        <f t="shared" si="28"/>
        <v>1</v>
      </c>
      <c r="C275" s="2" t="str">
        <f t="shared" si="29"/>
        <v>2</v>
      </c>
      <c r="D275" s="2" t="str">
        <f t="shared" si="30"/>
        <v>1</v>
      </c>
      <c r="E275" s="2" t="str">
        <f t="shared" si="31"/>
        <v>9</v>
      </c>
      <c r="F275" s="2" t="str">
        <f t="shared" si="32"/>
        <v>05</v>
      </c>
      <c r="G275" s="2" t="str">
        <f t="shared" si="33"/>
        <v>0</v>
      </c>
      <c r="H275" s="2" t="str">
        <f t="shared" si="34"/>
        <v>0</v>
      </c>
      <c r="I275" s="2">
        <v>12190500</v>
      </c>
      <c r="J275" s="3" t="s">
        <v>47</v>
      </c>
      <c r="K275" s="3" t="s">
        <v>1261</v>
      </c>
      <c r="L275" s="3"/>
    </row>
    <row r="276" spans="2:12" ht="105" x14ac:dyDescent="0.25">
      <c r="B276" s="7" t="str">
        <f t="shared" si="28"/>
        <v>1</v>
      </c>
      <c r="C276" s="7" t="str">
        <f t="shared" si="29"/>
        <v>2</v>
      </c>
      <c r="D276" s="7" t="str">
        <f t="shared" si="30"/>
        <v>1</v>
      </c>
      <c r="E276" s="7" t="str">
        <f t="shared" si="31"/>
        <v>9</v>
      </c>
      <c r="F276" s="7" t="str">
        <f t="shared" si="32"/>
        <v>05</v>
      </c>
      <c r="G276" s="7" t="str">
        <f t="shared" si="33"/>
        <v>1</v>
      </c>
      <c r="H276" s="7" t="str">
        <f t="shared" si="34"/>
        <v>0</v>
      </c>
      <c r="I276" s="7">
        <v>12190510</v>
      </c>
      <c r="J276" s="8" t="s">
        <v>47</v>
      </c>
      <c r="K276" s="8" t="s">
        <v>1262</v>
      </c>
      <c r="L276" s="8"/>
    </row>
    <row r="277" spans="2:12" ht="105" x14ac:dyDescent="0.25">
      <c r="B277" s="7" t="str">
        <f t="shared" si="28"/>
        <v>1</v>
      </c>
      <c r="C277" s="7" t="str">
        <f t="shared" si="29"/>
        <v>2</v>
      </c>
      <c r="D277" s="7" t="str">
        <f t="shared" si="30"/>
        <v>1</v>
      </c>
      <c r="E277" s="7" t="str">
        <f t="shared" si="31"/>
        <v>9</v>
      </c>
      <c r="F277" s="7" t="str">
        <f t="shared" si="32"/>
        <v>05</v>
      </c>
      <c r="G277" s="7" t="str">
        <f t="shared" si="33"/>
        <v>2</v>
      </c>
      <c r="H277" s="7" t="str">
        <f t="shared" si="34"/>
        <v>0</v>
      </c>
      <c r="I277" s="7">
        <v>12190520</v>
      </c>
      <c r="J277" s="8" t="s">
        <v>1113</v>
      </c>
      <c r="K277" s="8" t="s">
        <v>1263</v>
      </c>
      <c r="L277" s="8"/>
    </row>
    <row r="278" spans="2:12" ht="105" x14ac:dyDescent="0.25">
      <c r="B278" s="2" t="str">
        <f t="shared" si="28"/>
        <v>1</v>
      </c>
      <c r="C278" s="2" t="str">
        <f t="shared" si="29"/>
        <v>2</v>
      </c>
      <c r="D278" s="2" t="str">
        <f t="shared" si="30"/>
        <v>1</v>
      </c>
      <c r="E278" s="2" t="str">
        <f t="shared" si="31"/>
        <v>9</v>
      </c>
      <c r="F278" s="2" t="str">
        <f t="shared" si="32"/>
        <v>06</v>
      </c>
      <c r="G278" s="2" t="str">
        <f t="shared" si="33"/>
        <v>0</v>
      </c>
      <c r="H278" s="2" t="str">
        <f t="shared" si="34"/>
        <v>0</v>
      </c>
      <c r="I278" s="2">
        <v>12190600</v>
      </c>
      <c r="J278" s="3" t="s">
        <v>48</v>
      </c>
      <c r="K278" s="3" t="s">
        <v>1264</v>
      </c>
      <c r="L278" s="3"/>
    </row>
    <row r="279" spans="2:12" ht="105" x14ac:dyDescent="0.25">
      <c r="B279" s="7" t="str">
        <f t="shared" si="28"/>
        <v>1</v>
      </c>
      <c r="C279" s="7" t="str">
        <f t="shared" si="29"/>
        <v>2</v>
      </c>
      <c r="D279" s="7" t="str">
        <f t="shared" si="30"/>
        <v>1</v>
      </c>
      <c r="E279" s="7" t="str">
        <f t="shared" si="31"/>
        <v>9</v>
      </c>
      <c r="F279" s="7" t="str">
        <f t="shared" si="32"/>
        <v>06</v>
      </c>
      <c r="G279" s="7" t="str">
        <f t="shared" si="33"/>
        <v>1</v>
      </c>
      <c r="H279" s="7" t="str">
        <f t="shared" si="34"/>
        <v>0</v>
      </c>
      <c r="I279" s="7">
        <v>12190610</v>
      </c>
      <c r="J279" s="8" t="s">
        <v>48</v>
      </c>
      <c r="K279" s="8" t="s">
        <v>1264</v>
      </c>
      <c r="L279" s="8"/>
    </row>
    <row r="280" spans="2:12" ht="105" x14ac:dyDescent="0.25">
      <c r="B280" s="7" t="str">
        <f t="shared" si="28"/>
        <v>1</v>
      </c>
      <c r="C280" s="7" t="str">
        <f t="shared" si="29"/>
        <v>2</v>
      </c>
      <c r="D280" s="7" t="str">
        <f t="shared" si="30"/>
        <v>1</v>
      </c>
      <c r="E280" s="7" t="str">
        <f t="shared" si="31"/>
        <v>9</v>
      </c>
      <c r="F280" s="7" t="str">
        <f t="shared" si="32"/>
        <v>06</v>
      </c>
      <c r="G280" s="7" t="str">
        <f t="shared" si="33"/>
        <v>2</v>
      </c>
      <c r="H280" s="7" t="str">
        <f t="shared" si="34"/>
        <v>0</v>
      </c>
      <c r="I280" s="7">
        <v>12190620</v>
      </c>
      <c r="J280" s="8" t="s">
        <v>1114</v>
      </c>
      <c r="K280" s="8" t="s">
        <v>1265</v>
      </c>
      <c r="L280" s="8"/>
    </row>
    <row r="281" spans="2:12" ht="60" x14ac:dyDescent="0.25">
      <c r="B281" s="2" t="str">
        <f t="shared" si="28"/>
        <v>1</v>
      </c>
      <c r="C281" s="2" t="str">
        <f t="shared" si="29"/>
        <v>2</v>
      </c>
      <c r="D281" s="2" t="str">
        <f t="shared" si="30"/>
        <v>1</v>
      </c>
      <c r="E281" s="2" t="str">
        <f t="shared" si="31"/>
        <v>9</v>
      </c>
      <c r="F281" s="2" t="str">
        <f t="shared" si="32"/>
        <v>07</v>
      </c>
      <c r="G281" s="2" t="str">
        <f t="shared" si="33"/>
        <v>0</v>
      </c>
      <c r="H281" s="2" t="str">
        <f t="shared" si="34"/>
        <v>0</v>
      </c>
      <c r="I281" s="2">
        <v>12190700</v>
      </c>
      <c r="J281" s="3" t="s">
        <v>49</v>
      </c>
      <c r="K281" s="3" t="s">
        <v>1266</v>
      </c>
      <c r="L281" s="3"/>
    </row>
    <row r="282" spans="2:12" ht="60" x14ac:dyDescent="0.25">
      <c r="B282" s="7" t="str">
        <f t="shared" si="28"/>
        <v>1</v>
      </c>
      <c r="C282" s="7" t="str">
        <f t="shared" si="29"/>
        <v>2</v>
      </c>
      <c r="D282" s="7" t="str">
        <f t="shared" si="30"/>
        <v>1</v>
      </c>
      <c r="E282" s="7" t="str">
        <f t="shared" si="31"/>
        <v>9</v>
      </c>
      <c r="F282" s="7" t="str">
        <f t="shared" si="32"/>
        <v>07</v>
      </c>
      <c r="G282" s="7" t="str">
        <f t="shared" si="33"/>
        <v>1</v>
      </c>
      <c r="H282" s="7" t="str">
        <f t="shared" si="34"/>
        <v>0</v>
      </c>
      <c r="I282" s="7">
        <v>12190710</v>
      </c>
      <c r="J282" s="8" t="s">
        <v>49</v>
      </c>
      <c r="K282" s="8" t="s">
        <v>1266</v>
      </c>
      <c r="L282" s="8"/>
    </row>
    <row r="283" spans="2:12" ht="75" x14ac:dyDescent="0.25">
      <c r="B283" s="7" t="str">
        <f t="shared" si="28"/>
        <v>1</v>
      </c>
      <c r="C283" s="7" t="str">
        <f t="shared" si="29"/>
        <v>2</v>
      </c>
      <c r="D283" s="7" t="str">
        <f t="shared" si="30"/>
        <v>1</v>
      </c>
      <c r="E283" s="7" t="str">
        <f t="shared" si="31"/>
        <v>9</v>
      </c>
      <c r="F283" s="7" t="str">
        <f t="shared" si="32"/>
        <v>07</v>
      </c>
      <c r="G283" s="7" t="str">
        <f t="shared" si="33"/>
        <v>2</v>
      </c>
      <c r="H283" s="7" t="str">
        <f t="shared" si="34"/>
        <v>0</v>
      </c>
      <c r="I283" s="7">
        <v>12190720</v>
      </c>
      <c r="J283" s="8" t="s">
        <v>1115</v>
      </c>
      <c r="K283" s="8" t="s">
        <v>1267</v>
      </c>
      <c r="L283" s="8"/>
    </row>
    <row r="284" spans="2:12" x14ac:dyDescent="0.25">
      <c r="B284" s="2" t="str">
        <f t="shared" si="28"/>
        <v>1</v>
      </c>
      <c r="C284" s="2" t="str">
        <f t="shared" si="29"/>
        <v>2</v>
      </c>
      <c r="D284" s="2" t="str">
        <f t="shared" si="30"/>
        <v>1</v>
      </c>
      <c r="E284" s="2" t="str">
        <f t="shared" si="31"/>
        <v>9</v>
      </c>
      <c r="F284" s="2" t="str">
        <f t="shared" si="32"/>
        <v>08</v>
      </c>
      <c r="G284" s="2" t="str">
        <f t="shared" si="33"/>
        <v>0</v>
      </c>
      <c r="H284" s="2" t="str">
        <f t="shared" si="34"/>
        <v>0</v>
      </c>
      <c r="I284" s="2">
        <v>12190800</v>
      </c>
      <c r="J284" s="3" t="s">
        <v>51</v>
      </c>
      <c r="K284" s="3" t="s">
        <v>395</v>
      </c>
      <c r="L284" s="3"/>
    </row>
    <row r="285" spans="2:12" x14ac:dyDescent="0.25">
      <c r="B285" s="7" t="str">
        <f t="shared" si="28"/>
        <v>1</v>
      </c>
      <c r="C285" s="7" t="str">
        <f t="shared" si="29"/>
        <v>2</v>
      </c>
      <c r="D285" s="7" t="str">
        <f t="shared" si="30"/>
        <v>1</v>
      </c>
      <c r="E285" s="7" t="str">
        <f t="shared" si="31"/>
        <v>9</v>
      </c>
      <c r="F285" s="7" t="str">
        <f t="shared" si="32"/>
        <v>08</v>
      </c>
      <c r="G285" s="7" t="str">
        <f t="shared" si="33"/>
        <v>1</v>
      </c>
      <c r="H285" s="7" t="str">
        <f t="shared" si="34"/>
        <v>0</v>
      </c>
      <c r="I285" s="7">
        <v>12190810</v>
      </c>
      <c r="J285" s="8" t="s">
        <v>51</v>
      </c>
      <c r="K285" s="8" t="s">
        <v>395</v>
      </c>
      <c r="L285" s="8"/>
    </row>
    <row r="286" spans="2:12" ht="30" x14ac:dyDescent="0.25">
      <c r="B286" s="7" t="str">
        <f t="shared" si="28"/>
        <v>1</v>
      </c>
      <c r="C286" s="7" t="str">
        <f t="shared" si="29"/>
        <v>2</v>
      </c>
      <c r="D286" s="7" t="str">
        <f t="shared" si="30"/>
        <v>1</v>
      </c>
      <c r="E286" s="7" t="str">
        <f t="shared" si="31"/>
        <v>9</v>
      </c>
      <c r="F286" s="7" t="str">
        <f t="shared" si="32"/>
        <v>08</v>
      </c>
      <c r="G286" s="7" t="str">
        <f t="shared" si="33"/>
        <v>2</v>
      </c>
      <c r="H286" s="7" t="str">
        <f t="shared" si="34"/>
        <v>0</v>
      </c>
      <c r="I286" s="7">
        <v>12190820</v>
      </c>
      <c r="J286" s="8" t="s">
        <v>1116</v>
      </c>
      <c r="K286" s="8" t="s">
        <v>1268</v>
      </c>
      <c r="L286" s="8"/>
    </row>
    <row r="287" spans="2:12" ht="30" customHeight="1" x14ac:dyDescent="0.25">
      <c r="B287" s="2" t="str">
        <f t="shared" si="28"/>
        <v>1</v>
      </c>
      <c r="C287" s="2" t="str">
        <f t="shared" si="29"/>
        <v>2</v>
      </c>
      <c r="D287" s="2" t="str">
        <f t="shared" si="30"/>
        <v>1</v>
      </c>
      <c r="E287" s="2" t="str">
        <f t="shared" si="31"/>
        <v>9</v>
      </c>
      <c r="F287" s="2" t="str">
        <f t="shared" si="32"/>
        <v>09</v>
      </c>
      <c r="G287" s="2" t="str">
        <f t="shared" si="33"/>
        <v>0</v>
      </c>
      <c r="H287" s="2" t="str">
        <f t="shared" si="34"/>
        <v>0</v>
      </c>
      <c r="I287" s="2">
        <v>12190900</v>
      </c>
      <c r="J287" s="3" t="s">
        <v>396</v>
      </c>
      <c r="K287" s="3" t="s">
        <v>1352</v>
      </c>
      <c r="L287" s="3"/>
    </row>
    <row r="288" spans="2:12" ht="30" x14ac:dyDescent="0.25">
      <c r="B288" s="7" t="str">
        <f t="shared" si="28"/>
        <v>1</v>
      </c>
      <c r="C288" s="7" t="str">
        <f t="shared" si="29"/>
        <v>2</v>
      </c>
      <c r="D288" s="7" t="str">
        <f t="shared" si="30"/>
        <v>1</v>
      </c>
      <c r="E288" s="7" t="str">
        <f t="shared" si="31"/>
        <v>9</v>
      </c>
      <c r="F288" s="7" t="str">
        <f t="shared" si="32"/>
        <v>09</v>
      </c>
      <c r="G288" s="7" t="str">
        <f t="shared" si="33"/>
        <v>1</v>
      </c>
      <c r="H288" s="7" t="str">
        <f t="shared" si="34"/>
        <v>0</v>
      </c>
      <c r="I288" s="7">
        <v>12190910</v>
      </c>
      <c r="J288" s="8" t="s">
        <v>396</v>
      </c>
      <c r="K288" s="8" t="s">
        <v>1352</v>
      </c>
      <c r="L288" s="8"/>
    </row>
    <row r="289" spans="2:12" ht="45" x14ac:dyDescent="0.25">
      <c r="B289" s="7" t="str">
        <f t="shared" si="28"/>
        <v>1</v>
      </c>
      <c r="C289" s="7" t="str">
        <f t="shared" si="29"/>
        <v>2</v>
      </c>
      <c r="D289" s="7" t="str">
        <f t="shared" si="30"/>
        <v>1</v>
      </c>
      <c r="E289" s="7" t="str">
        <f t="shared" si="31"/>
        <v>9</v>
      </c>
      <c r="F289" s="7" t="str">
        <f t="shared" si="32"/>
        <v>09</v>
      </c>
      <c r="G289" s="7" t="str">
        <f t="shared" si="33"/>
        <v>2</v>
      </c>
      <c r="H289" s="7" t="str">
        <f t="shared" si="34"/>
        <v>0</v>
      </c>
      <c r="I289" s="7">
        <v>12190920</v>
      </c>
      <c r="J289" s="8" t="s">
        <v>1117</v>
      </c>
      <c r="K289" s="8" t="s">
        <v>1353</v>
      </c>
      <c r="L289" s="8"/>
    </row>
    <row r="290" spans="2:12" ht="60" x14ac:dyDescent="0.25">
      <c r="B290" s="2" t="str">
        <f t="shared" si="28"/>
        <v>1</v>
      </c>
      <c r="C290" s="2" t="str">
        <f t="shared" si="29"/>
        <v>2</v>
      </c>
      <c r="D290" s="2" t="str">
        <f t="shared" si="30"/>
        <v>1</v>
      </c>
      <c r="E290" s="2" t="str">
        <f t="shared" si="31"/>
        <v>9</v>
      </c>
      <c r="F290" s="2" t="str">
        <f t="shared" si="32"/>
        <v>10</v>
      </c>
      <c r="G290" s="2" t="str">
        <f t="shared" si="33"/>
        <v>0</v>
      </c>
      <c r="H290" s="2" t="str">
        <f t="shared" si="34"/>
        <v>0</v>
      </c>
      <c r="I290" s="2">
        <v>12191000</v>
      </c>
      <c r="J290" s="3" t="s">
        <v>50</v>
      </c>
      <c r="K290" s="3" t="s">
        <v>1269</v>
      </c>
      <c r="L290" s="3"/>
    </row>
    <row r="291" spans="2:12" ht="60" x14ac:dyDescent="0.25">
      <c r="B291" s="7" t="str">
        <f t="shared" si="28"/>
        <v>1</v>
      </c>
      <c r="C291" s="7" t="str">
        <f t="shared" si="29"/>
        <v>2</v>
      </c>
      <c r="D291" s="7" t="str">
        <f t="shared" si="30"/>
        <v>1</v>
      </c>
      <c r="E291" s="7" t="str">
        <f t="shared" si="31"/>
        <v>9</v>
      </c>
      <c r="F291" s="7" t="str">
        <f t="shared" si="32"/>
        <v>10</v>
      </c>
      <c r="G291" s="7" t="str">
        <f t="shared" si="33"/>
        <v>1</v>
      </c>
      <c r="H291" s="7" t="str">
        <f t="shared" si="34"/>
        <v>0</v>
      </c>
      <c r="I291" s="7">
        <v>12191010</v>
      </c>
      <c r="J291" s="8" t="s">
        <v>50</v>
      </c>
      <c r="K291" s="8" t="s">
        <v>397</v>
      </c>
      <c r="L291" s="8"/>
    </row>
    <row r="292" spans="2:12" ht="75" x14ac:dyDescent="0.25">
      <c r="B292" s="7" t="str">
        <f t="shared" si="28"/>
        <v>1</v>
      </c>
      <c r="C292" s="7" t="str">
        <f t="shared" si="29"/>
        <v>2</v>
      </c>
      <c r="D292" s="7" t="str">
        <f t="shared" si="30"/>
        <v>1</v>
      </c>
      <c r="E292" s="7" t="str">
        <f t="shared" si="31"/>
        <v>9</v>
      </c>
      <c r="F292" s="7" t="str">
        <f t="shared" si="32"/>
        <v>10</v>
      </c>
      <c r="G292" s="7" t="str">
        <f t="shared" si="33"/>
        <v>2</v>
      </c>
      <c r="H292" s="7" t="str">
        <f t="shared" si="34"/>
        <v>0</v>
      </c>
      <c r="I292" s="7">
        <v>12191020</v>
      </c>
      <c r="J292" s="8" t="s">
        <v>1118</v>
      </c>
      <c r="K292" s="8" t="s">
        <v>1270</v>
      </c>
      <c r="L292" s="8"/>
    </row>
    <row r="293" spans="2:12" ht="30" x14ac:dyDescent="0.25">
      <c r="B293" s="2" t="str">
        <f t="shared" si="28"/>
        <v>1</v>
      </c>
      <c r="C293" s="2" t="str">
        <f t="shared" si="29"/>
        <v>2</v>
      </c>
      <c r="D293" s="2" t="str">
        <f t="shared" si="30"/>
        <v>1</v>
      </c>
      <c r="E293" s="2" t="str">
        <f t="shared" si="31"/>
        <v>9</v>
      </c>
      <c r="F293" s="2" t="str">
        <f t="shared" si="32"/>
        <v>11</v>
      </c>
      <c r="G293" s="2" t="str">
        <f t="shared" si="33"/>
        <v>0</v>
      </c>
      <c r="H293" s="2" t="str">
        <f t="shared" si="34"/>
        <v>0</v>
      </c>
      <c r="I293" s="2">
        <v>12191100</v>
      </c>
      <c r="J293" s="3" t="s">
        <v>1119</v>
      </c>
      <c r="K293" s="3" t="s">
        <v>1271</v>
      </c>
      <c r="L293" s="3"/>
    </row>
    <row r="294" spans="2:12" ht="30" x14ac:dyDescent="0.25">
      <c r="B294" s="7" t="str">
        <f t="shared" si="28"/>
        <v>1</v>
      </c>
      <c r="C294" s="7" t="str">
        <f t="shared" si="29"/>
        <v>2</v>
      </c>
      <c r="D294" s="7" t="str">
        <f t="shared" si="30"/>
        <v>1</v>
      </c>
      <c r="E294" s="7" t="str">
        <f t="shared" si="31"/>
        <v>9</v>
      </c>
      <c r="F294" s="7" t="str">
        <f t="shared" si="32"/>
        <v>11</v>
      </c>
      <c r="G294" s="7" t="str">
        <f t="shared" si="33"/>
        <v>1</v>
      </c>
      <c r="H294" s="7" t="str">
        <f t="shared" si="34"/>
        <v>0</v>
      </c>
      <c r="I294" s="7">
        <v>12191110</v>
      </c>
      <c r="J294" s="8" t="s">
        <v>1119</v>
      </c>
      <c r="K294" s="8" t="s">
        <v>1271</v>
      </c>
      <c r="L294" s="8"/>
    </row>
    <row r="295" spans="2:12" ht="30" x14ac:dyDescent="0.25">
      <c r="B295" s="7" t="str">
        <f t="shared" si="28"/>
        <v>1</v>
      </c>
      <c r="C295" s="7" t="str">
        <f t="shared" si="29"/>
        <v>2</v>
      </c>
      <c r="D295" s="7" t="str">
        <f t="shared" si="30"/>
        <v>1</v>
      </c>
      <c r="E295" s="7" t="str">
        <f t="shared" si="31"/>
        <v>9</v>
      </c>
      <c r="F295" s="7" t="str">
        <f t="shared" si="32"/>
        <v>11</v>
      </c>
      <c r="G295" s="7" t="str">
        <f t="shared" si="33"/>
        <v>2</v>
      </c>
      <c r="H295" s="7" t="str">
        <f t="shared" si="34"/>
        <v>0</v>
      </c>
      <c r="I295" s="7">
        <v>12191120</v>
      </c>
      <c r="J295" s="8" t="s">
        <v>1120</v>
      </c>
      <c r="K295" s="8" t="s">
        <v>1272</v>
      </c>
      <c r="L295" s="8"/>
    </row>
    <row r="296" spans="2:12" ht="30" x14ac:dyDescent="0.25">
      <c r="B296" s="2" t="str">
        <f t="shared" si="28"/>
        <v>1</v>
      </c>
      <c r="C296" s="2" t="str">
        <f t="shared" si="29"/>
        <v>2</v>
      </c>
      <c r="D296" s="2" t="str">
        <f t="shared" si="30"/>
        <v>1</v>
      </c>
      <c r="E296" s="2" t="str">
        <f t="shared" si="31"/>
        <v>9</v>
      </c>
      <c r="F296" s="2" t="str">
        <f t="shared" si="32"/>
        <v>99</v>
      </c>
      <c r="G296" s="2" t="str">
        <f t="shared" si="33"/>
        <v>0</v>
      </c>
      <c r="H296" s="2" t="str">
        <f t="shared" si="34"/>
        <v>0</v>
      </c>
      <c r="I296" s="2">
        <v>12199900</v>
      </c>
      <c r="J296" s="3" t="s">
        <v>1121</v>
      </c>
      <c r="K296" s="3" t="s">
        <v>1273</v>
      </c>
      <c r="L296" s="3"/>
    </row>
    <row r="297" spans="2:12" ht="30" x14ac:dyDescent="0.25">
      <c r="B297" s="7" t="str">
        <f t="shared" si="28"/>
        <v>1</v>
      </c>
      <c r="C297" s="7" t="str">
        <f t="shared" si="29"/>
        <v>2</v>
      </c>
      <c r="D297" s="7" t="str">
        <f t="shared" si="30"/>
        <v>1</v>
      </c>
      <c r="E297" s="7" t="str">
        <f t="shared" si="31"/>
        <v>9</v>
      </c>
      <c r="F297" s="7" t="str">
        <f t="shared" si="32"/>
        <v>99</v>
      </c>
      <c r="G297" s="7" t="str">
        <f t="shared" si="33"/>
        <v>1</v>
      </c>
      <c r="H297" s="7" t="str">
        <f t="shared" si="34"/>
        <v>0</v>
      </c>
      <c r="I297" s="7">
        <v>12199910</v>
      </c>
      <c r="J297" s="8" t="s">
        <v>1121</v>
      </c>
      <c r="K297" s="8" t="s">
        <v>1273</v>
      </c>
      <c r="L297" s="8"/>
    </row>
    <row r="298" spans="2:12" ht="30" x14ac:dyDescent="0.25">
      <c r="B298" s="7" t="str">
        <f t="shared" si="28"/>
        <v>1</v>
      </c>
      <c r="C298" s="7" t="str">
        <f t="shared" si="29"/>
        <v>2</v>
      </c>
      <c r="D298" s="7" t="str">
        <f t="shared" si="30"/>
        <v>1</v>
      </c>
      <c r="E298" s="7" t="str">
        <f t="shared" si="31"/>
        <v>9</v>
      </c>
      <c r="F298" s="7" t="str">
        <f t="shared" si="32"/>
        <v>99</v>
      </c>
      <c r="G298" s="7" t="str">
        <f t="shared" si="33"/>
        <v>2</v>
      </c>
      <c r="H298" s="7" t="str">
        <f t="shared" si="34"/>
        <v>0</v>
      </c>
      <c r="I298" s="7">
        <v>12199920</v>
      </c>
      <c r="J298" s="8" t="s">
        <v>1122</v>
      </c>
      <c r="K298" s="8" t="s">
        <v>1274</v>
      </c>
      <c r="L298" s="8"/>
    </row>
    <row r="299" spans="2:12" ht="75" x14ac:dyDescent="0.25">
      <c r="B299" s="27" t="str">
        <f t="shared" si="28"/>
        <v>1</v>
      </c>
      <c r="C299" s="27" t="str">
        <f t="shared" si="29"/>
        <v>2</v>
      </c>
      <c r="D299" s="27" t="str">
        <f t="shared" si="30"/>
        <v>2</v>
      </c>
      <c r="E299" s="27" t="str">
        <f t="shared" si="31"/>
        <v>0</v>
      </c>
      <c r="F299" s="27" t="str">
        <f t="shared" si="32"/>
        <v>00</v>
      </c>
      <c r="G299" s="27" t="str">
        <f t="shared" si="33"/>
        <v>0</v>
      </c>
      <c r="H299" s="27" t="str">
        <f t="shared" si="34"/>
        <v>0</v>
      </c>
      <c r="I299" s="27">
        <v>12200000</v>
      </c>
      <c r="J299" s="26" t="s">
        <v>398</v>
      </c>
      <c r="K299" s="26" t="s">
        <v>399</v>
      </c>
      <c r="L299" s="26"/>
    </row>
    <row r="300" spans="2:12" ht="45" x14ac:dyDescent="0.25">
      <c r="B300" s="2" t="str">
        <f t="shared" si="28"/>
        <v>1</v>
      </c>
      <c r="C300" s="2" t="str">
        <f t="shared" si="29"/>
        <v>2</v>
      </c>
      <c r="D300" s="2" t="str">
        <f t="shared" si="30"/>
        <v>2</v>
      </c>
      <c r="E300" s="2" t="str">
        <f t="shared" si="31"/>
        <v>0</v>
      </c>
      <c r="F300" s="2" t="str">
        <f t="shared" si="32"/>
        <v>01</v>
      </c>
      <c r="G300" s="2" t="str">
        <f t="shared" si="33"/>
        <v>0</v>
      </c>
      <c r="H300" s="2" t="str">
        <f t="shared" si="34"/>
        <v>0</v>
      </c>
      <c r="I300" s="2">
        <v>12200100</v>
      </c>
      <c r="J300" s="3" t="s">
        <v>400</v>
      </c>
      <c r="K300" s="3" t="s">
        <v>401</v>
      </c>
      <c r="L300" s="3"/>
    </row>
    <row r="301" spans="2:12" ht="30" x14ac:dyDescent="0.25">
      <c r="B301" s="7" t="str">
        <f t="shared" si="28"/>
        <v>1</v>
      </c>
      <c r="C301" s="7" t="str">
        <f t="shared" si="29"/>
        <v>2</v>
      </c>
      <c r="D301" s="7" t="str">
        <f t="shared" si="30"/>
        <v>2</v>
      </c>
      <c r="E301" s="7" t="str">
        <f t="shared" si="31"/>
        <v>0</v>
      </c>
      <c r="F301" s="7" t="str">
        <f t="shared" si="32"/>
        <v>01</v>
      </c>
      <c r="G301" s="7" t="str">
        <f t="shared" si="33"/>
        <v>1</v>
      </c>
      <c r="H301" s="7" t="str">
        <f t="shared" si="34"/>
        <v>0</v>
      </c>
      <c r="I301" s="7">
        <v>12200110</v>
      </c>
      <c r="J301" s="8" t="s">
        <v>402</v>
      </c>
      <c r="K301" s="8" t="s">
        <v>403</v>
      </c>
      <c r="L301" s="8"/>
    </row>
    <row r="302" spans="2:12" ht="45" x14ac:dyDescent="0.25">
      <c r="B302" s="7" t="str">
        <f t="shared" si="28"/>
        <v>1</v>
      </c>
      <c r="C302" s="7" t="str">
        <f t="shared" si="29"/>
        <v>2</v>
      </c>
      <c r="D302" s="7" t="str">
        <f t="shared" si="30"/>
        <v>2</v>
      </c>
      <c r="E302" s="7" t="str">
        <f t="shared" si="31"/>
        <v>0</v>
      </c>
      <c r="F302" s="7" t="str">
        <f t="shared" si="32"/>
        <v>01</v>
      </c>
      <c r="G302" s="7" t="str">
        <f t="shared" si="33"/>
        <v>2</v>
      </c>
      <c r="H302" s="7" t="str">
        <f t="shared" si="34"/>
        <v>0</v>
      </c>
      <c r="I302" s="7">
        <v>12200120</v>
      </c>
      <c r="J302" s="8" t="s">
        <v>404</v>
      </c>
      <c r="K302" s="8" t="s">
        <v>405</v>
      </c>
      <c r="L302" s="8"/>
    </row>
    <row r="303" spans="2:12" ht="30" x14ac:dyDescent="0.25">
      <c r="B303" s="2" t="str">
        <f t="shared" si="28"/>
        <v>1</v>
      </c>
      <c r="C303" s="2" t="str">
        <f t="shared" si="29"/>
        <v>2</v>
      </c>
      <c r="D303" s="2" t="str">
        <f t="shared" si="30"/>
        <v>2</v>
      </c>
      <c r="E303" s="2" t="str">
        <f t="shared" si="31"/>
        <v>0</v>
      </c>
      <c r="F303" s="2" t="str">
        <f t="shared" si="32"/>
        <v>02</v>
      </c>
      <c r="G303" s="2" t="str">
        <f t="shared" si="33"/>
        <v>0</v>
      </c>
      <c r="H303" s="2" t="str">
        <f t="shared" si="34"/>
        <v>0</v>
      </c>
      <c r="I303" s="2">
        <v>12200200</v>
      </c>
      <c r="J303" s="3" t="s">
        <v>406</v>
      </c>
      <c r="K303" s="3" t="s">
        <v>407</v>
      </c>
      <c r="L303" s="3"/>
    </row>
    <row r="304" spans="2:12" ht="105" x14ac:dyDescent="0.25">
      <c r="B304" s="7" t="str">
        <f t="shared" si="28"/>
        <v>1</v>
      </c>
      <c r="C304" s="7" t="str">
        <f t="shared" si="29"/>
        <v>2</v>
      </c>
      <c r="D304" s="7" t="str">
        <f t="shared" si="30"/>
        <v>2</v>
      </c>
      <c r="E304" s="7" t="str">
        <f t="shared" si="31"/>
        <v>0</v>
      </c>
      <c r="F304" s="7" t="str">
        <f t="shared" si="32"/>
        <v>02</v>
      </c>
      <c r="G304" s="7" t="str">
        <f t="shared" si="33"/>
        <v>1</v>
      </c>
      <c r="H304" s="7" t="str">
        <f t="shared" si="34"/>
        <v>0</v>
      </c>
      <c r="I304" s="7">
        <v>12200210</v>
      </c>
      <c r="J304" s="8" t="s">
        <v>406</v>
      </c>
      <c r="K304" s="8" t="s">
        <v>408</v>
      </c>
      <c r="L304" s="8"/>
    </row>
    <row r="305" spans="2:12" ht="75" x14ac:dyDescent="0.25">
      <c r="B305" s="2" t="str">
        <f t="shared" si="28"/>
        <v>1</v>
      </c>
      <c r="C305" s="2" t="str">
        <f t="shared" si="29"/>
        <v>2</v>
      </c>
      <c r="D305" s="2" t="str">
        <f t="shared" si="30"/>
        <v>2</v>
      </c>
      <c r="E305" s="2" t="str">
        <f t="shared" si="31"/>
        <v>0</v>
      </c>
      <c r="F305" s="2" t="str">
        <f t="shared" si="32"/>
        <v>03</v>
      </c>
      <c r="G305" s="2" t="str">
        <f t="shared" si="33"/>
        <v>0</v>
      </c>
      <c r="H305" s="2" t="str">
        <f t="shared" si="34"/>
        <v>0</v>
      </c>
      <c r="I305" s="2">
        <v>12200300</v>
      </c>
      <c r="J305" s="3" t="s">
        <v>55</v>
      </c>
      <c r="K305" s="3" t="s">
        <v>409</v>
      </c>
      <c r="L305" s="3"/>
    </row>
    <row r="306" spans="2:12" ht="75" x14ac:dyDescent="0.25">
      <c r="B306" s="7" t="str">
        <f t="shared" si="28"/>
        <v>1</v>
      </c>
      <c r="C306" s="7" t="str">
        <f t="shared" si="29"/>
        <v>2</v>
      </c>
      <c r="D306" s="7" t="str">
        <f t="shared" si="30"/>
        <v>2</v>
      </c>
      <c r="E306" s="7" t="str">
        <f t="shared" si="31"/>
        <v>0</v>
      </c>
      <c r="F306" s="7" t="str">
        <f t="shared" si="32"/>
        <v>03</v>
      </c>
      <c r="G306" s="7" t="str">
        <f t="shared" si="33"/>
        <v>1</v>
      </c>
      <c r="H306" s="7" t="str">
        <f t="shared" si="34"/>
        <v>0</v>
      </c>
      <c r="I306" s="7">
        <v>12200310</v>
      </c>
      <c r="J306" s="8" t="s">
        <v>55</v>
      </c>
      <c r="K306" s="8" t="s">
        <v>409</v>
      </c>
      <c r="L306" s="8"/>
    </row>
    <row r="307" spans="2:12" ht="150" x14ac:dyDescent="0.25">
      <c r="B307" s="2" t="str">
        <f t="shared" si="28"/>
        <v>1</v>
      </c>
      <c r="C307" s="2" t="str">
        <f t="shared" si="29"/>
        <v>2</v>
      </c>
      <c r="D307" s="2" t="str">
        <f t="shared" si="30"/>
        <v>2</v>
      </c>
      <c r="E307" s="2" t="str">
        <f t="shared" si="31"/>
        <v>0</v>
      </c>
      <c r="F307" s="2" t="str">
        <f t="shared" si="32"/>
        <v>04</v>
      </c>
      <c r="G307" s="2" t="str">
        <f t="shared" si="33"/>
        <v>0</v>
      </c>
      <c r="H307" s="2" t="str">
        <f t="shared" si="34"/>
        <v>0</v>
      </c>
      <c r="I307" s="2">
        <v>12200400</v>
      </c>
      <c r="J307" s="3" t="s">
        <v>410</v>
      </c>
      <c r="K307" s="3" t="s">
        <v>411</v>
      </c>
      <c r="L307" s="3"/>
    </row>
    <row r="308" spans="2:12" ht="150" x14ac:dyDescent="0.25">
      <c r="B308" s="7" t="str">
        <f t="shared" si="28"/>
        <v>1</v>
      </c>
      <c r="C308" s="7" t="str">
        <f t="shared" si="29"/>
        <v>2</v>
      </c>
      <c r="D308" s="7" t="str">
        <f t="shared" si="30"/>
        <v>2</v>
      </c>
      <c r="E308" s="7" t="str">
        <f t="shared" si="31"/>
        <v>0</v>
      </c>
      <c r="F308" s="7" t="str">
        <f t="shared" si="32"/>
        <v>04</v>
      </c>
      <c r="G308" s="7" t="str">
        <f t="shared" si="33"/>
        <v>1</v>
      </c>
      <c r="H308" s="7" t="str">
        <f t="shared" si="34"/>
        <v>0</v>
      </c>
      <c r="I308" s="7">
        <v>12200410</v>
      </c>
      <c r="J308" s="8" t="s">
        <v>410</v>
      </c>
      <c r="K308" s="8" t="s">
        <v>411</v>
      </c>
      <c r="L308" s="8"/>
    </row>
    <row r="309" spans="2:12" ht="78" customHeight="1" x14ac:dyDescent="0.25">
      <c r="B309" s="2" t="str">
        <f t="shared" si="28"/>
        <v>1</v>
      </c>
      <c r="C309" s="2" t="str">
        <f t="shared" si="29"/>
        <v>2</v>
      </c>
      <c r="D309" s="2" t="str">
        <f t="shared" si="30"/>
        <v>2</v>
      </c>
      <c r="E309" s="2" t="str">
        <f t="shared" si="31"/>
        <v>0</v>
      </c>
      <c r="F309" s="2" t="str">
        <f t="shared" si="32"/>
        <v>05</v>
      </c>
      <c r="G309" s="2" t="str">
        <f t="shared" si="33"/>
        <v>0</v>
      </c>
      <c r="H309" s="2" t="str">
        <f t="shared" si="34"/>
        <v>0</v>
      </c>
      <c r="I309" s="2">
        <v>12200500</v>
      </c>
      <c r="J309" s="3" t="s">
        <v>412</v>
      </c>
      <c r="K309" s="3" t="s">
        <v>413</v>
      </c>
      <c r="L309" s="3"/>
    </row>
    <row r="310" spans="2:12" ht="59.25" customHeight="1" x14ac:dyDescent="0.25">
      <c r="B310" s="7" t="str">
        <f t="shared" si="28"/>
        <v>1</v>
      </c>
      <c r="C310" s="7" t="str">
        <f t="shared" si="29"/>
        <v>2</v>
      </c>
      <c r="D310" s="7" t="str">
        <f t="shared" si="30"/>
        <v>2</v>
      </c>
      <c r="E310" s="7" t="str">
        <f t="shared" si="31"/>
        <v>0</v>
      </c>
      <c r="F310" s="7" t="str">
        <f t="shared" si="32"/>
        <v>05</v>
      </c>
      <c r="G310" s="7" t="str">
        <f t="shared" si="33"/>
        <v>1</v>
      </c>
      <c r="H310" s="7" t="str">
        <f t="shared" si="34"/>
        <v>0</v>
      </c>
      <c r="I310" s="7">
        <v>12200510</v>
      </c>
      <c r="J310" s="8" t="s">
        <v>412</v>
      </c>
      <c r="K310" s="8" t="s">
        <v>413</v>
      </c>
      <c r="L310" s="8"/>
    </row>
    <row r="311" spans="2:12" ht="54" customHeight="1" x14ac:dyDescent="0.25">
      <c r="B311" s="2" t="str">
        <f t="shared" si="28"/>
        <v>1</v>
      </c>
      <c r="C311" s="2" t="str">
        <f t="shared" si="29"/>
        <v>2</v>
      </c>
      <c r="D311" s="2" t="str">
        <f t="shared" si="30"/>
        <v>2</v>
      </c>
      <c r="E311" s="2" t="str">
        <f t="shared" si="31"/>
        <v>0</v>
      </c>
      <c r="F311" s="2" t="str">
        <f t="shared" si="32"/>
        <v>06</v>
      </c>
      <c r="G311" s="2" t="str">
        <f t="shared" si="33"/>
        <v>0</v>
      </c>
      <c r="H311" s="2" t="str">
        <f t="shared" si="34"/>
        <v>0</v>
      </c>
      <c r="I311" s="2">
        <v>12200600</v>
      </c>
      <c r="J311" s="3" t="s">
        <v>414</v>
      </c>
      <c r="K311" s="3" t="s">
        <v>415</v>
      </c>
      <c r="L311" s="3"/>
    </row>
    <row r="312" spans="2:12" ht="47.25" customHeight="1" x14ac:dyDescent="0.25">
      <c r="B312" s="7" t="str">
        <f t="shared" si="28"/>
        <v>1</v>
      </c>
      <c r="C312" s="7" t="str">
        <f t="shared" si="29"/>
        <v>2</v>
      </c>
      <c r="D312" s="7" t="str">
        <f t="shared" si="30"/>
        <v>2</v>
      </c>
      <c r="E312" s="7" t="str">
        <f t="shared" si="31"/>
        <v>0</v>
      </c>
      <c r="F312" s="7" t="str">
        <f t="shared" si="32"/>
        <v>06</v>
      </c>
      <c r="G312" s="7" t="str">
        <f t="shared" si="33"/>
        <v>1</v>
      </c>
      <c r="H312" s="7" t="str">
        <f t="shared" si="34"/>
        <v>0</v>
      </c>
      <c r="I312" s="7">
        <v>12200610</v>
      </c>
      <c r="J312" s="8" t="s">
        <v>414</v>
      </c>
      <c r="K312" s="8" t="s">
        <v>415</v>
      </c>
      <c r="L312" s="8"/>
    </row>
    <row r="313" spans="2:12" ht="90" x14ac:dyDescent="0.25">
      <c r="B313" s="2" t="str">
        <f t="shared" si="28"/>
        <v>1</v>
      </c>
      <c r="C313" s="2" t="str">
        <f t="shared" si="29"/>
        <v>2</v>
      </c>
      <c r="D313" s="2" t="str">
        <f t="shared" si="30"/>
        <v>2</v>
      </c>
      <c r="E313" s="2" t="str">
        <f t="shared" si="31"/>
        <v>0</v>
      </c>
      <c r="F313" s="2" t="str">
        <f t="shared" si="32"/>
        <v>07</v>
      </c>
      <c r="G313" s="2" t="str">
        <f t="shared" si="33"/>
        <v>0</v>
      </c>
      <c r="H313" s="2" t="str">
        <f t="shared" si="34"/>
        <v>0</v>
      </c>
      <c r="I313" s="2">
        <v>12200700</v>
      </c>
      <c r="J313" s="3" t="s">
        <v>416</v>
      </c>
      <c r="K313" s="3" t="s">
        <v>417</v>
      </c>
      <c r="L313" s="3"/>
    </row>
    <row r="314" spans="2:12" ht="90" x14ac:dyDescent="0.25">
      <c r="B314" s="7" t="str">
        <f t="shared" si="28"/>
        <v>1</v>
      </c>
      <c r="C314" s="7" t="str">
        <f t="shared" si="29"/>
        <v>2</v>
      </c>
      <c r="D314" s="7" t="str">
        <f t="shared" si="30"/>
        <v>2</v>
      </c>
      <c r="E314" s="7" t="str">
        <f t="shared" si="31"/>
        <v>0</v>
      </c>
      <c r="F314" s="7" t="str">
        <f t="shared" si="32"/>
        <v>07</v>
      </c>
      <c r="G314" s="7" t="str">
        <f t="shared" si="33"/>
        <v>1</v>
      </c>
      <c r="H314" s="7" t="str">
        <f t="shared" si="34"/>
        <v>0</v>
      </c>
      <c r="I314" s="7">
        <v>12200710</v>
      </c>
      <c r="J314" s="8" t="s">
        <v>416</v>
      </c>
      <c r="K314" s="8" t="s">
        <v>417</v>
      </c>
      <c r="L314" s="8"/>
    </row>
    <row r="315" spans="2:12" ht="45" x14ac:dyDescent="0.25">
      <c r="B315" s="2" t="str">
        <f t="shared" si="28"/>
        <v>1</v>
      </c>
      <c r="C315" s="2" t="str">
        <f t="shared" si="29"/>
        <v>2</v>
      </c>
      <c r="D315" s="2" t="str">
        <f t="shared" si="30"/>
        <v>2</v>
      </c>
      <c r="E315" s="2" t="str">
        <f t="shared" si="31"/>
        <v>0</v>
      </c>
      <c r="F315" s="2" t="str">
        <f t="shared" si="32"/>
        <v>08</v>
      </c>
      <c r="G315" s="2" t="str">
        <f t="shared" si="33"/>
        <v>0</v>
      </c>
      <c r="H315" s="2" t="str">
        <f t="shared" si="34"/>
        <v>0</v>
      </c>
      <c r="I315" s="2">
        <v>12200800</v>
      </c>
      <c r="J315" s="3" t="s">
        <v>418</v>
      </c>
      <c r="K315" s="3" t="s">
        <v>419</v>
      </c>
      <c r="L315" s="3"/>
    </row>
    <row r="316" spans="2:12" ht="45" x14ac:dyDescent="0.25">
      <c r="B316" s="7" t="str">
        <f t="shared" si="28"/>
        <v>1</v>
      </c>
      <c r="C316" s="7" t="str">
        <f t="shared" si="29"/>
        <v>2</v>
      </c>
      <c r="D316" s="7" t="str">
        <f t="shared" si="30"/>
        <v>2</v>
      </c>
      <c r="E316" s="7" t="str">
        <f t="shared" si="31"/>
        <v>0</v>
      </c>
      <c r="F316" s="7" t="str">
        <f t="shared" si="32"/>
        <v>08</v>
      </c>
      <c r="G316" s="7" t="str">
        <f t="shared" si="33"/>
        <v>1</v>
      </c>
      <c r="H316" s="7" t="str">
        <f t="shared" si="34"/>
        <v>0</v>
      </c>
      <c r="I316" s="7">
        <v>12200810</v>
      </c>
      <c r="J316" s="8" t="s">
        <v>420</v>
      </c>
      <c r="K316" s="8" t="s">
        <v>421</v>
      </c>
      <c r="L316" s="8"/>
    </row>
    <row r="317" spans="2:12" ht="45" x14ac:dyDescent="0.25">
      <c r="B317" s="7" t="str">
        <f t="shared" si="28"/>
        <v>1</v>
      </c>
      <c r="C317" s="7" t="str">
        <f t="shared" si="29"/>
        <v>2</v>
      </c>
      <c r="D317" s="7" t="str">
        <f t="shared" si="30"/>
        <v>2</v>
      </c>
      <c r="E317" s="7" t="str">
        <f t="shared" si="31"/>
        <v>0</v>
      </c>
      <c r="F317" s="7" t="str">
        <f t="shared" si="32"/>
        <v>08</v>
      </c>
      <c r="G317" s="7" t="str">
        <f t="shared" si="33"/>
        <v>2</v>
      </c>
      <c r="H317" s="7" t="str">
        <f t="shared" si="34"/>
        <v>0</v>
      </c>
      <c r="I317" s="7">
        <v>12200820</v>
      </c>
      <c r="J317" s="8" t="s">
        <v>422</v>
      </c>
      <c r="K317" s="8" t="s">
        <v>423</v>
      </c>
      <c r="L317" s="8"/>
    </row>
    <row r="318" spans="2:12" ht="75" x14ac:dyDescent="0.25">
      <c r="B318" s="2" t="str">
        <f t="shared" si="28"/>
        <v>1</v>
      </c>
      <c r="C318" s="2" t="str">
        <f t="shared" si="29"/>
        <v>2</v>
      </c>
      <c r="D318" s="2" t="str">
        <f t="shared" si="30"/>
        <v>2</v>
      </c>
      <c r="E318" s="2" t="str">
        <f t="shared" si="31"/>
        <v>0</v>
      </c>
      <c r="F318" s="2" t="str">
        <f t="shared" si="32"/>
        <v>09</v>
      </c>
      <c r="G318" s="2" t="str">
        <f t="shared" si="33"/>
        <v>0</v>
      </c>
      <c r="H318" s="2" t="str">
        <f t="shared" si="34"/>
        <v>0</v>
      </c>
      <c r="I318" s="2">
        <v>12200900</v>
      </c>
      <c r="J318" s="3" t="s">
        <v>56</v>
      </c>
      <c r="K318" s="3" t="s">
        <v>424</v>
      </c>
      <c r="L318" s="3"/>
    </row>
    <row r="319" spans="2:12" ht="135" x14ac:dyDescent="0.25">
      <c r="B319" s="7" t="str">
        <f t="shared" si="28"/>
        <v>1</v>
      </c>
      <c r="C319" s="7" t="str">
        <f t="shared" si="29"/>
        <v>2</v>
      </c>
      <c r="D319" s="7" t="str">
        <f t="shared" si="30"/>
        <v>2</v>
      </c>
      <c r="E319" s="7" t="str">
        <f t="shared" si="31"/>
        <v>0</v>
      </c>
      <c r="F319" s="7" t="str">
        <f t="shared" si="32"/>
        <v>09</v>
      </c>
      <c r="G319" s="7" t="str">
        <f t="shared" si="33"/>
        <v>1</v>
      </c>
      <c r="H319" s="7" t="str">
        <f t="shared" si="34"/>
        <v>0</v>
      </c>
      <c r="I319" s="7">
        <v>12200910</v>
      </c>
      <c r="J319" s="8" t="s">
        <v>425</v>
      </c>
      <c r="K319" s="8" t="s">
        <v>426</v>
      </c>
      <c r="L319" s="8"/>
    </row>
    <row r="320" spans="2:12" ht="135" x14ac:dyDescent="0.25">
      <c r="B320" s="7" t="str">
        <f t="shared" si="28"/>
        <v>1</v>
      </c>
      <c r="C320" s="7" t="str">
        <f t="shared" si="29"/>
        <v>2</v>
      </c>
      <c r="D320" s="7" t="str">
        <f t="shared" si="30"/>
        <v>2</v>
      </c>
      <c r="E320" s="7" t="str">
        <f t="shared" si="31"/>
        <v>0</v>
      </c>
      <c r="F320" s="7" t="str">
        <f t="shared" si="32"/>
        <v>09</v>
      </c>
      <c r="G320" s="7" t="str">
        <f t="shared" si="33"/>
        <v>2</v>
      </c>
      <c r="H320" s="7" t="str">
        <f t="shared" si="34"/>
        <v>0</v>
      </c>
      <c r="I320" s="7">
        <v>12200920</v>
      </c>
      <c r="J320" s="8" t="s">
        <v>57</v>
      </c>
      <c r="K320" s="8" t="s">
        <v>427</v>
      </c>
      <c r="L320" s="8"/>
    </row>
    <row r="321" spans="2:12" ht="30" x14ac:dyDescent="0.25">
      <c r="B321" s="2" t="str">
        <f t="shared" si="28"/>
        <v>1</v>
      </c>
      <c r="C321" s="2" t="str">
        <f t="shared" si="29"/>
        <v>2</v>
      </c>
      <c r="D321" s="2" t="str">
        <f t="shared" si="30"/>
        <v>2</v>
      </c>
      <c r="E321" s="2" t="str">
        <f t="shared" si="31"/>
        <v>0</v>
      </c>
      <c r="F321" s="2" t="str">
        <f t="shared" si="32"/>
        <v>10</v>
      </c>
      <c r="G321" s="2" t="str">
        <f t="shared" si="33"/>
        <v>0</v>
      </c>
      <c r="H321" s="2" t="str">
        <f t="shared" si="34"/>
        <v>0</v>
      </c>
      <c r="I321" s="2">
        <v>12201000</v>
      </c>
      <c r="J321" s="3" t="s">
        <v>58</v>
      </c>
      <c r="K321" s="3" t="s">
        <v>428</v>
      </c>
      <c r="L321" s="3"/>
    </row>
    <row r="322" spans="2:12" ht="30" x14ac:dyDescent="0.25">
      <c r="B322" s="7" t="str">
        <f t="shared" si="28"/>
        <v>1</v>
      </c>
      <c r="C322" s="7" t="str">
        <f t="shared" si="29"/>
        <v>2</v>
      </c>
      <c r="D322" s="7" t="str">
        <f t="shared" si="30"/>
        <v>2</v>
      </c>
      <c r="E322" s="7" t="str">
        <f t="shared" si="31"/>
        <v>0</v>
      </c>
      <c r="F322" s="7" t="str">
        <f t="shared" si="32"/>
        <v>10</v>
      </c>
      <c r="G322" s="7" t="str">
        <f t="shared" si="33"/>
        <v>1</v>
      </c>
      <c r="H322" s="7" t="str">
        <f t="shared" si="34"/>
        <v>0</v>
      </c>
      <c r="I322" s="7">
        <v>12201010</v>
      </c>
      <c r="J322" s="8" t="s">
        <v>58</v>
      </c>
      <c r="K322" s="8" t="s">
        <v>428</v>
      </c>
      <c r="L322" s="8"/>
    </row>
    <row r="323" spans="2:12" ht="30" x14ac:dyDescent="0.25">
      <c r="B323" s="2" t="str">
        <f t="shared" ref="B323:B386" si="35">MID($I323,1,1)</f>
        <v>1</v>
      </c>
      <c r="C323" s="2" t="str">
        <f t="shared" ref="C323:C386" si="36">MID($I323,2,1)</f>
        <v>2</v>
      </c>
      <c r="D323" s="2" t="str">
        <f t="shared" ref="D323:D386" si="37">MID($I323,3,1)</f>
        <v>2</v>
      </c>
      <c r="E323" s="2" t="str">
        <f t="shared" ref="E323:E386" si="38">MID($I323,4,1)</f>
        <v>0</v>
      </c>
      <c r="F323" s="2" t="str">
        <f t="shared" ref="F323:F386" si="39">MID($I323,5,2)</f>
        <v>11</v>
      </c>
      <c r="G323" s="2" t="str">
        <f t="shared" ref="G323:G386" si="40">MID($I323,7,1)</f>
        <v>0</v>
      </c>
      <c r="H323" s="2" t="str">
        <f t="shared" ref="H323:H386" si="41">MID($I323,8,1)</f>
        <v>0</v>
      </c>
      <c r="I323" s="2">
        <v>12201100</v>
      </c>
      <c r="J323" s="3" t="s">
        <v>59</v>
      </c>
      <c r="K323" s="3"/>
      <c r="L323" s="3"/>
    </row>
    <row r="324" spans="2:12" ht="30" x14ac:dyDescent="0.25">
      <c r="B324" s="7" t="str">
        <f t="shared" si="35"/>
        <v>1</v>
      </c>
      <c r="C324" s="7" t="str">
        <f t="shared" si="36"/>
        <v>2</v>
      </c>
      <c r="D324" s="7" t="str">
        <f t="shared" si="37"/>
        <v>2</v>
      </c>
      <c r="E324" s="7" t="str">
        <f t="shared" si="38"/>
        <v>0</v>
      </c>
      <c r="F324" s="7" t="str">
        <f t="shared" si="39"/>
        <v>11</v>
      </c>
      <c r="G324" s="7" t="str">
        <f t="shared" si="40"/>
        <v>1</v>
      </c>
      <c r="H324" s="7" t="str">
        <f t="shared" si="41"/>
        <v>0</v>
      </c>
      <c r="I324" s="7">
        <v>12201110</v>
      </c>
      <c r="J324" s="8" t="s">
        <v>928</v>
      </c>
      <c r="K324" s="8"/>
      <c r="L324" s="8"/>
    </row>
    <row r="325" spans="2:12" ht="30" x14ac:dyDescent="0.25">
      <c r="B325" s="7" t="str">
        <f t="shared" si="35"/>
        <v>1</v>
      </c>
      <c r="C325" s="7" t="str">
        <f t="shared" si="36"/>
        <v>2</v>
      </c>
      <c r="D325" s="7" t="str">
        <f t="shared" si="37"/>
        <v>2</v>
      </c>
      <c r="E325" s="7" t="str">
        <f t="shared" si="38"/>
        <v>0</v>
      </c>
      <c r="F325" s="7" t="str">
        <f t="shared" si="39"/>
        <v>11</v>
      </c>
      <c r="G325" s="7" t="str">
        <f t="shared" si="40"/>
        <v>2</v>
      </c>
      <c r="H325" s="7" t="str">
        <f t="shared" si="41"/>
        <v>0</v>
      </c>
      <c r="I325" s="7">
        <v>12201120</v>
      </c>
      <c r="J325" s="8" t="s">
        <v>929</v>
      </c>
      <c r="K325" s="8"/>
      <c r="L325" s="8"/>
    </row>
    <row r="326" spans="2:12" ht="30" x14ac:dyDescent="0.25">
      <c r="B326" s="2" t="str">
        <f t="shared" si="35"/>
        <v>1</v>
      </c>
      <c r="C326" s="2" t="str">
        <f t="shared" si="36"/>
        <v>2</v>
      </c>
      <c r="D326" s="2" t="str">
        <f t="shared" si="37"/>
        <v>2</v>
      </c>
      <c r="E326" s="2" t="str">
        <f t="shared" si="38"/>
        <v>0</v>
      </c>
      <c r="F326" s="2" t="str">
        <f t="shared" si="39"/>
        <v>99</v>
      </c>
      <c r="G326" s="2" t="str">
        <f t="shared" si="40"/>
        <v>0</v>
      </c>
      <c r="H326" s="2" t="str">
        <f t="shared" si="41"/>
        <v>0</v>
      </c>
      <c r="I326" s="2">
        <v>12209900</v>
      </c>
      <c r="J326" s="3" t="s">
        <v>60</v>
      </c>
      <c r="K326" s="3" t="s">
        <v>429</v>
      </c>
      <c r="L326" s="3"/>
    </row>
    <row r="327" spans="2:12" ht="30" x14ac:dyDescent="0.25">
      <c r="B327" s="7" t="str">
        <f t="shared" si="35"/>
        <v>1</v>
      </c>
      <c r="C327" s="7" t="str">
        <f t="shared" si="36"/>
        <v>2</v>
      </c>
      <c r="D327" s="7" t="str">
        <f t="shared" si="37"/>
        <v>2</v>
      </c>
      <c r="E327" s="7" t="str">
        <f t="shared" si="38"/>
        <v>0</v>
      </c>
      <c r="F327" s="7" t="str">
        <f t="shared" si="39"/>
        <v>99</v>
      </c>
      <c r="G327" s="7" t="str">
        <f t="shared" si="40"/>
        <v>1</v>
      </c>
      <c r="H327" s="7" t="str">
        <f t="shared" si="41"/>
        <v>0</v>
      </c>
      <c r="I327" s="7">
        <v>12209910</v>
      </c>
      <c r="J327" s="8" t="s">
        <v>60</v>
      </c>
      <c r="K327" s="8" t="s">
        <v>429</v>
      </c>
      <c r="L327" s="8"/>
    </row>
    <row r="328" spans="2:12" ht="30" x14ac:dyDescent="0.25">
      <c r="B328" s="17" t="str">
        <f t="shared" si="35"/>
        <v>1</v>
      </c>
      <c r="C328" s="17" t="str">
        <f t="shared" si="36"/>
        <v>2</v>
      </c>
      <c r="D328" s="17" t="str">
        <f t="shared" si="37"/>
        <v>2</v>
      </c>
      <c r="E328" s="17" t="str">
        <f t="shared" si="38"/>
        <v>8</v>
      </c>
      <c r="F328" s="17" t="str">
        <f t="shared" si="39"/>
        <v>00</v>
      </c>
      <c r="G328" s="17" t="str">
        <f t="shared" si="40"/>
        <v>0</v>
      </c>
      <c r="H328" s="17" t="str">
        <f t="shared" si="41"/>
        <v>0</v>
      </c>
      <c r="I328" s="17">
        <v>12280000</v>
      </c>
      <c r="J328" s="16" t="s">
        <v>930</v>
      </c>
      <c r="K328" s="16" t="s">
        <v>931</v>
      </c>
      <c r="L328" s="16"/>
    </row>
    <row r="329" spans="2:12" ht="30" x14ac:dyDescent="0.25">
      <c r="B329" s="2" t="str">
        <f t="shared" si="35"/>
        <v>1</v>
      </c>
      <c r="C329" s="2" t="str">
        <f t="shared" si="36"/>
        <v>2</v>
      </c>
      <c r="D329" s="2" t="str">
        <f t="shared" si="37"/>
        <v>2</v>
      </c>
      <c r="E329" s="2" t="str">
        <f t="shared" si="38"/>
        <v>8</v>
      </c>
      <c r="F329" s="2" t="str">
        <f t="shared" si="39"/>
        <v>01</v>
      </c>
      <c r="G329" s="2" t="str">
        <f t="shared" si="40"/>
        <v>0</v>
      </c>
      <c r="H329" s="2" t="str">
        <f t="shared" si="41"/>
        <v>0</v>
      </c>
      <c r="I329" s="2">
        <v>12280100</v>
      </c>
      <c r="J329" s="3" t="s">
        <v>932</v>
      </c>
      <c r="K329" s="3" t="s">
        <v>933</v>
      </c>
      <c r="L329" s="3"/>
    </row>
    <row r="330" spans="2:12" ht="30" x14ac:dyDescent="0.25">
      <c r="B330" s="7" t="str">
        <f t="shared" si="35"/>
        <v>1</v>
      </c>
      <c r="C330" s="7" t="str">
        <f t="shared" si="36"/>
        <v>2</v>
      </c>
      <c r="D330" s="7" t="str">
        <f t="shared" si="37"/>
        <v>2</v>
      </c>
      <c r="E330" s="7" t="str">
        <f t="shared" si="38"/>
        <v>8</v>
      </c>
      <c r="F330" s="7" t="str">
        <f t="shared" si="39"/>
        <v>01</v>
      </c>
      <c r="G330" s="7" t="str">
        <f t="shared" si="40"/>
        <v>1</v>
      </c>
      <c r="H330" s="7" t="str">
        <f t="shared" si="41"/>
        <v>0</v>
      </c>
      <c r="I330" s="7">
        <v>12280110</v>
      </c>
      <c r="J330" s="8" t="s">
        <v>934</v>
      </c>
      <c r="K330" s="8" t="s">
        <v>935</v>
      </c>
      <c r="L330" s="8"/>
    </row>
    <row r="331" spans="2:12" ht="45" x14ac:dyDescent="0.25">
      <c r="B331" s="27" t="str">
        <f t="shared" si="35"/>
        <v>1</v>
      </c>
      <c r="C331" s="27" t="str">
        <f t="shared" si="36"/>
        <v>2</v>
      </c>
      <c r="D331" s="27" t="str">
        <f t="shared" si="37"/>
        <v>3</v>
      </c>
      <c r="E331" s="27" t="str">
        <f t="shared" si="38"/>
        <v>0</v>
      </c>
      <c r="F331" s="27" t="str">
        <f t="shared" si="39"/>
        <v>00</v>
      </c>
      <c r="G331" s="27" t="str">
        <f t="shared" si="40"/>
        <v>0</v>
      </c>
      <c r="H331" s="27" t="str">
        <f t="shared" si="41"/>
        <v>0</v>
      </c>
      <c r="I331" s="27">
        <v>12300000</v>
      </c>
      <c r="J331" s="26" t="s">
        <v>430</v>
      </c>
      <c r="K331" s="26" t="s">
        <v>431</v>
      </c>
      <c r="L331" s="26"/>
    </row>
    <row r="332" spans="2:12" ht="45" x14ac:dyDescent="0.25">
      <c r="B332" s="2" t="str">
        <f t="shared" si="35"/>
        <v>1</v>
      </c>
      <c r="C332" s="2" t="str">
        <f t="shared" si="36"/>
        <v>2</v>
      </c>
      <c r="D332" s="2" t="str">
        <f t="shared" si="37"/>
        <v>3</v>
      </c>
      <c r="E332" s="2" t="str">
        <f t="shared" si="38"/>
        <v>0</v>
      </c>
      <c r="F332" s="2" t="str">
        <f t="shared" si="39"/>
        <v>01</v>
      </c>
      <c r="G332" s="2" t="str">
        <f t="shared" si="40"/>
        <v>0</v>
      </c>
      <c r="H332" s="2" t="str">
        <f t="shared" si="41"/>
        <v>0</v>
      </c>
      <c r="I332" s="2">
        <v>12300100</v>
      </c>
      <c r="J332" s="3" t="s">
        <v>430</v>
      </c>
      <c r="K332" s="3" t="s">
        <v>431</v>
      </c>
      <c r="L332" s="3"/>
    </row>
    <row r="333" spans="2:12" ht="45" x14ac:dyDescent="0.25">
      <c r="B333" s="7" t="str">
        <f t="shared" si="35"/>
        <v>1</v>
      </c>
      <c r="C333" s="7" t="str">
        <f t="shared" si="36"/>
        <v>2</v>
      </c>
      <c r="D333" s="7" t="str">
        <f t="shared" si="37"/>
        <v>3</v>
      </c>
      <c r="E333" s="7" t="str">
        <f t="shared" si="38"/>
        <v>0</v>
      </c>
      <c r="F333" s="7" t="str">
        <f t="shared" si="39"/>
        <v>01</v>
      </c>
      <c r="G333" s="7" t="str">
        <f t="shared" si="40"/>
        <v>1</v>
      </c>
      <c r="H333" s="7" t="str">
        <f t="shared" si="41"/>
        <v>0</v>
      </c>
      <c r="I333" s="7">
        <v>12300110</v>
      </c>
      <c r="J333" s="8" t="s">
        <v>430</v>
      </c>
      <c r="K333" s="8" t="s">
        <v>431</v>
      </c>
      <c r="L333" s="8"/>
    </row>
    <row r="334" spans="2:12" ht="30" x14ac:dyDescent="0.25">
      <c r="B334" s="27" t="str">
        <f t="shared" si="35"/>
        <v>1</v>
      </c>
      <c r="C334" s="27" t="str">
        <f t="shared" si="36"/>
        <v>2</v>
      </c>
      <c r="D334" s="27" t="str">
        <f t="shared" si="37"/>
        <v>4</v>
      </c>
      <c r="E334" s="27" t="str">
        <f t="shared" si="38"/>
        <v>0</v>
      </c>
      <c r="F334" s="27" t="str">
        <f t="shared" si="39"/>
        <v>00</v>
      </c>
      <c r="G334" s="27" t="str">
        <f t="shared" si="40"/>
        <v>0</v>
      </c>
      <c r="H334" s="27" t="str">
        <f t="shared" si="41"/>
        <v>0</v>
      </c>
      <c r="I334" s="27">
        <v>12400000</v>
      </c>
      <c r="J334" s="26" t="s">
        <v>61</v>
      </c>
      <c r="K334" s="26" t="s">
        <v>62</v>
      </c>
      <c r="L334" s="26"/>
    </row>
    <row r="335" spans="2:12" ht="30" x14ac:dyDescent="0.25">
      <c r="B335" s="7" t="str">
        <f t="shared" si="35"/>
        <v>1</v>
      </c>
      <c r="C335" s="7" t="str">
        <f t="shared" si="36"/>
        <v>2</v>
      </c>
      <c r="D335" s="7" t="str">
        <f t="shared" si="37"/>
        <v>4</v>
      </c>
      <c r="E335" s="7" t="str">
        <f t="shared" si="38"/>
        <v>0</v>
      </c>
      <c r="F335" s="7" t="str">
        <f t="shared" si="39"/>
        <v>00</v>
      </c>
      <c r="G335" s="7" t="str">
        <f t="shared" si="40"/>
        <v>1</v>
      </c>
      <c r="H335" s="7" t="str">
        <f t="shared" si="41"/>
        <v>0</v>
      </c>
      <c r="I335" s="7">
        <v>12400010</v>
      </c>
      <c r="J335" s="8" t="s">
        <v>61</v>
      </c>
      <c r="K335" s="8" t="s">
        <v>62</v>
      </c>
      <c r="L335" s="8"/>
    </row>
    <row r="336" spans="2:12" ht="30" x14ac:dyDescent="0.25">
      <c r="B336" s="6" t="str">
        <f t="shared" si="35"/>
        <v>1</v>
      </c>
      <c r="C336" s="6" t="str">
        <f t="shared" si="36"/>
        <v>3</v>
      </c>
      <c r="D336" s="6" t="str">
        <f t="shared" si="37"/>
        <v>0</v>
      </c>
      <c r="E336" s="6" t="str">
        <f t="shared" si="38"/>
        <v>0</v>
      </c>
      <c r="F336" s="6" t="str">
        <f t="shared" si="39"/>
        <v>00</v>
      </c>
      <c r="G336" s="6" t="str">
        <f t="shared" si="40"/>
        <v>0</v>
      </c>
      <c r="H336" s="6" t="str">
        <f t="shared" si="41"/>
        <v>0</v>
      </c>
      <c r="I336" s="6">
        <v>13000000</v>
      </c>
      <c r="J336" s="5" t="s">
        <v>63</v>
      </c>
      <c r="K336" s="5" t="s">
        <v>432</v>
      </c>
      <c r="L336" s="5"/>
    </row>
    <row r="337" spans="2:12" x14ac:dyDescent="0.25">
      <c r="B337" s="27" t="str">
        <f t="shared" si="35"/>
        <v>1</v>
      </c>
      <c r="C337" s="27" t="str">
        <f t="shared" si="36"/>
        <v>3</v>
      </c>
      <c r="D337" s="27" t="str">
        <f t="shared" si="37"/>
        <v>1</v>
      </c>
      <c r="E337" s="27" t="str">
        <f t="shared" si="38"/>
        <v>0</v>
      </c>
      <c r="F337" s="27" t="str">
        <f t="shared" si="39"/>
        <v>00</v>
      </c>
      <c r="G337" s="27" t="str">
        <f t="shared" si="40"/>
        <v>0</v>
      </c>
      <c r="H337" s="27" t="str">
        <f t="shared" si="41"/>
        <v>0</v>
      </c>
      <c r="I337" s="27">
        <v>13100000</v>
      </c>
      <c r="J337" s="26" t="s">
        <v>433</v>
      </c>
      <c r="K337" s="26" t="s">
        <v>434</v>
      </c>
      <c r="L337" s="26"/>
    </row>
    <row r="338" spans="2:12" ht="60" x14ac:dyDescent="0.25">
      <c r="B338" s="2" t="str">
        <f t="shared" si="35"/>
        <v>1</v>
      </c>
      <c r="C338" s="2" t="str">
        <f t="shared" si="36"/>
        <v>3</v>
      </c>
      <c r="D338" s="2" t="str">
        <f t="shared" si="37"/>
        <v>1</v>
      </c>
      <c r="E338" s="2" t="str">
        <f t="shared" si="38"/>
        <v>0</v>
      </c>
      <c r="F338" s="2" t="str">
        <f t="shared" si="39"/>
        <v>01</v>
      </c>
      <c r="G338" s="2" t="str">
        <f t="shared" si="40"/>
        <v>0</v>
      </c>
      <c r="H338" s="2" t="str">
        <f t="shared" si="41"/>
        <v>0</v>
      </c>
      <c r="I338" s="2">
        <v>13100100</v>
      </c>
      <c r="J338" s="3" t="s">
        <v>435</v>
      </c>
      <c r="K338" s="3" t="s">
        <v>436</v>
      </c>
      <c r="L338" s="3"/>
    </row>
    <row r="339" spans="2:12" ht="45" x14ac:dyDescent="0.25">
      <c r="B339" s="7" t="str">
        <f t="shared" si="35"/>
        <v>1</v>
      </c>
      <c r="C339" s="7" t="str">
        <f t="shared" si="36"/>
        <v>3</v>
      </c>
      <c r="D339" s="7" t="str">
        <f t="shared" si="37"/>
        <v>1</v>
      </c>
      <c r="E339" s="7" t="str">
        <f t="shared" si="38"/>
        <v>0</v>
      </c>
      <c r="F339" s="7" t="str">
        <f t="shared" si="39"/>
        <v>01</v>
      </c>
      <c r="G339" s="7" t="str">
        <f t="shared" si="40"/>
        <v>1</v>
      </c>
      <c r="H339" s="7" t="str">
        <f t="shared" si="41"/>
        <v>0</v>
      </c>
      <c r="I339" s="7">
        <v>13100110</v>
      </c>
      <c r="J339" s="8" t="s">
        <v>437</v>
      </c>
      <c r="K339" s="8" t="s">
        <v>438</v>
      </c>
      <c r="L339" s="8"/>
    </row>
    <row r="340" spans="2:12" ht="45" x14ac:dyDescent="0.25">
      <c r="B340" s="7" t="str">
        <f t="shared" si="35"/>
        <v>1</v>
      </c>
      <c r="C340" s="7" t="str">
        <f t="shared" si="36"/>
        <v>3</v>
      </c>
      <c r="D340" s="7" t="str">
        <f t="shared" si="37"/>
        <v>1</v>
      </c>
      <c r="E340" s="7" t="str">
        <f t="shared" si="38"/>
        <v>0</v>
      </c>
      <c r="F340" s="7" t="str">
        <f t="shared" si="39"/>
        <v>01</v>
      </c>
      <c r="G340" s="7" t="str">
        <f t="shared" si="40"/>
        <v>2</v>
      </c>
      <c r="H340" s="7" t="str">
        <f t="shared" si="41"/>
        <v>0</v>
      </c>
      <c r="I340" s="7">
        <v>13100120</v>
      </c>
      <c r="J340" s="8" t="s">
        <v>439</v>
      </c>
      <c r="K340" s="8" t="s">
        <v>440</v>
      </c>
      <c r="L340" s="8"/>
    </row>
    <row r="341" spans="2:12" ht="60" x14ac:dyDescent="0.25">
      <c r="B341" s="2" t="str">
        <f t="shared" si="35"/>
        <v>1</v>
      </c>
      <c r="C341" s="2" t="str">
        <f t="shared" si="36"/>
        <v>3</v>
      </c>
      <c r="D341" s="2" t="str">
        <f t="shared" si="37"/>
        <v>1</v>
      </c>
      <c r="E341" s="2" t="str">
        <f t="shared" si="38"/>
        <v>0</v>
      </c>
      <c r="F341" s="2" t="str">
        <f t="shared" si="39"/>
        <v>02</v>
      </c>
      <c r="G341" s="2" t="str">
        <f t="shared" si="40"/>
        <v>0</v>
      </c>
      <c r="H341" s="2" t="str">
        <f t="shared" si="41"/>
        <v>0</v>
      </c>
      <c r="I341" s="2">
        <v>13100200</v>
      </c>
      <c r="J341" s="3" t="s">
        <v>441</v>
      </c>
      <c r="K341" s="3" t="s">
        <v>442</v>
      </c>
      <c r="L341" s="3"/>
    </row>
    <row r="342" spans="2:12" ht="60" x14ac:dyDescent="0.25">
      <c r="B342" s="7" t="str">
        <f t="shared" si="35"/>
        <v>1</v>
      </c>
      <c r="C342" s="7" t="str">
        <f t="shared" si="36"/>
        <v>3</v>
      </c>
      <c r="D342" s="7" t="str">
        <f t="shared" si="37"/>
        <v>1</v>
      </c>
      <c r="E342" s="7" t="str">
        <f t="shared" si="38"/>
        <v>0</v>
      </c>
      <c r="F342" s="7" t="str">
        <f t="shared" si="39"/>
        <v>02</v>
      </c>
      <c r="G342" s="7" t="str">
        <f t="shared" si="40"/>
        <v>1</v>
      </c>
      <c r="H342" s="7" t="str">
        <f t="shared" si="41"/>
        <v>0</v>
      </c>
      <c r="I342" s="7">
        <v>13100210</v>
      </c>
      <c r="J342" s="8" t="s">
        <v>441</v>
      </c>
      <c r="K342" s="8" t="s">
        <v>442</v>
      </c>
      <c r="L342" s="8"/>
    </row>
    <row r="343" spans="2:12" ht="30" x14ac:dyDescent="0.25">
      <c r="B343" s="2" t="str">
        <f t="shared" si="35"/>
        <v>1</v>
      </c>
      <c r="C343" s="2" t="str">
        <f t="shared" si="36"/>
        <v>3</v>
      </c>
      <c r="D343" s="2" t="str">
        <f t="shared" si="37"/>
        <v>1</v>
      </c>
      <c r="E343" s="2" t="str">
        <f t="shared" si="38"/>
        <v>0</v>
      </c>
      <c r="F343" s="2" t="str">
        <f t="shared" si="39"/>
        <v>99</v>
      </c>
      <c r="G343" s="2" t="str">
        <f t="shared" si="40"/>
        <v>0</v>
      </c>
      <c r="H343" s="2" t="str">
        <f t="shared" si="41"/>
        <v>0</v>
      </c>
      <c r="I343" s="2">
        <v>13109900</v>
      </c>
      <c r="J343" s="3" t="s">
        <v>64</v>
      </c>
      <c r="K343" s="3" t="s">
        <v>443</v>
      </c>
      <c r="L343" s="3"/>
    </row>
    <row r="344" spans="2:12" ht="30" x14ac:dyDescent="0.25">
      <c r="B344" s="7" t="str">
        <f t="shared" si="35"/>
        <v>1</v>
      </c>
      <c r="C344" s="7" t="str">
        <f t="shared" si="36"/>
        <v>3</v>
      </c>
      <c r="D344" s="7" t="str">
        <f t="shared" si="37"/>
        <v>1</v>
      </c>
      <c r="E344" s="7" t="str">
        <f t="shared" si="38"/>
        <v>0</v>
      </c>
      <c r="F344" s="7" t="str">
        <f t="shared" si="39"/>
        <v>99</v>
      </c>
      <c r="G344" s="7" t="str">
        <f t="shared" si="40"/>
        <v>1</v>
      </c>
      <c r="H344" s="7" t="str">
        <f t="shared" si="41"/>
        <v>0</v>
      </c>
      <c r="I344" s="7">
        <v>13109910</v>
      </c>
      <c r="J344" s="8" t="s">
        <v>64</v>
      </c>
      <c r="K344" s="8" t="s">
        <v>443</v>
      </c>
      <c r="L344" s="8"/>
    </row>
    <row r="345" spans="2:12" x14ac:dyDescent="0.25">
      <c r="B345" s="27" t="str">
        <f t="shared" si="35"/>
        <v>1</v>
      </c>
      <c r="C345" s="27" t="str">
        <f t="shared" si="36"/>
        <v>3</v>
      </c>
      <c r="D345" s="27" t="str">
        <f t="shared" si="37"/>
        <v>2</v>
      </c>
      <c r="E345" s="27" t="str">
        <f t="shared" si="38"/>
        <v>0</v>
      </c>
      <c r="F345" s="27" t="str">
        <f t="shared" si="39"/>
        <v>00</v>
      </c>
      <c r="G345" s="27" t="str">
        <f t="shared" si="40"/>
        <v>0</v>
      </c>
      <c r="H345" s="27" t="str">
        <f t="shared" si="41"/>
        <v>0</v>
      </c>
      <c r="I345" s="27">
        <v>13200000</v>
      </c>
      <c r="J345" s="26" t="s">
        <v>444</v>
      </c>
      <c r="K345" s="26" t="s">
        <v>445</v>
      </c>
      <c r="L345" s="26"/>
    </row>
    <row r="346" spans="2:12" x14ac:dyDescent="0.25">
      <c r="B346" s="17" t="str">
        <f t="shared" si="35"/>
        <v>1</v>
      </c>
      <c r="C346" s="17" t="str">
        <f t="shared" si="36"/>
        <v>3</v>
      </c>
      <c r="D346" s="17" t="str">
        <f t="shared" si="37"/>
        <v>2</v>
      </c>
      <c r="E346" s="17" t="str">
        <f t="shared" si="38"/>
        <v>1</v>
      </c>
      <c r="F346" s="17" t="str">
        <f t="shared" si="39"/>
        <v>00</v>
      </c>
      <c r="G346" s="17" t="str">
        <f t="shared" si="40"/>
        <v>0</v>
      </c>
      <c r="H346" s="17" t="str">
        <f t="shared" si="41"/>
        <v>0</v>
      </c>
      <c r="I346" s="17">
        <v>13210000</v>
      </c>
      <c r="J346" s="16" t="s">
        <v>446</v>
      </c>
      <c r="K346" s="16" t="s">
        <v>447</v>
      </c>
      <c r="L346" s="16"/>
    </row>
    <row r="347" spans="2:12" ht="30" x14ac:dyDescent="0.25">
      <c r="B347" s="7" t="str">
        <f t="shared" si="35"/>
        <v>1</v>
      </c>
      <c r="C347" s="7" t="str">
        <f t="shared" si="36"/>
        <v>3</v>
      </c>
      <c r="D347" s="7" t="str">
        <f t="shared" si="37"/>
        <v>2</v>
      </c>
      <c r="E347" s="7" t="str">
        <f t="shared" si="38"/>
        <v>1</v>
      </c>
      <c r="F347" s="7" t="str">
        <f t="shared" si="39"/>
        <v>00</v>
      </c>
      <c r="G347" s="7" t="str">
        <f t="shared" si="40"/>
        <v>1</v>
      </c>
      <c r="H347" s="7" t="str">
        <f t="shared" si="41"/>
        <v>0</v>
      </c>
      <c r="I347" s="7">
        <v>13210010</v>
      </c>
      <c r="J347" s="8" t="s">
        <v>69</v>
      </c>
      <c r="K347" s="8" t="s">
        <v>448</v>
      </c>
      <c r="L347" s="8"/>
    </row>
    <row r="348" spans="2:12" ht="30" x14ac:dyDescent="0.25">
      <c r="B348" s="7" t="str">
        <f t="shared" si="35"/>
        <v>1</v>
      </c>
      <c r="C348" s="7" t="str">
        <f t="shared" si="36"/>
        <v>3</v>
      </c>
      <c r="D348" s="7" t="str">
        <f t="shared" si="37"/>
        <v>2</v>
      </c>
      <c r="E348" s="7" t="str">
        <f t="shared" si="38"/>
        <v>1</v>
      </c>
      <c r="F348" s="7" t="str">
        <f t="shared" si="39"/>
        <v>00</v>
      </c>
      <c r="G348" s="7" t="str">
        <f t="shared" si="40"/>
        <v>2</v>
      </c>
      <c r="H348" s="7" t="str">
        <f t="shared" si="41"/>
        <v>0</v>
      </c>
      <c r="I348" s="7">
        <v>13210020</v>
      </c>
      <c r="J348" s="8" t="s">
        <v>70</v>
      </c>
      <c r="K348" s="8" t="s">
        <v>449</v>
      </c>
      <c r="L348" s="8"/>
    </row>
    <row r="349" spans="2:12" ht="30" x14ac:dyDescent="0.25">
      <c r="B349" s="7" t="str">
        <f t="shared" si="35"/>
        <v>1</v>
      </c>
      <c r="C349" s="7" t="str">
        <f t="shared" si="36"/>
        <v>3</v>
      </c>
      <c r="D349" s="7" t="str">
        <f t="shared" si="37"/>
        <v>2</v>
      </c>
      <c r="E349" s="7" t="str">
        <f t="shared" si="38"/>
        <v>1</v>
      </c>
      <c r="F349" s="7" t="str">
        <f t="shared" si="39"/>
        <v>00</v>
      </c>
      <c r="G349" s="7" t="str">
        <f t="shared" si="40"/>
        <v>3</v>
      </c>
      <c r="H349" s="7" t="str">
        <f t="shared" si="41"/>
        <v>0</v>
      </c>
      <c r="I349" s="7">
        <v>13210030</v>
      </c>
      <c r="J349" s="8" t="s">
        <v>450</v>
      </c>
      <c r="K349" s="8" t="s">
        <v>451</v>
      </c>
      <c r="L349" s="8"/>
    </row>
    <row r="350" spans="2:12" ht="45" x14ac:dyDescent="0.25">
      <c r="B350" s="7" t="str">
        <f t="shared" si="35"/>
        <v>1</v>
      </c>
      <c r="C350" s="7" t="str">
        <f t="shared" si="36"/>
        <v>3</v>
      </c>
      <c r="D350" s="7" t="str">
        <f t="shared" si="37"/>
        <v>2</v>
      </c>
      <c r="E350" s="7" t="str">
        <f t="shared" si="38"/>
        <v>1</v>
      </c>
      <c r="F350" s="7" t="str">
        <f t="shared" si="39"/>
        <v>00</v>
      </c>
      <c r="G350" s="7" t="str">
        <f t="shared" si="40"/>
        <v>4</v>
      </c>
      <c r="H350" s="7" t="str">
        <f t="shared" si="41"/>
        <v>0</v>
      </c>
      <c r="I350" s="7">
        <v>13210040</v>
      </c>
      <c r="J350" s="8" t="s">
        <v>452</v>
      </c>
      <c r="K350" s="8" t="s">
        <v>453</v>
      </c>
      <c r="L350" s="8"/>
    </row>
    <row r="351" spans="2:12" ht="30" x14ac:dyDescent="0.25">
      <c r="B351" s="7" t="str">
        <f t="shared" si="35"/>
        <v>1</v>
      </c>
      <c r="C351" s="7" t="str">
        <f t="shared" si="36"/>
        <v>3</v>
      </c>
      <c r="D351" s="7" t="str">
        <f t="shared" si="37"/>
        <v>2</v>
      </c>
      <c r="E351" s="7" t="str">
        <f t="shared" si="38"/>
        <v>1</v>
      </c>
      <c r="F351" s="7" t="str">
        <f t="shared" si="39"/>
        <v>00</v>
      </c>
      <c r="G351" s="7" t="str">
        <f t="shared" si="40"/>
        <v>5</v>
      </c>
      <c r="H351" s="7" t="str">
        <f t="shared" si="41"/>
        <v>0</v>
      </c>
      <c r="I351" s="7">
        <v>13210050</v>
      </c>
      <c r="J351" s="8" t="s">
        <v>65</v>
      </c>
      <c r="K351" s="8" t="s">
        <v>454</v>
      </c>
      <c r="L351" s="8"/>
    </row>
    <row r="352" spans="2:12" ht="60" x14ac:dyDescent="0.25">
      <c r="B352" s="7" t="str">
        <f t="shared" si="35"/>
        <v>1</v>
      </c>
      <c r="C352" s="7" t="str">
        <f t="shared" si="36"/>
        <v>3</v>
      </c>
      <c r="D352" s="7" t="str">
        <f t="shared" si="37"/>
        <v>2</v>
      </c>
      <c r="E352" s="7" t="str">
        <f t="shared" si="38"/>
        <v>1</v>
      </c>
      <c r="F352" s="7" t="str">
        <f t="shared" si="39"/>
        <v>00</v>
      </c>
      <c r="G352" s="7" t="str">
        <f t="shared" si="40"/>
        <v>6</v>
      </c>
      <c r="H352" s="7" t="str">
        <f t="shared" si="41"/>
        <v>0</v>
      </c>
      <c r="I352" s="7">
        <v>13210060</v>
      </c>
      <c r="J352" s="8" t="s">
        <v>68</v>
      </c>
      <c r="K352" s="8" t="s">
        <v>455</v>
      </c>
      <c r="L352" s="8"/>
    </row>
    <row r="353" spans="2:12" x14ac:dyDescent="0.25">
      <c r="B353" s="17" t="str">
        <f t="shared" si="35"/>
        <v>1</v>
      </c>
      <c r="C353" s="17" t="str">
        <f t="shared" si="36"/>
        <v>3</v>
      </c>
      <c r="D353" s="17" t="str">
        <f t="shared" si="37"/>
        <v>2</v>
      </c>
      <c r="E353" s="17" t="str">
        <f t="shared" si="38"/>
        <v>2</v>
      </c>
      <c r="F353" s="17" t="str">
        <f t="shared" si="39"/>
        <v>00</v>
      </c>
      <c r="G353" s="17" t="str">
        <f t="shared" si="40"/>
        <v>0</v>
      </c>
      <c r="H353" s="17" t="str">
        <f t="shared" si="41"/>
        <v>0</v>
      </c>
      <c r="I353" s="17">
        <v>13220000</v>
      </c>
      <c r="J353" s="16" t="s">
        <v>66</v>
      </c>
      <c r="K353" s="16" t="s">
        <v>456</v>
      </c>
      <c r="L353" s="16"/>
    </row>
    <row r="354" spans="2:12" x14ac:dyDescent="0.25">
      <c r="B354" s="7" t="str">
        <f t="shared" si="35"/>
        <v>1</v>
      </c>
      <c r="C354" s="7" t="str">
        <f t="shared" si="36"/>
        <v>3</v>
      </c>
      <c r="D354" s="7" t="str">
        <f t="shared" si="37"/>
        <v>2</v>
      </c>
      <c r="E354" s="7" t="str">
        <f t="shared" si="38"/>
        <v>2</v>
      </c>
      <c r="F354" s="7" t="str">
        <f t="shared" si="39"/>
        <v>00</v>
      </c>
      <c r="G354" s="7" t="str">
        <f t="shared" si="40"/>
        <v>1</v>
      </c>
      <c r="H354" s="7" t="str">
        <f t="shared" si="41"/>
        <v>0</v>
      </c>
      <c r="I354" s="7">
        <v>13220010</v>
      </c>
      <c r="J354" s="8" t="s">
        <v>66</v>
      </c>
      <c r="K354" s="8" t="s">
        <v>456</v>
      </c>
      <c r="L354" s="8"/>
    </row>
    <row r="355" spans="2:12" ht="30" x14ac:dyDescent="0.25">
      <c r="B355" s="17" t="str">
        <f t="shared" si="35"/>
        <v>1</v>
      </c>
      <c r="C355" s="17" t="str">
        <f t="shared" si="36"/>
        <v>3</v>
      </c>
      <c r="D355" s="17" t="str">
        <f t="shared" si="37"/>
        <v>2</v>
      </c>
      <c r="E355" s="17" t="str">
        <f t="shared" si="38"/>
        <v>3</v>
      </c>
      <c r="F355" s="17" t="str">
        <f t="shared" si="39"/>
        <v>00</v>
      </c>
      <c r="G355" s="17" t="str">
        <f t="shared" si="40"/>
        <v>0</v>
      </c>
      <c r="H355" s="17" t="str">
        <f t="shared" si="41"/>
        <v>0</v>
      </c>
      <c r="I355" s="17">
        <v>13230000</v>
      </c>
      <c r="J355" s="16" t="s">
        <v>67</v>
      </c>
      <c r="K355" s="16" t="s">
        <v>457</v>
      </c>
      <c r="L355" s="16"/>
    </row>
    <row r="356" spans="2:12" ht="30" x14ac:dyDescent="0.25">
      <c r="B356" s="7" t="str">
        <f t="shared" si="35"/>
        <v>1</v>
      </c>
      <c r="C356" s="7" t="str">
        <f t="shared" si="36"/>
        <v>3</v>
      </c>
      <c r="D356" s="7" t="str">
        <f t="shared" si="37"/>
        <v>2</v>
      </c>
      <c r="E356" s="7" t="str">
        <f t="shared" si="38"/>
        <v>3</v>
      </c>
      <c r="F356" s="7" t="str">
        <f t="shared" si="39"/>
        <v>00</v>
      </c>
      <c r="G356" s="7" t="str">
        <f t="shared" si="40"/>
        <v>1</v>
      </c>
      <c r="H356" s="7" t="str">
        <f t="shared" si="41"/>
        <v>0</v>
      </c>
      <c r="I356" s="7">
        <v>13230010</v>
      </c>
      <c r="J356" s="8" t="s">
        <v>67</v>
      </c>
      <c r="K356" s="8" t="s">
        <v>457</v>
      </c>
      <c r="L356" s="8"/>
    </row>
    <row r="357" spans="2:12" x14ac:dyDescent="0.25">
      <c r="B357" s="17" t="str">
        <f t="shared" si="35"/>
        <v>1</v>
      </c>
      <c r="C357" s="17" t="str">
        <f t="shared" si="36"/>
        <v>3</v>
      </c>
      <c r="D357" s="17" t="str">
        <f t="shared" si="37"/>
        <v>2</v>
      </c>
      <c r="E357" s="17" t="str">
        <f t="shared" si="38"/>
        <v>9</v>
      </c>
      <c r="F357" s="17" t="str">
        <f t="shared" si="39"/>
        <v>00</v>
      </c>
      <c r="G357" s="17" t="str">
        <f t="shared" si="40"/>
        <v>0</v>
      </c>
      <c r="H357" s="17" t="str">
        <f t="shared" si="41"/>
        <v>0</v>
      </c>
      <c r="I357" s="17">
        <v>13290000</v>
      </c>
      <c r="J357" s="16" t="s">
        <v>458</v>
      </c>
      <c r="K357" s="16" t="s">
        <v>459</v>
      </c>
      <c r="L357" s="16"/>
    </row>
    <row r="358" spans="2:12" x14ac:dyDescent="0.25">
      <c r="B358" s="7" t="str">
        <f t="shared" si="35"/>
        <v>1</v>
      </c>
      <c r="C358" s="7" t="str">
        <f t="shared" si="36"/>
        <v>3</v>
      </c>
      <c r="D358" s="7" t="str">
        <f t="shared" si="37"/>
        <v>2</v>
      </c>
      <c r="E358" s="7" t="str">
        <f t="shared" si="38"/>
        <v>9</v>
      </c>
      <c r="F358" s="7" t="str">
        <f t="shared" si="39"/>
        <v>00</v>
      </c>
      <c r="G358" s="7" t="str">
        <f t="shared" si="40"/>
        <v>1</v>
      </c>
      <c r="H358" s="7" t="str">
        <f t="shared" si="41"/>
        <v>0</v>
      </c>
      <c r="I358" s="7">
        <v>13290010</v>
      </c>
      <c r="J358" s="8" t="s">
        <v>458</v>
      </c>
      <c r="K358" s="8" t="s">
        <v>459</v>
      </c>
      <c r="L358" s="8"/>
    </row>
    <row r="359" spans="2:12" ht="45" x14ac:dyDescent="0.25">
      <c r="B359" s="27" t="str">
        <f t="shared" si="35"/>
        <v>1</v>
      </c>
      <c r="C359" s="27" t="str">
        <f t="shared" si="36"/>
        <v>3</v>
      </c>
      <c r="D359" s="27" t="str">
        <f t="shared" si="37"/>
        <v>3</v>
      </c>
      <c r="E359" s="27" t="str">
        <f t="shared" si="38"/>
        <v>0</v>
      </c>
      <c r="F359" s="27" t="str">
        <f t="shared" si="39"/>
        <v>00</v>
      </c>
      <c r="G359" s="27" t="str">
        <f t="shared" si="40"/>
        <v>0</v>
      </c>
      <c r="H359" s="27" t="str">
        <f t="shared" si="41"/>
        <v>0</v>
      </c>
      <c r="I359" s="27">
        <v>13300000</v>
      </c>
      <c r="J359" s="26" t="s">
        <v>460</v>
      </c>
      <c r="K359" s="26" t="s">
        <v>461</v>
      </c>
      <c r="L359" s="26"/>
    </row>
    <row r="360" spans="2:12" ht="45" x14ac:dyDescent="0.25">
      <c r="B360" s="17" t="str">
        <f t="shared" si="35"/>
        <v>1</v>
      </c>
      <c r="C360" s="17" t="str">
        <f t="shared" si="36"/>
        <v>3</v>
      </c>
      <c r="D360" s="17" t="str">
        <f t="shared" si="37"/>
        <v>3</v>
      </c>
      <c r="E360" s="17" t="str">
        <f t="shared" si="38"/>
        <v>1</v>
      </c>
      <c r="F360" s="17" t="str">
        <f t="shared" si="39"/>
        <v>00</v>
      </c>
      <c r="G360" s="17" t="str">
        <f t="shared" si="40"/>
        <v>0</v>
      </c>
      <c r="H360" s="17" t="str">
        <f t="shared" si="41"/>
        <v>0</v>
      </c>
      <c r="I360" s="17">
        <v>13310000</v>
      </c>
      <c r="J360" s="16" t="s">
        <v>462</v>
      </c>
      <c r="K360" s="16" t="s">
        <v>463</v>
      </c>
      <c r="L360" s="16"/>
    </row>
    <row r="361" spans="2:12" ht="45" x14ac:dyDescent="0.25">
      <c r="B361" s="2" t="str">
        <f t="shared" si="35"/>
        <v>1</v>
      </c>
      <c r="C361" s="2" t="str">
        <f t="shared" si="36"/>
        <v>3</v>
      </c>
      <c r="D361" s="2" t="str">
        <f t="shared" si="37"/>
        <v>3</v>
      </c>
      <c r="E361" s="2" t="str">
        <f t="shared" si="38"/>
        <v>1</v>
      </c>
      <c r="F361" s="2" t="str">
        <f t="shared" si="39"/>
        <v>01</v>
      </c>
      <c r="G361" s="2" t="str">
        <f t="shared" si="40"/>
        <v>0</v>
      </c>
      <c r="H361" s="2" t="str">
        <f t="shared" si="41"/>
        <v>0</v>
      </c>
      <c r="I361" s="2">
        <v>13310100</v>
      </c>
      <c r="J361" s="3" t="s">
        <v>464</v>
      </c>
      <c r="K361" s="3" t="s">
        <v>465</v>
      </c>
      <c r="L361" s="3"/>
    </row>
    <row r="362" spans="2:12" ht="45" x14ac:dyDescent="0.25">
      <c r="B362" s="7" t="str">
        <f t="shared" si="35"/>
        <v>1</v>
      </c>
      <c r="C362" s="7" t="str">
        <f t="shared" si="36"/>
        <v>3</v>
      </c>
      <c r="D362" s="7" t="str">
        <f t="shared" si="37"/>
        <v>3</v>
      </c>
      <c r="E362" s="7" t="str">
        <f t="shared" si="38"/>
        <v>1</v>
      </c>
      <c r="F362" s="7" t="str">
        <f t="shared" si="39"/>
        <v>01</v>
      </c>
      <c r="G362" s="7" t="str">
        <f t="shared" si="40"/>
        <v>1</v>
      </c>
      <c r="H362" s="7" t="str">
        <f t="shared" si="41"/>
        <v>0</v>
      </c>
      <c r="I362" s="7">
        <v>13310110</v>
      </c>
      <c r="J362" s="8" t="s">
        <v>464</v>
      </c>
      <c r="K362" s="8" t="s">
        <v>465</v>
      </c>
      <c r="L362" s="8"/>
    </row>
    <row r="363" spans="2:12" ht="45" x14ac:dyDescent="0.25">
      <c r="B363" s="2" t="str">
        <f t="shared" si="35"/>
        <v>1</v>
      </c>
      <c r="C363" s="2" t="str">
        <f t="shared" si="36"/>
        <v>3</v>
      </c>
      <c r="D363" s="2" t="str">
        <f t="shared" si="37"/>
        <v>3</v>
      </c>
      <c r="E363" s="2" t="str">
        <f t="shared" si="38"/>
        <v>1</v>
      </c>
      <c r="F363" s="2" t="str">
        <f t="shared" si="39"/>
        <v>02</v>
      </c>
      <c r="G363" s="2" t="str">
        <f t="shared" si="40"/>
        <v>0</v>
      </c>
      <c r="H363" s="2" t="str">
        <f t="shared" si="41"/>
        <v>0</v>
      </c>
      <c r="I363" s="2">
        <v>13310200</v>
      </c>
      <c r="J363" s="3" t="s">
        <v>466</v>
      </c>
      <c r="K363" s="3" t="s">
        <v>467</v>
      </c>
      <c r="L363" s="3"/>
    </row>
    <row r="364" spans="2:12" ht="45" x14ac:dyDescent="0.25">
      <c r="B364" s="7" t="str">
        <f t="shared" si="35"/>
        <v>1</v>
      </c>
      <c r="C364" s="7" t="str">
        <f t="shared" si="36"/>
        <v>3</v>
      </c>
      <c r="D364" s="7" t="str">
        <f t="shared" si="37"/>
        <v>3</v>
      </c>
      <c r="E364" s="7" t="str">
        <f t="shared" si="38"/>
        <v>1</v>
      </c>
      <c r="F364" s="7" t="str">
        <f t="shared" si="39"/>
        <v>02</v>
      </c>
      <c r="G364" s="7" t="str">
        <f t="shared" si="40"/>
        <v>1</v>
      </c>
      <c r="H364" s="7" t="str">
        <f t="shared" si="41"/>
        <v>0</v>
      </c>
      <c r="I364" s="7">
        <v>13310210</v>
      </c>
      <c r="J364" s="8" t="s">
        <v>466</v>
      </c>
      <c r="K364" s="8" t="s">
        <v>467</v>
      </c>
      <c r="L364" s="8"/>
    </row>
    <row r="365" spans="2:12" ht="45" x14ac:dyDescent="0.25">
      <c r="B365" s="2" t="str">
        <f t="shared" si="35"/>
        <v>1</v>
      </c>
      <c r="C365" s="2" t="str">
        <f t="shared" si="36"/>
        <v>3</v>
      </c>
      <c r="D365" s="2" t="str">
        <f t="shared" si="37"/>
        <v>3</v>
      </c>
      <c r="E365" s="2" t="str">
        <f t="shared" si="38"/>
        <v>1</v>
      </c>
      <c r="F365" s="2" t="str">
        <f t="shared" si="39"/>
        <v>03</v>
      </c>
      <c r="G365" s="2" t="str">
        <f t="shared" si="40"/>
        <v>0</v>
      </c>
      <c r="H365" s="2" t="str">
        <f t="shared" si="41"/>
        <v>0</v>
      </c>
      <c r="I365" s="2">
        <v>13310300</v>
      </c>
      <c r="J365" s="3" t="s">
        <v>468</v>
      </c>
      <c r="K365" s="3" t="s">
        <v>469</v>
      </c>
      <c r="L365" s="3"/>
    </row>
    <row r="366" spans="2:12" ht="45" x14ac:dyDescent="0.25">
      <c r="B366" s="7" t="str">
        <f t="shared" si="35"/>
        <v>1</v>
      </c>
      <c r="C366" s="7" t="str">
        <f t="shared" si="36"/>
        <v>3</v>
      </c>
      <c r="D366" s="7" t="str">
        <f t="shared" si="37"/>
        <v>3</v>
      </c>
      <c r="E366" s="7" t="str">
        <f t="shared" si="38"/>
        <v>1</v>
      </c>
      <c r="F366" s="7" t="str">
        <f t="shared" si="39"/>
        <v>03</v>
      </c>
      <c r="G366" s="7" t="str">
        <f t="shared" si="40"/>
        <v>1</v>
      </c>
      <c r="H366" s="7" t="str">
        <f t="shared" si="41"/>
        <v>0</v>
      </c>
      <c r="I366" s="7">
        <v>13310310</v>
      </c>
      <c r="J366" s="8" t="s">
        <v>468</v>
      </c>
      <c r="K366" s="8" t="s">
        <v>469</v>
      </c>
      <c r="L366" s="8"/>
    </row>
    <row r="367" spans="2:12" ht="45" x14ac:dyDescent="0.25">
      <c r="B367" s="2" t="str">
        <f t="shared" si="35"/>
        <v>1</v>
      </c>
      <c r="C367" s="2" t="str">
        <f t="shared" si="36"/>
        <v>3</v>
      </c>
      <c r="D367" s="2" t="str">
        <f t="shared" si="37"/>
        <v>3</v>
      </c>
      <c r="E367" s="2" t="str">
        <f t="shared" si="38"/>
        <v>1</v>
      </c>
      <c r="F367" s="2" t="str">
        <f t="shared" si="39"/>
        <v>04</v>
      </c>
      <c r="G367" s="2" t="str">
        <f t="shared" si="40"/>
        <v>0</v>
      </c>
      <c r="H367" s="2" t="str">
        <f t="shared" si="41"/>
        <v>0</v>
      </c>
      <c r="I367" s="2">
        <v>13310400</v>
      </c>
      <c r="J367" s="3" t="s">
        <v>470</v>
      </c>
      <c r="K367" s="3" t="s">
        <v>471</v>
      </c>
      <c r="L367" s="3"/>
    </row>
    <row r="368" spans="2:12" ht="45" x14ac:dyDescent="0.25">
      <c r="B368" s="7" t="str">
        <f t="shared" si="35"/>
        <v>1</v>
      </c>
      <c r="C368" s="7" t="str">
        <f t="shared" si="36"/>
        <v>3</v>
      </c>
      <c r="D368" s="7" t="str">
        <f t="shared" si="37"/>
        <v>3</v>
      </c>
      <c r="E368" s="7" t="str">
        <f t="shared" si="38"/>
        <v>1</v>
      </c>
      <c r="F368" s="7" t="str">
        <f t="shared" si="39"/>
        <v>04</v>
      </c>
      <c r="G368" s="7" t="str">
        <f t="shared" si="40"/>
        <v>1</v>
      </c>
      <c r="H368" s="7" t="str">
        <f t="shared" si="41"/>
        <v>0</v>
      </c>
      <c r="I368" s="7">
        <v>13310410</v>
      </c>
      <c r="J368" s="8" t="s">
        <v>470</v>
      </c>
      <c r="K368" s="8" t="s">
        <v>471</v>
      </c>
      <c r="L368" s="8"/>
    </row>
    <row r="369" spans="2:12" ht="45" x14ac:dyDescent="0.25">
      <c r="B369" s="2" t="str">
        <f t="shared" si="35"/>
        <v>1</v>
      </c>
      <c r="C369" s="2" t="str">
        <f t="shared" si="36"/>
        <v>3</v>
      </c>
      <c r="D369" s="2" t="str">
        <f t="shared" si="37"/>
        <v>3</v>
      </c>
      <c r="E369" s="2" t="str">
        <f t="shared" si="38"/>
        <v>1</v>
      </c>
      <c r="F369" s="2" t="str">
        <f t="shared" si="39"/>
        <v>05</v>
      </c>
      <c r="G369" s="2" t="str">
        <f t="shared" si="40"/>
        <v>0</v>
      </c>
      <c r="H369" s="2" t="str">
        <f t="shared" si="41"/>
        <v>0</v>
      </c>
      <c r="I369" s="2">
        <v>13310500</v>
      </c>
      <c r="J369" s="3" t="s">
        <v>472</v>
      </c>
      <c r="K369" s="3" t="s">
        <v>473</v>
      </c>
      <c r="L369" s="3"/>
    </row>
    <row r="370" spans="2:12" ht="45" x14ac:dyDescent="0.25">
      <c r="B370" s="7" t="str">
        <f t="shared" si="35"/>
        <v>1</v>
      </c>
      <c r="C370" s="7" t="str">
        <f t="shared" si="36"/>
        <v>3</v>
      </c>
      <c r="D370" s="7" t="str">
        <f t="shared" si="37"/>
        <v>3</v>
      </c>
      <c r="E370" s="7" t="str">
        <f t="shared" si="38"/>
        <v>1</v>
      </c>
      <c r="F370" s="7" t="str">
        <f t="shared" si="39"/>
        <v>05</v>
      </c>
      <c r="G370" s="7" t="str">
        <f t="shared" si="40"/>
        <v>1</v>
      </c>
      <c r="H370" s="7" t="str">
        <f t="shared" si="41"/>
        <v>0</v>
      </c>
      <c r="I370" s="7">
        <v>13310510</v>
      </c>
      <c r="J370" s="8" t="s">
        <v>472</v>
      </c>
      <c r="K370" s="8" t="s">
        <v>473</v>
      </c>
      <c r="L370" s="8"/>
    </row>
    <row r="371" spans="2:12" ht="45" x14ac:dyDescent="0.25">
      <c r="B371" s="17" t="str">
        <f t="shared" si="35"/>
        <v>1</v>
      </c>
      <c r="C371" s="17" t="str">
        <f t="shared" si="36"/>
        <v>3</v>
      </c>
      <c r="D371" s="17" t="str">
        <f t="shared" si="37"/>
        <v>3</v>
      </c>
      <c r="E371" s="17" t="str">
        <f t="shared" si="38"/>
        <v>2</v>
      </c>
      <c r="F371" s="17" t="str">
        <f t="shared" si="39"/>
        <v>00</v>
      </c>
      <c r="G371" s="17" t="str">
        <f t="shared" si="40"/>
        <v>0</v>
      </c>
      <c r="H371" s="17" t="str">
        <f t="shared" si="41"/>
        <v>0</v>
      </c>
      <c r="I371" s="17">
        <v>13320000</v>
      </c>
      <c r="J371" s="16" t="s">
        <v>474</v>
      </c>
      <c r="K371" s="16" t="s">
        <v>475</v>
      </c>
      <c r="L371" s="16"/>
    </row>
    <row r="372" spans="2:12" ht="45" x14ac:dyDescent="0.25">
      <c r="B372" s="2" t="str">
        <f t="shared" si="35"/>
        <v>1</v>
      </c>
      <c r="C372" s="2" t="str">
        <f t="shared" si="36"/>
        <v>3</v>
      </c>
      <c r="D372" s="2" t="str">
        <f t="shared" si="37"/>
        <v>3</v>
      </c>
      <c r="E372" s="2" t="str">
        <f t="shared" si="38"/>
        <v>2</v>
      </c>
      <c r="F372" s="2" t="str">
        <f t="shared" si="39"/>
        <v>01</v>
      </c>
      <c r="G372" s="2" t="str">
        <f t="shared" si="40"/>
        <v>0</v>
      </c>
      <c r="H372" s="2" t="str">
        <f t="shared" si="41"/>
        <v>0</v>
      </c>
      <c r="I372" s="2">
        <v>13320100</v>
      </c>
      <c r="J372" s="3" t="s">
        <v>476</v>
      </c>
      <c r="K372" s="3" t="s">
        <v>477</v>
      </c>
      <c r="L372" s="3"/>
    </row>
    <row r="373" spans="2:12" ht="45" x14ac:dyDescent="0.25">
      <c r="B373" s="7" t="str">
        <f t="shared" si="35"/>
        <v>1</v>
      </c>
      <c r="C373" s="7" t="str">
        <f t="shared" si="36"/>
        <v>3</v>
      </c>
      <c r="D373" s="7" t="str">
        <f t="shared" si="37"/>
        <v>3</v>
      </c>
      <c r="E373" s="7" t="str">
        <f t="shared" si="38"/>
        <v>2</v>
      </c>
      <c r="F373" s="7" t="str">
        <f t="shared" si="39"/>
        <v>01</v>
      </c>
      <c r="G373" s="7" t="str">
        <f t="shared" si="40"/>
        <v>1</v>
      </c>
      <c r="H373" s="7" t="str">
        <f t="shared" si="41"/>
        <v>0</v>
      </c>
      <c r="I373" s="7">
        <v>13320110</v>
      </c>
      <c r="J373" s="8" t="s">
        <v>478</v>
      </c>
      <c r="K373" s="8" t="s">
        <v>477</v>
      </c>
      <c r="L373" s="8"/>
    </row>
    <row r="374" spans="2:12" ht="75" x14ac:dyDescent="0.25">
      <c r="B374" s="7" t="str">
        <f t="shared" si="35"/>
        <v>1</v>
      </c>
      <c r="C374" s="7" t="str">
        <f t="shared" si="36"/>
        <v>3</v>
      </c>
      <c r="D374" s="7" t="str">
        <f t="shared" si="37"/>
        <v>3</v>
      </c>
      <c r="E374" s="7" t="str">
        <f t="shared" si="38"/>
        <v>2</v>
      </c>
      <c r="F374" s="7" t="str">
        <f t="shared" si="39"/>
        <v>01</v>
      </c>
      <c r="G374" s="7" t="str">
        <f t="shared" si="40"/>
        <v>2</v>
      </c>
      <c r="H374" s="7" t="str">
        <f t="shared" si="41"/>
        <v>0</v>
      </c>
      <c r="I374" s="7">
        <v>13320120</v>
      </c>
      <c r="J374" s="8" t="s">
        <v>479</v>
      </c>
      <c r="K374" s="8" t="s">
        <v>480</v>
      </c>
      <c r="L374" s="8"/>
    </row>
    <row r="375" spans="2:12" ht="45" x14ac:dyDescent="0.25">
      <c r="B375" s="2" t="str">
        <f t="shared" si="35"/>
        <v>1</v>
      </c>
      <c r="C375" s="2" t="str">
        <f t="shared" si="36"/>
        <v>3</v>
      </c>
      <c r="D375" s="2" t="str">
        <f t="shared" si="37"/>
        <v>3</v>
      </c>
      <c r="E375" s="2" t="str">
        <f t="shared" si="38"/>
        <v>2</v>
      </c>
      <c r="F375" s="2" t="str">
        <f t="shared" si="39"/>
        <v>02</v>
      </c>
      <c r="G375" s="2" t="str">
        <f t="shared" si="40"/>
        <v>0</v>
      </c>
      <c r="H375" s="2" t="str">
        <f t="shared" si="41"/>
        <v>0</v>
      </c>
      <c r="I375" s="2">
        <v>13320200</v>
      </c>
      <c r="J375" s="3" t="s">
        <v>481</v>
      </c>
      <c r="K375" s="3" t="s">
        <v>482</v>
      </c>
      <c r="L375" s="3"/>
    </row>
    <row r="376" spans="2:12" ht="45" x14ac:dyDescent="0.25">
      <c r="B376" s="7" t="str">
        <f t="shared" si="35"/>
        <v>1</v>
      </c>
      <c r="C376" s="7" t="str">
        <f t="shared" si="36"/>
        <v>3</v>
      </c>
      <c r="D376" s="7" t="str">
        <f t="shared" si="37"/>
        <v>3</v>
      </c>
      <c r="E376" s="7" t="str">
        <f t="shared" si="38"/>
        <v>2</v>
      </c>
      <c r="F376" s="7" t="str">
        <f t="shared" si="39"/>
        <v>02</v>
      </c>
      <c r="G376" s="7" t="str">
        <f t="shared" si="40"/>
        <v>1</v>
      </c>
      <c r="H376" s="7" t="str">
        <f t="shared" si="41"/>
        <v>0</v>
      </c>
      <c r="I376" s="7">
        <v>13320210</v>
      </c>
      <c r="J376" s="8" t="s">
        <v>481</v>
      </c>
      <c r="K376" s="8" t="s">
        <v>482</v>
      </c>
      <c r="L376" s="8"/>
    </row>
    <row r="377" spans="2:12" ht="45" x14ac:dyDescent="0.25">
      <c r="B377" s="2" t="str">
        <f t="shared" si="35"/>
        <v>1</v>
      </c>
      <c r="C377" s="2" t="str">
        <f t="shared" si="36"/>
        <v>3</v>
      </c>
      <c r="D377" s="2" t="str">
        <f t="shared" si="37"/>
        <v>3</v>
      </c>
      <c r="E377" s="2" t="str">
        <f t="shared" si="38"/>
        <v>2</v>
      </c>
      <c r="F377" s="2" t="str">
        <f t="shared" si="39"/>
        <v>03</v>
      </c>
      <c r="G377" s="2" t="str">
        <f t="shared" si="40"/>
        <v>0</v>
      </c>
      <c r="H377" s="2" t="str">
        <f t="shared" si="41"/>
        <v>0</v>
      </c>
      <c r="I377" s="2">
        <v>13320300</v>
      </c>
      <c r="J377" s="3" t="s">
        <v>483</v>
      </c>
      <c r="K377" s="3" t="s">
        <v>484</v>
      </c>
      <c r="L377" s="3"/>
    </row>
    <row r="378" spans="2:12" ht="45" x14ac:dyDescent="0.25">
      <c r="B378" s="7" t="str">
        <f t="shared" si="35"/>
        <v>1</v>
      </c>
      <c r="C378" s="7" t="str">
        <f t="shared" si="36"/>
        <v>3</v>
      </c>
      <c r="D378" s="7" t="str">
        <f t="shared" si="37"/>
        <v>3</v>
      </c>
      <c r="E378" s="7" t="str">
        <f t="shared" si="38"/>
        <v>2</v>
      </c>
      <c r="F378" s="7" t="str">
        <f t="shared" si="39"/>
        <v>03</v>
      </c>
      <c r="G378" s="7" t="str">
        <f t="shared" si="40"/>
        <v>1</v>
      </c>
      <c r="H378" s="7" t="str">
        <f t="shared" si="41"/>
        <v>0</v>
      </c>
      <c r="I378" s="7">
        <v>13320310</v>
      </c>
      <c r="J378" s="8" t="s">
        <v>483</v>
      </c>
      <c r="K378" s="8" t="s">
        <v>484</v>
      </c>
      <c r="L378" s="8"/>
    </row>
    <row r="379" spans="2:12" ht="26.25" customHeight="1" x14ac:dyDescent="0.25">
      <c r="B379" s="2" t="str">
        <f t="shared" si="35"/>
        <v>1</v>
      </c>
      <c r="C379" s="2" t="str">
        <f t="shared" si="36"/>
        <v>3</v>
      </c>
      <c r="D379" s="2" t="str">
        <f t="shared" si="37"/>
        <v>3</v>
      </c>
      <c r="E379" s="2" t="str">
        <f t="shared" si="38"/>
        <v>2</v>
      </c>
      <c r="F379" s="2" t="str">
        <f t="shared" si="39"/>
        <v>04</v>
      </c>
      <c r="G379" s="2" t="str">
        <f t="shared" si="40"/>
        <v>0</v>
      </c>
      <c r="H379" s="2" t="str">
        <f t="shared" si="41"/>
        <v>0</v>
      </c>
      <c r="I379" s="2">
        <v>13320400</v>
      </c>
      <c r="J379" s="3" t="s">
        <v>485</v>
      </c>
      <c r="K379" s="3" t="s">
        <v>486</v>
      </c>
      <c r="L379" s="3"/>
    </row>
    <row r="380" spans="2:12" ht="32.25" customHeight="1" x14ac:dyDescent="0.25">
      <c r="B380" s="7" t="str">
        <f t="shared" si="35"/>
        <v>1</v>
      </c>
      <c r="C380" s="7" t="str">
        <f t="shared" si="36"/>
        <v>3</v>
      </c>
      <c r="D380" s="7" t="str">
        <f t="shared" si="37"/>
        <v>3</v>
      </c>
      <c r="E380" s="7" t="str">
        <f t="shared" si="38"/>
        <v>2</v>
      </c>
      <c r="F380" s="7" t="str">
        <f t="shared" si="39"/>
        <v>04</v>
      </c>
      <c r="G380" s="7" t="str">
        <f t="shared" si="40"/>
        <v>1</v>
      </c>
      <c r="H380" s="7" t="str">
        <f t="shared" si="41"/>
        <v>0</v>
      </c>
      <c r="I380" s="7">
        <v>13320410</v>
      </c>
      <c r="J380" s="8" t="s">
        <v>485</v>
      </c>
      <c r="K380" s="8" t="s">
        <v>486</v>
      </c>
      <c r="L380" s="8"/>
    </row>
    <row r="381" spans="2:12" ht="36.75" customHeight="1" x14ac:dyDescent="0.25">
      <c r="B381" s="17" t="str">
        <f t="shared" si="35"/>
        <v>1</v>
      </c>
      <c r="C381" s="17" t="str">
        <f t="shared" si="36"/>
        <v>3</v>
      </c>
      <c r="D381" s="17" t="str">
        <f t="shared" si="37"/>
        <v>3</v>
      </c>
      <c r="E381" s="17" t="str">
        <f t="shared" si="38"/>
        <v>3</v>
      </c>
      <c r="F381" s="17" t="str">
        <f t="shared" si="39"/>
        <v>00</v>
      </c>
      <c r="G381" s="17" t="str">
        <f t="shared" si="40"/>
        <v>0</v>
      </c>
      <c r="H381" s="17" t="str">
        <f t="shared" si="41"/>
        <v>0</v>
      </c>
      <c r="I381" s="17">
        <v>13330000</v>
      </c>
      <c r="J381" s="16" t="s">
        <v>487</v>
      </c>
      <c r="K381" s="16" t="s">
        <v>488</v>
      </c>
      <c r="L381" s="16"/>
    </row>
    <row r="382" spans="2:12" ht="45" x14ac:dyDescent="0.25">
      <c r="B382" s="35" t="str">
        <f t="shared" si="35"/>
        <v>1</v>
      </c>
      <c r="C382" s="35" t="str">
        <f t="shared" si="36"/>
        <v>3</v>
      </c>
      <c r="D382" s="35" t="str">
        <f t="shared" si="37"/>
        <v>3</v>
      </c>
      <c r="E382" s="35" t="str">
        <f t="shared" si="38"/>
        <v>3</v>
      </c>
      <c r="F382" s="35" t="str">
        <f t="shared" si="39"/>
        <v>01</v>
      </c>
      <c r="G382" s="35" t="str">
        <f t="shared" si="40"/>
        <v>0</v>
      </c>
      <c r="H382" s="35" t="str">
        <f t="shared" si="41"/>
        <v>0</v>
      </c>
      <c r="I382" s="35">
        <v>13330100</v>
      </c>
      <c r="J382" s="36" t="s">
        <v>489</v>
      </c>
      <c r="K382" s="36" t="s">
        <v>1460</v>
      </c>
      <c r="L382" s="36" t="s">
        <v>1462</v>
      </c>
    </row>
    <row r="383" spans="2:12" ht="60" x14ac:dyDescent="0.25">
      <c r="B383" s="37" t="str">
        <f t="shared" si="35"/>
        <v>1</v>
      </c>
      <c r="C383" s="37" t="str">
        <f t="shared" si="36"/>
        <v>3</v>
      </c>
      <c r="D383" s="37" t="str">
        <f t="shared" si="37"/>
        <v>3</v>
      </c>
      <c r="E383" s="37" t="str">
        <f t="shared" si="38"/>
        <v>3</v>
      </c>
      <c r="F383" s="37" t="str">
        <f t="shared" si="39"/>
        <v>01</v>
      </c>
      <c r="G383" s="37" t="str">
        <f t="shared" si="40"/>
        <v>1</v>
      </c>
      <c r="H383" s="37" t="str">
        <f t="shared" si="41"/>
        <v>0</v>
      </c>
      <c r="I383" s="37">
        <v>13330110</v>
      </c>
      <c r="J383" s="38" t="s">
        <v>1376</v>
      </c>
      <c r="K383" s="38" t="s">
        <v>1461</v>
      </c>
      <c r="L383" s="38" t="s">
        <v>1462</v>
      </c>
    </row>
    <row r="384" spans="2:12" ht="60" x14ac:dyDescent="0.25">
      <c r="B384" s="37" t="str">
        <f t="shared" si="35"/>
        <v>1</v>
      </c>
      <c r="C384" s="37" t="str">
        <f t="shared" si="36"/>
        <v>3</v>
      </c>
      <c r="D384" s="37" t="str">
        <f t="shared" si="37"/>
        <v>3</v>
      </c>
      <c r="E384" s="37" t="str">
        <f t="shared" si="38"/>
        <v>3</v>
      </c>
      <c r="F384" s="37" t="str">
        <f t="shared" si="39"/>
        <v>01</v>
      </c>
      <c r="G384" s="37" t="str">
        <f t="shared" si="40"/>
        <v>2</v>
      </c>
      <c r="H384" s="37" t="str">
        <f t="shared" si="41"/>
        <v>0</v>
      </c>
      <c r="I384" s="37">
        <v>13330120</v>
      </c>
      <c r="J384" s="38" t="s">
        <v>1377</v>
      </c>
      <c r="K384" s="38" t="s">
        <v>1463</v>
      </c>
      <c r="L384" s="38" t="s">
        <v>1462</v>
      </c>
    </row>
    <row r="385" spans="2:12" ht="45" x14ac:dyDescent="0.25">
      <c r="B385" s="35" t="str">
        <f t="shared" si="35"/>
        <v>1</v>
      </c>
      <c r="C385" s="35" t="str">
        <f t="shared" si="36"/>
        <v>3</v>
      </c>
      <c r="D385" s="35" t="str">
        <f t="shared" si="37"/>
        <v>3</v>
      </c>
      <c r="E385" s="35" t="str">
        <f t="shared" si="38"/>
        <v>3</v>
      </c>
      <c r="F385" s="35" t="str">
        <f t="shared" si="39"/>
        <v>02</v>
      </c>
      <c r="G385" s="35" t="str">
        <f t="shared" si="40"/>
        <v>0</v>
      </c>
      <c r="H385" s="35" t="str">
        <f t="shared" si="41"/>
        <v>0</v>
      </c>
      <c r="I385" s="35">
        <v>13330200</v>
      </c>
      <c r="J385" s="36" t="s">
        <v>490</v>
      </c>
      <c r="K385" s="36" t="s">
        <v>1464</v>
      </c>
      <c r="L385" s="36" t="s">
        <v>1462</v>
      </c>
    </row>
    <row r="386" spans="2:12" ht="60" x14ac:dyDescent="0.25">
      <c r="B386" s="37" t="str">
        <f t="shared" si="35"/>
        <v>1</v>
      </c>
      <c r="C386" s="37" t="str">
        <f t="shared" si="36"/>
        <v>3</v>
      </c>
      <c r="D386" s="37" t="str">
        <f t="shared" si="37"/>
        <v>3</v>
      </c>
      <c r="E386" s="37" t="str">
        <f t="shared" si="38"/>
        <v>3</v>
      </c>
      <c r="F386" s="37" t="str">
        <f t="shared" si="39"/>
        <v>02</v>
      </c>
      <c r="G386" s="37" t="str">
        <f t="shared" si="40"/>
        <v>1</v>
      </c>
      <c r="H386" s="37" t="str">
        <f t="shared" si="41"/>
        <v>0</v>
      </c>
      <c r="I386" s="37">
        <v>13330210</v>
      </c>
      <c r="J386" s="38" t="s">
        <v>1378</v>
      </c>
      <c r="K386" s="38" t="s">
        <v>1465</v>
      </c>
      <c r="L386" s="38" t="s">
        <v>1462</v>
      </c>
    </row>
    <row r="387" spans="2:12" ht="60" x14ac:dyDescent="0.25">
      <c r="B387" s="37" t="str">
        <f t="shared" ref="B387:B450" si="42">MID($I387,1,1)</f>
        <v>1</v>
      </c>
      <c r="C387" s="37" t="str">
        <f t="shared" ref="C387:C450" si="43">MID($I387,2,1)</f>
        <v>3</v>
      </c>
      <c r="D387" s="37" t="str">
        <f t="shared" ref="D387:D450" si="44">MID($I387,3,1)</f>
        <v>3</v>
      </c>
      <c r="E387" s="37" t="str">
        <f t="shared" ref="E387:E450" si="45">MID($I387,4,1)</f>
        <v>3</v>
      </c>
      <c r="F387" s="37" t="str">
        <f t="shared" ref="F387:F450" si="46">MID($I387,5,2)</f>
        <v>02</v>
      </c>
      <c r="G387" s="37" t="str">
        <f t="shared" ref="G387:G450" si="47">MID($I387,7,1)</f>
        <v>2</v>
      </c>
      <c r="H387" s="37" t="str">
        <f t="shared" ref="H387:H450" si="48">MID($I387,8,1)</f>
        <v>0</v>
      </c>
      <c r="I387" s="37">
        <v>13330220</v>
      </c>
      <c r="J387" s="38" t="s">
        <v>1379</v>
      </c>
      <c r="K387" s="38" t="s">
        <v>1466</v>
      </c>
      <c r="L387" s="38" t="s">
        <v>1462</v>
      </c>
    </row>
    <row r="388" spans="2:12" ht="45" x14ac:dyDescent="0.25">
      <c r="B388" s="35" t="str">
        <f t="shared" si="42"/>
        <v>1</v>
      </c>
      <c r="C388" s="35" t="str">
        <f t="shared" si="43"/>
        <v>3</v>
      </c>
      <c r="D388" s="35" t="str">
        <f t="shared" si="44"/>
        <v>3</v>
      </c>
      <c r="E388" s="35" t="str">
        <f t="shared" si="45"/>
        <v>3</v>
      </c>
      <c r="F388" s="35" t="str">
        <f t="shared" si="46"/>
        <v>03</v>
      </c>
      <c r="G388" s="35" t="str">
        <f t="shared" si="47"/>
        <v>0</v>
      </c>
      <c r="H388" s="35" t="str">
        <f t="shared" si="48"/>
        <v>0</v>
      </c>
      <c r="I388" s="35">
        <v>13330300</v>
      </c>
      <c r="J388" s="36" t="s">
        <v>492</v>
      </c>
      <c r="K388" s="36" t="s">
        <v>493</v>
      </c>
      <c r="L388" s="36" t="s">
        <v>1462</v>
      </c>
    </row>
    <row r="389" spans="2:12" ht="60" x14ac:dyDescent="0.25">
      <c r="B389" s="37" t="str">
        <f t="shared" si="42"/>
        <v>1</v>
      </c>
      <c r="C389" s="37" t="str">
        <f t="shared" si="43"/>
        <v>3</v>
      </c>
      <c r="D389" s="37" t="str">
        <f t="shared" si="44"/>
        <v>3</v>
      </c>
      <c r="E389" s="37" t="str">
        <f t="shared" si="45"/>
        <v>3</v>
      </c>
      <c r="F389" s="37" t="str">
        <f t="shared" si="46"/>
        <v>03</v>
      </c>
      <c r="G389" s="37" t="str">
        <f t="shared" si="47"/>
        <v>1</v>
      </c>
      <c r="H389" s="37" t="str">
        <f t="shared" si="48"/>
        <v>0</v>
      </c>
      <c r="I389" s="37">
        <v>13330310</v>
      </c>
      <c r="J389" s="38" t="s">
        <v>1380</v>
      </c>
      <c r="K389" s="38" t="s">
        <v>1467</v>
      </c>
      <c r="L389" s="38" t="s">
        <v>1462</v>
      </c>
    </row>
    <row r="390" spans="2:12" ht="60" x14ac:dyDescent="0.25">
      <c r="B390" s="37" t="str">
        <f t="shared" si="42"/>
        <v>1</v>
      </c>
      <c r="C390" s="37" t="str">
        <f t="shared" si="43"/>
        <v>3</v>
      </c>
      <c r="D390" s="37" t="str">
        <f t="shared" si="44"/>
        <v>3</v>
      </c>
      <c r="E390" s="37" t="str">
        <f t="shared" si="45"/>
        <v>3</v>
      </c>
      <c r="F390" s="37" t="str">
        <f t="shared" si="46"/>
        <v>03</v>
      </c>
      <c r="G390" s="37" t="str">
        <f t="shared" si="47"/>
        <v>2</v>
      </c>
      <c r="H390" s="37" t="str">
        <f t="shared" si="48"/>
        <v>0</v>
      </c>
      <c r="I390" s="37">
        <v>13330320</v>
      </c>
      <c r="J390" s="38" t="s">
        <v>1381</v>
      </c>
      <c r="K390" s="38" t="s">
        <v>1468</v>
      </c>
      <c r="L390" s="38" t="s">
        <v>1462</v>
      </c>
    </row>
    <row r="391" spans="2:12" ht="36.75" customHeight="1" x14ac:dyDescent="0.25">
      <c r="B391" s="35" t="str">
        <f t="shared" si="42"/>
        <v>1</v>
      </c>
      <c r="C391" s="35" t="str">
        <f t="shared" si="43"/>
        <v>3</v>
      </c>
      <c r="D391" s="35" t="str">
        <f t="shared" si="44"/>
        <v>3</v>
      </c>
      <c r="E391" s="35" t="str">
        <f t="shared" si="45"/>
        <v>3</v>
      </c>
      <c r="F391" s="35" t="str">
        <f t="shared" si="46"/>
        <v>04</v>
      </c>
      <c r="G391" s="35" t="str">
        <f t="shared" si="47"/>
        <v>0</v>
      </c>
      <c r="H391" s="35" t="str">
        <f t="shared" si="48"/>
        <v>0</v>
      </c>
      <c r="I391" s="35">
        <v>13330400</v>
      </c>
      <c r="J391" s="36" t="s">
        <v>494</v>
      </c>
      <c r="K391" s="36" t="s">
        <v>1469</v>
      </c>
      <c r="L391" s="36" t="s">
        <v>1462</v>
      </c>
    </row>
    <row r="392" spans="2:12" ht="45" x14ac:dyDescent="0.25">
      <c r="B392" s="37" t="str">
        <f t="shared" si="42"/>
        <v>1</v>
      </c>
      <c r="C392" s="37" t="str">
        <f t="shared" si="43"/>
        <v>3</v>
      </c>
      <c r="D392" s="37" t="str">
        <f t="shared" si="44"/>
        <v>3</v>
      </c>
      <c r="E392" s="37" t="str">
        <f t="shared" si="45"/>
        <v>3</v>
      </c>
      <c r="F392" s="37" t="str">
        <f t="shared" si="46"/>
        <v>04</v>
      </c>
      <c r="G392" s="37" t="str">
        <f t="shared" si="47"/>
        <v>1</v>
      </c>
      <c r="H392" s="37" t="str">
        <f t="shared" si="48"/>
        <v>0</v>
      </c>
      <c r="I392" s="37">
        <v>13330410</v>
      </c>
      <c r="J392" s="38" t="s">
        <v>1382</v>
      </c>
      <c r="K392" s="38" t="s">
        <v>1470</v>
      </c>
      <c r="L392" s="38" t="s">
        <v>1462</v>
      </c>
    </row>
    <row r="393" spans="2:12" ht="45" x14ac:dyDescent="0.25">
      <c r="B393" s="37" t="str">
        <f t="shared" si="42"/>
        <v>1</v>
      </c>
      <c r="C393" s="37" t="str">
        <f t="shared" si="43"/>
        <v>3</v>
      </c>
      <c r="D393" s="37" t="str">
        <f t="shared" si="44"/>
        <v>3</v>
      </c>
      <c r="E393" s="37" t="str">
        <f t="shared" si="45"/>
        <v>3</v>
      </c>
      <c r="F393" s="37" t="str">
        <f t="shared" si="46"/>
        <v>04</v>
      </c>
      <c r="G393" s="37" t="str">
        <f t="shared" si="47"/>
        <v>2</v>
      </c>
      <c r="H393" s="37" t="str">
        <f t="shared" si="48"/>
        <v>0</v>
      </c>
      <c r="I393" s="37">
        <v>13330420</v>
      </c>
      <c r="J393" s="38" t="s">
        <v>1383</v>
      </c>
      <c r="K393" s="38" t="s">
        <v>1471</v>
      </c>
      <c r="L393" s="38" t="s">
        <v>1462</v>
      </c>
    </row>
    <row r="394" spans="2:12" ht="36.75" customHeight="1" x14ac:dyDescent="0.25">
      <c r="B394" s="35" t="str">
        <f t="shared" si="42"/>
        <v>1</v>
      </c>
      <c r="C394" s="35" t="str">
        <f t="shared" si="43"/>
        <v>3</v>
      </c>
      <c r="D394" s="35" t="str">
        <f t="shared" si="44"/>
        <v>3</v>
      </c>
      <c r="E394" s="35" t="str">
        <f t="shared" si="45"/>
        <v>3</v>
      </c>
      <c r="F394" s="35" t="str">
        <f t="shared" si="46"/>
        <v>05</v>
      </c>
      <c r="G394" s="35" t="str">
        <f t="shared" si="47"/>
        <v>0</v>
      </c>
      <c r="H394" s="35" t="str">
        <f t="shared" si="48"/>
        <v>0</v>
      </c>
      <c r="I394" s="35">
        <v>13330500</v>
      </c>
      <c r="J394" s="36" t="s">
        <v>496</v>
      </c>
      <c r="K394" s="36" t="s">
        <v>1472</v>
      </c>
      <c r="L394" s="36" t="s">
        <v>1462</v>
      </c>
    </row>
    <row r="395" spans="2:12" ht="135" x14ac:dyDescent="0.25">
      <c r="B395" s="37" t="str">
        <f t="shared" si="42"/>
        <v>1</v>
      </c>
      <c r="C395" s="37" t="str">
        <f t="shared" si="43"/>
        <v>3</v>
      </c>
      <c r="D395" s="37" t="str">
        <f t="shared" si="44"/>
        <v>3</v>
      </c>
      <c r="E395" s="37" t="str">
        <f t="shared" si="45"/>
        <v>3</v>
      </c>
      <c r="F395" s="37" t="str">
        <f t="shared" si="46"/>
        <v>05</v>
      </c>
      <c r="G395" s="37" t="str">
        <f t="shared" si="47"/>
        <v>1</v>
      </c>
      <c r="H395" s="37" t="str">
        <f t="shared" si="48"/>
        <v>0</v>
      </c>
      <c r="I395" s="37">
        <v>13330510</v>
      </c>
      <c r="J395" s="38" t="s">
        <v>496</v>
      </c>
      <c r="K395" s="38" t="s">
        <v>1473</v>
      </c>
      <c r="L395" s="38" t="s">
        <v>1462</v>
      </c>
    </row>
    <row r="396" spans="2:12" ht="75" x14ac:dyDescent="0.25">
      <c r="B396" s="35" t="str">
        <f t="shared" si="42"/>
        <v>1</v>
      </c>
      <c r="C396" s="35" t="str">
        <f t="shared" si="43"/>
        <v>3</v>
      </c>
      <c r="D396" s="35" t="str">
        <f t="shared" si="44"/>
        <v>3</v>
      </c>
      <c r="E396" s="35" t="str">
        <f t="shared" si="45"/>
        <v>3</v>
      </c>
      <c r="F396" s="35" t="str">
        <f t="shared" si="46"/>
        <v>06</v>
      </c>
      <c r="G396" s="35" t="str">
        <f t="shared" si="47"/>
        <v>0</v>
      </c>
      <c r="H396" s="35" t="str">
        <f t="shared" si="48"/>
        <v>0</v>
      </c>
      <c r="I396" s="35">
        <v>13330600</v>
      </c>
      <c r="J396" s="36" t="s">
        <v>498</v>
      </c>
      <c r="K396" s="36" t="s">
        <v>1474</v>
      </c>
      <c r="L396" s="36" t="s">
        <v>1462</v>
      </c>
    </row>
    <row r="397" spans="2:12" ht="90" x14ac:dyDescent="0.25">
      <c r="B397" s="37" t="str">
        <f t="shared" si="42"/>
        <v>1</v>
      </c>
      <c r="C397" s="37" t="str">
        <f t="shared" si="43"/>
        <v>3</v>
      </c>
      <c r="D397" s="37" t="str">
        <f t="shared" si="44"/>
        <v>3</v>
      </c>
      <c r="E397" s="37" t="str">
        <f t="shared" si="45"/>
        <v>3</v>
      </c>
      <c r="F397" s="37" t="str">
        <f t="shared" si="46"/>
        <v>06</v>
      </c>
      <c r="G397" s="37" t="str">
        <f t="shared" si="47"/>
        <v>1</v>
      </c>
      <c r="H397" s="37" t="str">
        <f t="shared" si="48"/>
        <v>0</v>
      </c>
      <c r="I397" s="37">
        <v>13330610</v>
      </c>
      <c r="J397" s="38" t="s">
        <v>1384</v>
      </c>
      <c r="K397" s="38" t="s">
        <v>1475</v>
      </c>
      <c r="L397" s="38" t="s">
        <v>1462</v>
      </c>
    </row>
    <row r="398" spans="2:12" ht="90" x14ac:dyDescent="0.25">
      <c r="B398" s="37" t="str">
        <f t="shared" si="42"/>
        <v>1</v>
      </c>
      <c r="C398" s="37" t="str">
        <f t="shared" si="43"/>
        <v>3</v>
      </c>
      <c r="D398" s="37" t="str">
        <f t="shared" si="44"/>
        <v>3</v>
      </c>
      <c r="E398" s="37" t="str">
        <f t="shared" si="45"/>
        <v>3</v>
      </c>
      <c r="F398" s="37" t="str">
        <f t="shared" si="46"/>
        <v>06</v>
      </c>
      <c r="G398" s="37" t="str">
        <f t="shared" si="47"/>
        <v>2</v>
      </c>
      <c r="H398" s="37" t="str">
        <f t="shared" si="48"/>
        <v>0</v>
      </c>
      <c r="I398" s="37">
        <v>13330620</v>
      </c>
      <c r="J398" s="38" t="s">
        <v>1385</v>
      </c>
      <c r="K398" s="38" t="s">
        <v>1476</v>
      </c>
      <c r="L398" s="38" t="s">
        <v>1462</v>
      </c>
    </row>
    <row r="399" spans="2:12" ht="36.75" customHeight="1" x14ac:dyDescent="0.25">
      <c r="B399" s="35" t="str">
        <f t="shared" si="42"/>
        <v>1</v>
      </c>
      <c r="C399" s="35" t="str">
        <f t="shared" si="43"/>
        <v>3</v>
      </c>
      <c r="D399" s="35" t="str">
        <f t="shared" si="44"/>
        <v>3</v>
      </c>
      <c r="E399" s="35" t="str">
        <f t="shared" si="45"/>
        <v>3</v>
      </c>
      <c r="F399" s="35" t="str">
        <f t="shared" si="46"/>
        <v>07</v>
      </c>
      <c r="G399" s="35" t="str">
        <f t="shared" si="47"/>
        <v>0</v>
      </c>
      <c r="H399" s="35" t="str">
        <f t="shared" si="48"/>
        <v>0</v>
      </c>
      <c r="I399" s="35">
        <v>13330700</v>
      </c>
      <c r="J399" s="36" t="s">
        <v>500</v>
      </c>
      <c r="K399" s="36" t="s">
        <v>1477</v>
      </c>
      <c r="L399" s="36" t="s">
        <v>1462</v>
      </c>
    </row>
    <row r="400" spans="2:12" ht="36.75" customHeight="1" x14ac:dyDescent="0.25">
      <c r="B400" s="37" t="str">
        <f t="shared" si="42"/>
        <v>1</v>
      </c>
      <c r="C400" s="37" t="str">
        <f t="shared" si="43"/>
        <v>3</v>
      </c>
      <c r="D400" s="37" t="str">
        <f t="shared" si="44"/>
        <v>3</v>
      </c>
      <c r="E400" s="37" t="str">
        <f t="shared" si="45"/>
        <v>3</v>
      </c>
      <c r="F400" s="37" t="str">
        <f t="shared" si="46"/>
        <v>07</v>
      </c>
      <c r="G400" s="37" t="str">
        <f t="shared" si="47"/>
        <v>1</v>
      </c>
      <c r="H400" s="37" t="str">
        <f t="shared" si="48"/>
        <v>0</v>
      </c>
      <c r="I400" s="37">
        <v>13330710</v>
      </c>
      <c r="J400" s="38" t="s">
        <v>500</v>
      </c>
      <c r="K400" s="38" t="s">
        <v>1477</v>
      </c>
      <c r="L400" s="38" t="s">
        <v>1462</v>
      </c>
    </row>
    <row r="401" spans="2:12" ht="45" x14ac:dyDescent="0.25">
      <c r="B401" s="35" t="str">
        <f t="shared" si="42"/>
        <v>1</v>
      </c>
      <c r="C401" s="35" t="str">
        <f t="shared" si="43"/>
        <v>3</v>
      </c>
      <c r="D401" s="35" t="str">
        <f t="shared" si="44"/>
        <v>3</v>
      </c>
      <c r="E401" s="35" t="str">
        <f t="shared" si="45"/>
        <v>3</v>
      </c>
      <c r="F401" s="35" t="str">
        <f t="shared" si="46"/>
        <v>49</v>
      </c>
      <c r="G401" s="35" t="str">
        <f t="shared" si="47"/>
        <v>0</v>
      </c>
      <c r="H401" s="35" t="str">
        <f t="shared" si="48"/>
        <v>0</v>
      </c>
      <c r="I401" s="35">
        <v>13334900</v>
      </c>
      <c r="J401" s="36" t="s">
        <v>502</v>
      </c>
      <c r="K401" s="36" t="s">
        <v>1478</v>
      </c>
      <c r="L401" s="36" t="s">
        <v>1462</v>
      </c>
    </row>
    <row r="402" spans="2:12" ht="60" x14ac:dyDescent="0.25">
      <c r="B402" s="37" t="str">
        <f t="shared" si="42"/>
        <v>1</v>
      </c>
      <c r="C402" s="37" t="str">
        <f t="shared" si="43"/>
        <v>3</v>
      </c>
      <c r="D402" s="37" t="str">
        <f t="shared" si="44"/>
        <v>3</v>
      </c>
      <c r="E402" s="37" t="str">
        <f t="shared" si="45"/>
        <v>3</v>
      </c>
      <c r="F402" s="37" t="str">
        <f t="shared" si="46"/>
        <v>49</v>
      </c>
      <c r="G402" s="37" t="str">
        <f t="shared" si="47"/>
        <v>1</v>
      </c>
      <c r="H402" s="37" t="str">
        <f t="shared" si="48"/>
        <v>0</v>
      </c>
      <c r="I402" s="37">
        <v>13334910</v>
      </c>
      <c r="J402" s="38" t="s">
        <v>1386</v>
      </c>
      <c r="K402" s="38" t="s">
        <v>1479</v>
      </c>
      <c r="L402" s="38" t="s">
        <v>1462</v>
      </c>
    </row>
    <row r="403" spans="2:12" ht="60" x14ac:dyDescent="0.25">
      <c r="B403" s="37" t="str">
        <f t="shared" si="42"/>
        <v>1</v>
      </c>
      <c r="C403" s="37" t="str">
        <f t="shared" si="43"/>
        <v>3</v>
      </c>
      <c r="D403" s="37" t="str">
        <f t="shared" si="44"/>
        <v>3</v>
      </c>
      <c r="E403" s="37" t="str">
        <f t="shared" si="45"/>
        <v>3</v>
      </c>
      <c r="F403" s="37" t="str">
        <f t="shared" si="46"/>
        <v>49</v>
      </c>
      <c r="G403" s="37" t="str">
        <f t="shared" si="47"/>
        <v>2</v>
      </c>
      <c r="H403" s="37" t="str">
        <f t="shared" si="48"/>
        <v>0</v>
      </c>
      <c r="I403" s="37">
        <v>13334920</v>
      </c>
      <c r="J403" s="38" t="s">
        <v>1387</v>
      </c>
      <c r="K403" s="38" t="s">
        <v>1480</v>
      </c>
      <c r="L403" s="38" t="s">
        <v>1462</v>
      </c>
    </row>
    <row r="404" spans="2:12" ht="135" x14ac:dyDescent="0.25">
      <c r="B404" s="19" t="str">
        <f t="shared" si="42"/>
        <v>1</v>
      </c>
      <c r="C404" s="19" t="str">
        <f t="shared" si="43"/>
        <v>3</v>
      </c>
      <c r="D404" s="19" t="str">
        <f t="shared" si="44"/>
        <v>3</v>
      </c>
      <c r="E404" s="19" t="str">
        <f t="shared" si="45"/>
        <v>3</v>
      </c>
      <c r="F404" s="19" t="str">
        <f t="shared" si="46"/>
        <v>00</v>
      </c>
      <c r="G404" s="19" t="str">
        <f t="shared" si="47"/>
        <v>1</v>
      </c>
      <c r="H404" s="19" t="str">
        <f t="shared" si="48"/>
        <v>0</v>
      </c>
      <c r="I404" s="19">
        <v>13330010</v>
      </c>
      <c r="J404" s="18" t="s">
        <v>489</v>
      </c>
      <c r="K404" s="18" t="s">
        <v>1481</v>
      </c>
      <c r="L404" s="21" t="s">
        <v>1462</v>
      </c>
    </row>
    <row r="405" spans="2:12" ht="105" x14ac:dyDescent="0.25">
      <c r="B405" s="19" t="str">
        <f t="shared" si="42"/>
        <v>1</v>
      </c>
      <c r="C405" s="19" t="str">
        <f t="shared" si="43"/>
        <v>3</v>
      </c>
      <c r="D405" s="19" t="str">
        <f t="shared" si="44"/>
        <v>3</v>
      </c>
      <c r="E405" s="19" t="str">
        <f t="shared" si="45"/>
        <v>3</v>
      </c>
      <c r="F405" s="19" t="str">
        <f t="shared" si="46"/>
        <v>00</v>
      </c>
      <c r="G405" s="19" t="str">
        <f t="shared" si="47"/>
        <v>2</v>
      </c>
      <c r="H405" s="19" t="str">
        <f t="shared" si="48"/>
        <v>0</v>
      </c>
      <c r="I405" s="19">
        <v>13330020</v>
      </c>
      <c r="J405" s="18" t="s">
        <v>490</v>
      </c>
      <c r="K405" s="18" t="s">
        <v>491</v>
      </c>
      <c r="L405" s="21" t="s">
        <v>1462</v>
      </c>
    </row>
    <row r="406" spans="2:12" ht="45" x14ac:dyDescent="0.25">
      <c r="B406" s="19" t="str">
        <f t="shared" si="42"/>
        <v>1</v>
      </c>
      <c r="C406" s="19" t="str">
        <f t="shared" si="43"/>
        <v>3</v>
      </c>
      <c r="D406" s="19" t="str">
        <f t="shared" si="44"/>
        <v>3</v>
      </c>
      <c r="E406" s="19" t="str">
        <f t="shared" si="45"/>
        <v>3</v>
      </c>
      <c r="F406" s="19" t="str">
        <f t="shared" si="46"/>
        <v>00</v>
      </c>
      <c r="G406" s="19" t="str">
        <f t="shared" si="47"/>
        <v>3</v>
      </c>
      <c r="H406" s="19" t="str">
        <f t="shared" si="48"/>
        <v>0</v>
      </c>
      <c r="I406" s="19">
        <v>13330030</v>
      </c>
      <c r="J406" s="18" t="s">
        <v>492</v>
      </c>
      <c r="K406" s="18" t="s">
        <v>493</v>
      </c>
      <c r="L406" s="21" t="s">
        <v>1462</v>
      </c>
    </row>
    <row r="407" spans="2:12" ht="90" x14ac:dyDescent="0.25">
      <c r="B407" s="19" t="str">
        <f t="shared" si="42"/>
        <v>1</v>
      </c>
      <c r="C407" s="19" t="str">
        <f t="shared" si="43"/>
        <v>3</v>
      </c>
      <c r="D407" s="19" t="str">
        <f t="shared" si="44"/>
        <v>3</v>
      </c>
      <c r="E407" s="19" t="str">
        <f t="shared" si="45"/>
        <v>3</v>
      </c>
      <c r="F407" s="19" t="str">
        <f t="shared" si="46"/>
        <v>00</v>
      </c>
      <c r="G407" s="19" t="str">
        <f t="shared" si="47"/>
        <v>4</v>
      </c>
      <c r="H407" s="19" t="str">
        <f t="shared" si="48"/>
        <v>0</v>
      </c>
      <c r="I407" s="19">
        <v>13330040</v>
      </c>
      <c r="J407" s="18" t="s">
        <v>494</v>
      </c>
      <c r="K407" s="18" t="s">
        <v>495</v>
      </c>
      <c r="L407" s="21" t="s">
        <v>1462</v>
      </c>
    </row>
    <row r="408" spans="2:12" ht="165" x14ac:dyDescent="0.25">
      <c r="B408" s="19" t="str">
        <f t="shared" si="42"/>
        <v>1</v>
      </c>
      <c r="C408" s="19" t="str">
        <f t="shared" si="43"/>
        <v>3</v>
      </c>
      <c r="D408" s="19" t="str">
        <f t="shared" si="44"/>
        <v>3</v>
      </c>
      <c r="E408" s="19" t="str">
        <f t="shared" si="45"/>
        <v>3</v>
      </c>
      <c r="F408" s="19" t="str">
        <f t="shared" si="46"/>
        <v>00</v>
      </c>
      <c r="G408" s="19" t="str">
        <f t="shared" si="47"/>
        <v>5</v>
      </c>
      <c r="H408" s="19" t="str">
        <f t="shared" si="48"/>
        <v>0</v>
      </c>
      <c r="I408" s="19">
        <v>13330050</v>
      </c>
      <c r="J408" s="18" t="s">
        <v>496</v>
      </c>
      <c r="K408" s="18" t="s">
        <v>497</v>
      </c>
      <c r="L408" s="21" t="s">
        <v>1462</v>
      </c>
    </row>
    <row r="409" spans="2:12" ht="75" x14ac:dyDescent="0.25">
      <c r="B409" s="19" t="str">
        <f t="shared" si="42"/>
        <v>1</v>
      </c>
      <c r="C409" s="19" t="str">
        <f t="shared" si="43"/>
        <v>3</v>
      </c>
      <c r="D409" s="19" t="str">
        <f t="shared" si="44"/>
        <v>3</v>
      </c>
      <c r="E409" s="19" t="str">
        <f t="shared" si="45"/>
        <v>3</v>
      </c>
      <c r="F409" s="19" t="str">
        <f t="shared" si="46"/>
        <v>00</v>
      </c>
      <c r="G409" s="19" t="str">
        <f t="shared" si="47"/>
        <v>6</v>
      </c>
      <c r="H409" s="19" t="str">
        <f t="shared" si="48"/>
        <v>0</v>
      </c>
      <c r="I409" s="19">
        <v>13330060</v>
      </c>
      <c r="J409" s="18" t="s">
        <v>498</v>
      </c>
      <c r="K409" s="18" t="s">
        <v>499</v>
      </c>
      <c r="L409" s="21" t="s">
        <v>1462</v>
      </c>
    </row>
    <row r="410" spans="2:12" ht="30" x14ac:dyDescent="0.25">
      <c r="B410" s="19" t="str">
        <f t="shared" si="42"/>
        <v>1</v>
      </c>
      <c r="C410" s="19" t="str">
        <f t="shared" si="43"/>
        <v>3</v>
      </c>
      <c r="D410" s="19" t="str">
        <f t="shared" si="44"/>
        <v>3</v>
      </c>
      <c r="E410" s="19" t="str">
        <f t="shared" si="45"/>
        <v>3</v>
      </c>
      <c r="F410" s="19" t="str">
        <f t="shared" si="46"/>
        <v>00</v>
      </c>
      <c r="G410" s="19" t="str">
        <f t="shared" si="47"/>
        <v>7</v>
      </c>
      <c r="H410" s="19" t="str">
        <f t="shared" si="48"/>
        <v>0</v>
      </c>
      <c r="I410" s="19">
        <v>13330070</v>
      </c>
      <c r="J410" s="18" t="s">
        <v>500</v>
      </c>
      <c r="K410" s="18" t="s">
        <v>501</v>
      </c>
      <c r="L410" s="21" t="s">
        <v>1462</v>
      </c>
    </row>
    <row r="411" spans="2:12" ht="45" x14ac:dyDescent="0.25">
      <c r="B411" s="19" t="str">
        <f t="shared" si="42"/>
        <v>1</v>
      </c>
      <c r="C411" s="19" t="str">
        <f t="shared" si="43"/>
        <v>3</v>
      </c>
      <c r="D411" s="19" t="str">
        <f t="shared" si="44"/>
        <v>3</v>
      </c>
      <c r="E411" s="19" t="str">
        <f t="shared" si="45"/>
        <v>3</v>
      </c>
      <c r="F411" s="19" t="str">
        <f t="shared" si="46"/>
        <v>00</v>
      </c>
      <c r="G411" s="19" t="str">
        <f t="shared" si="47"/>
        <v>9</v>
      </c>
      <c r="H411" s="19" t="str">
        <f t="shared" si="48"/>
        <v>0</v>
      </c>
      <c r="I411" s="19">
        <v>13330090</v>
      </c>
      <c r="J411" s="18" t="s">
        <v>502</v>
      </c>
      <c r="K411" s="18" t="s">
        <v>503</v>
      </c>
      <c r="L411" s="21" t="s">
        <v>1462</v>
      </c>
    </row>
    <row r="412" spans="2:12" x14ac:dyDescent="0.25">
      <c r="B412" s="17" t="str">
        <f t="shared" si="42"/>
        <v>1</v>
      </c>
      <c r="C412" s="17" t="str">
        <f t="shared" si="43"/>
        <v>3</v>
      </c>
      <c r="D412" s="17" t="str">
        <f t="shared" si="44"/>
        <v>3</v>
      </c>
      <c r="E412" s="17" t="str">
        <f t="shared" si="45"/>
        <v>9</v>
      </c>
      <c r="F412" s="17" t="str">
        <f t="shared" si="46"/>
        <v>00</v>
      </c>
      <c r="G412" s="17" t="str">
        <f t="shared" si="47"/>
        <v>0</v>
      </c>
      <c r="H412" s="17" t="str">
        <f t="shared" si="48"/>
        <v>0</v>
      </c>
      <c r="I412" s="17">
        <v>13390000</v>
      </c>
      <c r="J412" s="16" t="s">
        <v>504</v>
      </c>
      <c r="K412" s="16" t="s">
        <v>505</v>
      </c>
      <c r="L412" s="16"/>
    </row>
    <row r="413" spans="2:12" x14ac:dyDescent="0.25">
      <c r="B413" s="32" t="str">
        <f t="shared" si="42"/>
        <v>1</v>
      </c>
      <c r="C413" s="32" t="str">
        <f t="shared" si="43"/>
        <v>3</v>
      </c>
      <c r="D413" s="32" t="str">
        <f t="shared" si="44"/>
        <v>3</v>
      </c>
      <c r="E413" s="32" t="str">
        <f t="shared" si="45"/>
        <v>9</v>
      </c>
      <c r="F413" s="32" t="str">
        <f t="shared" si="46"/>
        <v>01</v>
      </c>
      <c r="G413" s="32" t="str">
        <f t="shared" si="47"/>
        <v>0</v>
      </c>
      <c r="H413" s="32" t="str">
        <f t="shared" si="48"/>
        <v>0</v>
      </c>
      <c r="I413" s="32">
        <v>13390100</v>
      </c>
      <c r="J413" s="33" t="s">
        <v>504</v>
      </c>
      <c r="K413" s="33" t="s">
        <v>505</v>
      </c>
      <c r="L413" s="34" t="s">
        <v>1462</v>
      </c>
    </row>
    <row r="414" spans="2:12" x14ac:dyDescent="0.25">
      <c r="B414" s="19" t="str">
        <f t="shared" si="42"/>
        <v>1</v>
      </c>
      <c r="C414" s="19" t="str">
        <f t="shared" si="43"/>
        <v>3</v>
      </c>
      <c r="D414" s="19" t="str">
        <f t="shared" si="44"/>
        <v>3</v>
      </c>
      <c r="E414" s="19" t="str">
        <f t="shared" si="45"/>
        <v>9</v>
      </c>
      <c r="F414" s="19" t="str">
        <f t="shared" si="46"/>
        <v>01</v>
      </c>
      <c r="G414" s="19" t="str">
        <f t="shared" si="47"/>
        <v>1</v>
      </c>
      <c r="H414" s="19" t="str">
        <f t="shared" si="48"/>
        <v>0</v>
      </c>
      <c r="I414" s="19">
        <v>13390110</v>
      </c>
      <c r="J414" s="18" t="s">
        <v>504</v>
      </c>
      <c r="K414" s="18" t="s">
        <v>505</v>
      </c>
      <c r="L414" s="21" t="s">
        <v>1462</v>
      </c>
    </row>
    <row r="415" spans="2:12" ht="30" x14ac:dyDescent="0.25">
      <c r="B415" s="2" t="str">
        <f t="shared" si="42"/>
        <v>1</v>
      </c>
      <c r="C415" s="2" t="str">
        <f t="shared" si="43"/>
        <v>3</v>
      </c>
      <c r="D415" s="2" t="str">
        <f t="shared" si="44"/>
        <v>3</v>
      </c>
      <c r="E415" s="2" t="str">
        <f t="shared" si="45"/>
        <v>9</v>
      </c>
      <c r="F415" s="2" t="str">
        <f t="shared" si="46"/>
        <v>99</v>
      </c>
      <c r="G415" s="2" t="str">
        <f t="shared" si="47"/>
        <v>0</v>
      </c>
      <c r="H415" s="2" t="str">
        <f t="shared" si="48"/>
        <v>0</v>
      </c>
      <c r="I415" s="2">
        <v>13399900</v>
      </c>
      <c r="J415" s="3" t="s">
        <v>506</v>
      </c>
      <c r="K415" s="3" t="s">
        <v>507</v>
      </c>
      <c r="L415" s="3"/>
    </row>
    <row r="416" spans="2:12" ht="30" x14ac:dyDescent="0.25">
      <c r="B416" s="7" t="str">
        <f t="shared" si="42"/>
        <v>1</v>
      </c>
      <c r="C416" s="7" t="str">
        <f t="shared" si="43"/>
        <v>3</v>
      </c>
      <c r="D416" s="7" t="str">
        <f t="shared" si="44"/>
        <v>3</v>
      </c>
      <c r="E416" s="7" t="str">
        <f t="shared" si="45"/>
        <v>9</v>
      </c>
      <c r="F416" s="7" t="str">
        <f t="shared" si="46"/>
        <v>99</v>
      </c>
      <c r="G416" s="7" t="str">
        <f t="shared" si="47"/>
        <v>1</v>
      </c>
      <c r="H416" s="7" t="str">
        <f t="shared" si="48"/>
        <v>0</v>
      </c>
      <c r="I416" s="7">
        <v>13399910</v>
      </c>
      <c r="J416" s="8" t="s">
        <v>506</v>
      </c>
      <c r="K416" s="8" t="s">
        <v>507</v>
      </c>
      <c r="L416" s="8"/>
    </row>
    <row r="417" spans="2:12" x14ac:dyDescent="0.25">
      <c r="B417" s="44" t="str">
        <f t="shared" si="42"/>
        <v>1</v>
      </c>
      <c r="C417" s="44" t="str">
        <f t="shared" si="43"/>
        <v>3</v>
      </c>
      <c r="D417" s="44" t="str">
        <f t="shared" si="44"/>
        <v>4</v>
      </c>
      <c r="E417" s="44" t="str">
        <f t="shared" si="45"/>
        <v>0</v>
      </c>
      <c r="F417" s="44" t="str">
        <f t="shared" si="46"/>
        <v>00</v>
      </c>
      <c r="G417" s="44" t="str">
        <f t="shared" si="47"/>
        <v>0</v>
      </c>
      <c r="H417" s="44" t="str">
        <f t="shared" si="48"/>
        <v>0</v>
      </c>
      <c r="I417" s="44">
        <v>13400000</v>
      </c>
      <c r="J417" s="45" t="s">
        <v>508</v>
      </c>
      <c r="K417" s="45" t="s">
        <v>509</v>
      </c>
      <c r="L417" s="45"/>
    </row>
    <row r="418" spans="2:12" ht="30" x14ac:dyDescent="0.25">
      <c r="B418" s="17" t="str">
        <f t="shared" si="42"/>
        <v>1</v>
      </c>
      <c r="C418" s="17" t="str">
        <f t="shared" si="43"/>
        <v>3</v>
      </c>
      <c r="D418" s="17" t="str">
        <f t="shared" si="44"/>
        <v>4</v>
      </c>
      <c r="E418" s="17" t="str">
        <f t="shared" si="45"/>
        <v>1</v>
      </c>
      <c r="F418" s="17" t="str">
        <f t="shared" si="46"/>
        <v>00</v>
      </c>
      <c r="G418" s="17" t="str">
        <f t="shared" si="47"/>
        <v>0</v>
      </c>
      <c r="H418" s="17" t="str">
        <f t="shared" si="48"/>
        <v>0</v>
      </c>
      <c r="I418" s="17">
        <v>13410000</v>
      </c>
      <c r="J418" s="16" t="s">
        <v>510</v>
      </c>
      <c r="K418" s="16" t="s">
        <v>511</v>
      </c>
      <c r="L418" s="16"/>
    </row>
    <row r="419" spans="2:12" ht="30" x14ac:dyDescent="0.25">
      <c r="B419" s="2" t="str">
        <f t="shared" si="42"/>
        <v>1</v>
      </c>
      <c r="C419" s="2" t="str">
        <f t="shared" si="43"/>
        <v>3</v>
      </c>
      <c r="D419" s="2" t="str">
        <f t="shared" si="44"/>
        <v>4</v>
      </c>
      <c r="E419" s="2" t="str">
        <f t="shared" si="45"/>
        <v>1</v>
      </c>
      <c r="F419" s="2" t="str">
        <f t="shared" si="46"/>
        <v>01</v>
      </c>
      <c r="G419" s="2" t="str">
        <f t="shared" si="47"/>
        <v>0</v>
      </c>
      <c r="H419" s="2" t="str">
        <f t="shared" si="48"/>
        <v>0</v>
      </c>
      <c r="I419" s="2">
        <v>13410100</v>
      </c>
      <c r="J419" s="3" t="s">
        <v>512</v>
      </c>
      <c r="K419" s="3" t="s">
        <v>513</v>
      </c>
      <c r="L419" s="3"/>
    </row>
    <row r="420" spans="2:12" ht="45" x14ac:dyDescent="0.25">
      <c r="B420" s="7" t="str">
        <f t="shared" si="42"/>
        <v>1</v>
      </c>
      <c r="C420" s="7" t="str">
        <f t="shared" si="43"/>
        <v>3</v>
      </c>
      <c r="D420" s="7" t="str">
        <f t="shared" si="44"/>
        <v>4</v>
      </c>
      <c r="E420" s="7" t="str">
        <f t="shared" si="45"/>
        <v>1</v>
      </c>
      <c r="F420" s="7" t="str">
        <f t="shared" si="46"/>
        <v>01</v>
      </c>
      <c r="G420" s="7" t="str">
        <f t="shared" si="47"/>
        <v>1</v>
      </c>
      <c r="H420" s="7" t="str">
        <f t="shared" si="48"/>
        <v>0</v>
      </c>
      <c r="I420" s="7">
        <v>13410110</v>
      </c>
      <c r="J420" s="8" t="s">
        <v>514</v>
      </c>
      <c r="K420" s="8" t="s">
        <v>515</v>
      </c>
      <c r="L420" s="8"/>
    </row>
    <row r="421" spans="2:12" ht="30" x14ac:dyDescent="0.25">
      <c r="B421" s="7" t="str">
        <f t="shared" si="42"/>
        <v>1</v>
      </c>
      <c r="C421" s="7" t="str">
        <f t="shared" si="43"/>
        <v>3</v>
      </c>
      <c r="D421" s="7" t="str">
        <f t="shared" si="44"/>
        <v>4</v>
      </c>
      <c r="E421" s="7" t="str">
        <f t="shared" si="45"/>
        <v>1</v>
      </c>
      <c r="F421" s="7" t="str">
        <f t="shared" si="46"/>
        <v>01</v>
      </c>
      <c r="G421" s="7" t="str">
        <f t="shared" si="47"/>
        <v>2</v>
      </c>
      <c r="H421" s="7" t="str">
        <f t="shared" si="48"/>
        <v>0</v>
      </c>
      <c r="I421" s="7">
        <v>13410120</v>
      </c>
      <c r="J421" s="8" t="s">
        <v>71</v>
      </c>
      <c r="K421" s="8" t="s">
        <v>516</v>
      </c>
      <c r="L421" s="8"/>
    </row>
    <row r="422" spans="2:12" ht="30" x14ac:dyDescent="0.25">
      <c r="B422" s="2" t="str">
        <f t="shared" si="42"/>
        <v>1</v>
      </c>
      <c r="C422" s="2" t="str">
        <f t="shared" si="43"/>
        <v>3</v>
      </c>
      <c r="D422" s="2" t="str">
        <f t="shared" si="44"/>
        <v>4</v>
      </c>
      <c r="E422" s="2" t="str">
        <f t="shared" si="45"/>
        <v>1</v>
      </c>
      <c r="F422" s="2" t="str">
        <f t="shared" si="46"/>
        <v>02</v>
      </c>
      <c r="G422" s="2" t="str">
        <f t="shared" si="47"/>
        <v>0</v>
      </c>
      <c r="H422" s="2" t="str">
        <f t="shared" si="48"/>
        <v>0</v>
      </c>
      <c r="I422" s="2">
        <v>13410200</v>
      </c>
      <c r="J422" s="3" t="s">
        <v>517</v>
      </c>
      <c r="K422" s="3" t="s">
        <v>511</v>
      </c>
      <c r="L422" s="3"/>
    </row>
    <row r="423" spans="2:12" ht="45" x14ac:dyDescent="0.25">
      <c r="B423" s="7" t="str">
        <f t="shared" si="42"/>
        <v>1</v>
      </c>
      <c r="C423" s="7" t="str">
        <f t="shared" si="43"/>
        <v>3</v>
      </c>
      <c r="D423" s="7" t="str">
        <f t="shared" si="44"/>
        <v>4</v>
      </c>
      <c r="E423" s="7" t="str">
        <f t="shared" si="45"/>
        <v>1</v>
      </c>
      <c r="F423" s="7" t="str">
        <f t="shared" si="46"/>
        <v>02</v>
      </c>
      <c r="G423" s="7" t="str">
        <f t="shared" si="47"/>
        <v>1</v>
      </c>
      <c r="H423" s="7" t="str">
        <f t="shared" si="48"/>
        <v>0</v>
      </c>
      <c r="I423" s="7">
        <v>13410210</v>
      </c>
      <c r="J423" s="8" t="s">
        <v>73</v>
      </c>
      <c r="K423" s="8" t="s">
        <v>518</v>
      </c>
      <c r="L423" s="8"/>
    </row>
    <row r="424" spans="2:12" ht="97.5" customHeight="1" x14ac:dyDescent="0.25">
      <c r="B424" s="7" t="str">
        <f t="shared" si="42"/>
        <v>1</v>
      </c>
      <c r="C424" s="7" t="str">
        <f t="shared" si="43"/>
        <v>3</v>
      </c>
      <c r="D424" s="7" t="str">
        <f t="shared" si="44"/>
        <v>4</v>
      </c>
      <c r="E424" s="7" t="str">
        <f t="shared" si="45"/>
        <v>1</v>
      </c>
      <c r="F424" s="7" t="str">
        <f t="shared" si="46"/>
        <v>02</v>
      </c>
      <c r="G424" s="7" t="str">
        <f t="shared" si="47"/>
        <v>2</v>
      </c>
      <c r="H424" s="7" t="str">
        <f t="shared" si="48"/>
        <v>0</v>
      </c>
      <c r="I424" s="7">
        <v>13410220</v>
      </c>
      <c r="J424" s="8" t="s">
        <v>74</v>
      </c>
      <c r="K424" s="8" t="s">
        <v>519</v>
      </c>
      <c r="L424" s="8"/>
    </row>
    <row r="425" spans="2:12" ht="92.25" customHeight="1" x14ac:dyDescent="0.25">
      <c r="B425" s="7" t="str">
        <f t="shared" si="42"/>
        <v>1</v>
      </c>
      <c r="C425" s="7" t="str">
        <f t="shared" si="43"/>
        <v>3</v>
      </c>
      <c r="D425" s="7" t="str">
        <f t="shared" si="44"/>
        <v>4</v>
      </c>
      <c r="E425" s="7" t="str">
        <f t="shared" si="45"/>
        <v>1</v>
      </c>
      <c r="F425" s="7" t="str">
        <f t="shared" si="46"/>
        <v>02</v>
      </c>
      <c r="G425" s="7" t="str">
        <f t="shared" si="47"/>
        <v>3</v>
      </c>
      <c r="H425" s="7" t="str">
        <f t="shared" si="48"/>
        <v>0</v>
      </c>
      <c r="I425" s="7">
        <v>13410230</v>
      </c>
      <c r="J425" s="8" t="s">
        <v>520</v>
      </c>
      <c r="K425" s="8" t="s">
        <v>521</v>
      </c>
      <c r="L425" s="8"/>
    </row>
    <row r="426" spans="2:12" ht="75" x14ac:dyDescent="0.25">
      <c r="B426" s="7" t="str">
        <f t="shared" si="42"/>
        <v>1</v>
      </c>
      <c r="C426" s="7" t="str">
        <f t="shared" si="43"/>
        <v>3</v>
      </c>
      <c r="D426" s="7" t="str">
        <f t="shared" si="44"/>
        <v>4</v>
      </c>
      <c r="E426" s="7" t="str">
        <f t="shared" si="45"/>
        <v>1</v>
      </c>
      <c r="F426" s="7" t="str">
        <f t="shared" si="46"/>
        <v>02</v>
      </c>
      <c r="G426" s="7" t="str">
        <f t="shared" si="47"/>
        <v>4</v>
      </c>
      <c r="H426" s="7" t="str">
        <f t="shared" si="48"/>
        <v>0</v>
      </c>
      <c r="I426" s="7">
        <v>13410240</v>
      </c>
      <c r="J426" s="8" t="s">
        <v>75</v>
      </c>
      <c r="K426" s="8" t="s">
        <v>522</v>
      </c>
      <c r="L426" s="8"/>
    </row>
    <row r="427" spans="2:12" ht="30" x14ac:dyDescent="0.25">
      <c r="B427" s="2" t="str">
        <f t="shared" si="42"/>
        <v>1</v>
      </c>
      <c r="C427" s="2" t="str">
        <f t="shared" si="43"/>
        <v>3</v>
      </c>
      <c r="D427" s="2" t="str">
        <f t="shared" si="44"/>
        <v>4</v>
      </c>
      <c r="E427" s="2" t="str">
        <f t="shared" si="45"/>
        <v>1</v>
      </c>
      <c r="F427" s="2" t="str">
        <f t="shared" si="46"/>
        <v>03</v>
      </c>
      <c r="G427" s="2" t="str">
        <f t="shared" si="47"/>
        <v>0</v>
      </c>
      <c r="H427" s="2" t="str">
        <f t="shared" si="48"/>
        <v>0</v>
      </c>
      <c r="I427" s="2">
        <v>13410300</v>
      </c>
      <c r="J427" s="3" t="s">
        <v>523</v>
      </c>
      <c r="K427" s="3" t="s">
        <v>511</v>
      </c>
      <c r="L427" s="3"/>
    </row>
    <row r="428" spans="2:12" ht="45" x14ac:dyDescent="0.25">
      <c r="B428" s="7" t="str">
        <f t="shared" si="42"/>
        <v>1</v>
      </c>
      <c r="C428" s="7" t="str">
        <f t="shared" si="43"/>
        <v>3</v>
      </c>
      <c r="D428" s="7" t="str">
        <f t="shared" si="44"/>
        <v>4</v>
      </c>
      <c r="E428" s="7" t="str">
        <f t="shared" si="45"/>
        <v>1</v>
      </c>
      <c r="F428" s="7" t="str">
        <f t="shared" si="46"/>
        <v>03</v>
      </c>
      <c r="G428" s="7" t="str">
        <f t="shared" si="47"/>
        <v>1</v>
      </c>
      <c r="H428" s="7" t="str">
        <f t="shared" si="48"/>
        <v>0</v>
      </c>
      <c r="I428" s="7">
        <v>13410310</v>
      </c>
      <c r="J428" s="8" t="s">
        <v>76</v>
      </c>
      <c r="K428" s="8" t="s">
        <v>524</v>
      </c>
      <c r="L428" s="8"/>
    </row>
    <row r="429" spans="2:12" ht="150" x14ac:dyDescent="0.25">
      <c r="B429" s="7" t="str">
        <f t="shared" si="42"/>
        <v>1</v>
      </c>
      <c r="C429" s="7" t="str">
        <f t="shared" si="43"/>
        <v>3</v>
      </c>
      <c r="D429" s="7" t="str">
        <f t="shared" si="44"/>
        <v>4</v>
      </c>
      <c r="E429" s="7" t="str">
        <f t="shared" si="45"/>
        <v>1</v>
      </c>
      <c r="F429" s="7" t="str">
        <f t="shared" si="46"/>
        <v>03</v>
      </c>
      <c r="G429" s="7" t="str">
        <f t="shared" si="47"/>
        <v>2</v>
      </c>
      <c r="H429" s="7" t="str">
        <f t="shared" si="48"/>
        <v>0</v>
      </c>
      <c r="I429" s="7">
        <v>13410320</v>
      </c>
      <c r="J429" s="8" t="s">
        <v>525</v>
      </c>
      <c r="K429" s="8" t="s">
        <v>526</v>
      </c>
      <c r="L429" s="8"/>
    </row>
    <row r="430" spans="2:12" ht="93.75" customHeight="1" x14ac:dyDescent="0.25">
      <c r="B430" s="7" t="str">
        <f t="shared" si="42"/>
        <v>1</v>
      </c>
      <c r="C430" s="7" t="str">
        <f t="shared" si="43"/>
        <v>3</v>
      </c>
      <c r="D430" s="7" t="str">
        <f t="shared" si="44"/>
        <v>4</v>
      </c>
      <c r="E430" s="7" t="str">
        <f t="shared" si="45"/>
        <v>1</v>
      </c>
      <c r="F430" s="7" t="str">
        <f t="shared" si="46"/>
        <v>03</v>
      </c>
      <c r="G430" s="7" t="str">
        <f t="shared" si="47"/>
        <v>3</v>
      </c>
      <c r="H430" s="7" t="str">
        <f t="shared" si="48"/>
        <v>0</v>
      </c>
      <c r="I430" s="7">
        <v>13410330</v>
      </c>
      <c r="J430" s="8" t="s">
        <v>77</v>
      </c>
      <c r="K430" s="8" t="s">
        <v>527</v>
      </c>
      <c r="L430" s="8"/>
    </row>
    <row r="431" spans="2:12" ht="75" x14ac:dyDescent="0.25">
      <c r="B431" s="7" t="str">
        <f t="shared" si="42"/>
        <v>1</v>
      </c>
      <c r="C431" s="7" t="str">
        <f t="shared" si="43"/>
        <v>3</v>
      </c>
      <c r="D431" s="7" t="str">
        <f t="shared" si="44"/>
        <v>4</v>
      </c>
      <c r="E431" s="7" t="str">
        <f t="shared" si="45"/>
        <v>1</v>
      </c>
      <c r="F431" s="7" t="str">
        <f t="shared" si="46"/>
        <v>03</v>
      </c>
      <c r="G431" s="7" t="str">
        <f t="shared" si="47"/>
        <v>4</v>
      </c>
      <c r="H431" s="7" t="str">
        <f t="shared" si="48"/>
        <v>0</v>
      </c>
      <c r="I431" s="7">
        <v>13410340</v>
      </c>
      <c r="J431" s="8" t="s">
        <v>78</v>
      </c>
      <c r="K431" s="8" t="s">
        <v>528</v>
      </c>
      <c r="L431" s="8"/>
    </row>
    <row r="432" spans="2:12" ht="45" x14ac:dyDescent="0.25">
      <c r="B432" s="2" t="str">
        <f t="shared" si="42"/>
        <v>1</v>
      </c>
      <c r="C432" s="2" t="str">
        <f t="shared" si="43"/>
        <v>3</v>
      </c>
      <c r="D432" s="2" t="str">
        <f t="shared" si="44"/>
        <v>4</v>
      </c>
      <c r="E432" s="2" t="str">
        <f t="shared" si="45"/>
        <v>1</v>
      </c>
      <c r="F432" s="2" t="str">
        <f t="shared" si="46"/>
        <v>04</v>
      </c>
      <c r="G432" s="2" t="str">
        <f t="shared" si="47"/>
        <v>0</v>
      </c>
      <c r="H432" s="2" t="str">
        <f t="shared" si="48"/>
        <v>0</v>
      </c>
      <c r="I432" s="2">
        <v>13410400</v>
      </c>
      <c r="J432" s="3" t="s">
        <v>529</v>
      </c>
      <c r="K432" s="3" t="s">
        <v>530</v>
      </c>
      <c r="L432" s="3"/>
    </row>
    <row r="433" spans="2:12" ht="83.25" customHeight="1" x14ac:dyDescent="0.25">
      <c r="B433" s="7" t="str">
        <f t="shared" si="42"/>
        <v>1</v>
      </c>
      <c r="C433" s="7" t="str">
        <f t="shared" si="43"/>
        <v>3</v>
      </c>
      <c r="D433" s="7" t="str">
        <f t="shared" si="44"/>
        <v>4</v>
      </c>
      <c r="E433" s="7" t="str">
        <f t="shared" si="45"/>
        <v>1</v>
      </c>
      <c r="F433" s="7" t="str">
        <f t="shared" si="46"/>
        <v>04</v>
      </c>
      <c r="G433" s="7" t="str">
        <f t="shared" si="47"/>
        <v>1</v>
      </c>
      <c r="H433" s="7" t="str">
        <f t="shared" si="48"/>
        <v>0</v>
      </c>
      <c r="I433" s="7">
        <v>13410410</v>
      </c>
      <c r="J433" s="8" t="s">
        <v>79</v>
      </c>
      <c r="K433" s="8" t="s">
        <v>531</v>
      </c>
      <c r="L433" s="8"/>
    </row>
    <row r="434" spans="2:12" ht="114" customHeight="1" x14ac:dyDescent="0.25">
      <c r="B434" s="7" t="str">
        <f t="shared" si="42"/>
        <v>1</v>
      </c>
      <c r="C434" s="7" t="str">
        <f t="shared" si="43"/>
        <v>3</v>
      </c>
      <c r="D434" s="7" t="str">
        <f t="shared" si="44"/>
        <v>4</v>
      </c>
      <c r="E434" s="7" t="str">
        <f t="shared" si="45"/>
        <v>1</v>
      </c>
      <c r="F434" s="7" t="str">
        <f t="shared" si="46"/>
        <v>04</v>
      </c>
      <c r="G434" s="7" t="str">
        <f t="shared" si="47"/>
        <v>2</v>
      </c>
      <c r="H434" s="7" t="str">
        <f t="shared" si="48"/>
        <v>0</v>
      </c>
      <c r="I434" s="7">
        <v>13410420</v>
      </c>
      <c r="J434" s="8" t="s">
        <v>80</v>
      </c>
      <c r="K434" s="8" t="s">
        <v>532</v>
      </c>
      <c r="L434" s="8"/>
    </row>
    <row r="435" spans="2:12" ht="73.5" customHeight="1" x14ac:dyDescent="0.25">
      <c r="B435" s="7" t="str">
        <f t="shared" si="42"/>
        <v>1</v>
      </c>
      <c r="C435" s="7" t="str">
        <f t="shared" si="43"/>
        <v>3</v>
      </c>
      <c r="D435" s="7" t="str">
        <f t="shared" si="44"/>
        <v>4</v>
      </c>
      <c r="E435" s="7" t="str">
        <f t="shared" si="45"/>
        <v>1</v>
      </c>
      <c r="F435" s="7" t="str">
        <f t="shared" si="46"/>
        <v>04</v>
      </c>
      <c r="G435" s="7" t="str">
        <f t="shared" si="47"/>
        <v>3</v>
      </c>
      <c r="H435" s="7" t="str">
        <f t="shared" si="48"/>
        <v>0</v>
      </c>
      <c r="I435" s="7">
        <v>13410430</v>
      </c>
      <c r="J435" s="8" t="s">
        <v>533</v>
      </c>
      <c r="K435" s="8" t="s">
        <v>534</v>
      </c>
      <c r="L435" s="8"/>
    </row>
    <row r="436" spans="2:12" ht="72" customHeight="1" x14ac:dyDescent="0.25">
      <c r="B436" s="7" t="str">
        <f t="shared" si="42"/>
        <v>1</v>
      </c>
      <c r="C436" s="7" t="str">
        <f t="shared" si="43"/>
        <v>3</v>
      </c>
      <c r="D436" s="7" t="str">
        <f t="shared" si="44"/>
        <v>4</v>
      </c>
      <c r="E436" s="7" t="str">
        <f t="shared" si="45"/>
        <v>1</v>
      </c>
      <c r="F436" s="7" t="str">
        <f t="shared" si="46"/>
        <v>04</v>
      </c>
      <c r="G436" s="7" t="str">
        <f t="shared" si="47"/>
        <v>4</v>
      </c>
      <c r="H436" s="7" t="str">
        <f t="shared" si="48"/>
        <v>0</v>
      </c>
      <c r="I436" s="7">
        <v>13410440</v>
      </c>
      <c r="J436" s="8" t="s">
        <v>535</v>
      </c>
      <c r="K436" s="8" t="s">
        <v>536</v>
      </c>
      <c r="L436" s="8"/>
    </row>
    <row r="437" spans="2:12" ht="45" x14ac:dyDescent="0.25">
      <c r="B437" s="17" t="str">
        <f t="shared" si="42"/>
        <v>1</v>
      </c>
      <c r="C437" s="17" t="str">
        <f t="shared" si="43"/>
        <v>3</v>
      </c>
      <c r="D437" s="17" t="str">
        <f t="shared" si="44"/>
        <v>4</v>
      </c>
      <c r="E437" s="17" t="str">
        <f t="shared" si="45"/>
        <v>2</v>
      </c>
      <c r="F437" s="17" t="str">
        <f t="shared" si="46"/>
        <v>00</v>
      </c>
      <c r="G437" s="17" t="str">
        <f t="shared" si="47"/>
        <v>0</v>
      </c>
      <c r="H437" s="17" t="str">
        <f t="shared" si="48"/>
        <v>0</v>
      </c>
      <c r="I437" s="17">
        <v>13420000</v>
      </c>
      <c r="J437" s="16" t="s">
        <v>537</v>
      </c>
      <c r="K437" s="16" t="s">
        <v>538</v>
      </c>
      <c r="L437" s="16"/>
    </row>
    <row r="438" spans="2:12" ht="45" x14ac:dyDescent="0.25">
      <c r="B438" s="2" t="str">
        <f t="shared" si="42"/>
        <v>1</v>
      </c>
      <c r="C438" s="2" t="str">
        <f t="shared" si="43"/>
        <v>3</v>
      </c>
      <c r="D438" s="2" t="str">
        <f t="shared" si="44"/>
        <v>4</v>
      </c>
      <c r="E438" s="2" t="str">
        <f t="shared" si="45"/>
        <v>2</v>
      </c>
      <c r="F438" s="2" t="str">
        <f t="shared" si="46"/>
        <v>02</v>
      </c>
      <c r="G438" s="2" t="str">
        <f t="shared" si="47"/>
        <v>0</v>
      </c>
      <c r="H438" s="2" t="str">
        <f t="shared" si="48"/>
        <v>0</v>
      </c>
      <c r="I438" s="2">
        <v>13420200</v>
      </c>
      <c r="J438" s="3" t="s">
        <v>539</v>
      </c>
      <c r="K438" s="3" t="s">
        <v>540</v>
      </c>
      <c r="L438" s="3"/>
    </row>
    <row r="439" spans="2:12" ht="60" x14ac:dyDescent="0.25">
      <c r="B439" s="7" t="str">
        <f t="shared" si="42"/>
        <v>1</v>
      </c>
      <c r="C439" s="7" t="str">
        <f t="shared" si="43"/>
        <v>3</v>
      </c>
      <c r="D439" s="7" t="str">
        <f t="shared" si="44"/>
        <v>4</v>
      </c>
      <c r="E439" s="7" t="str">
        <f t="shared" si="45"/>
        <v>2</v>
      </c>
      <c r="F439" s="7" t="str">
        <f t="shared" si="46"/>
        <v>02</v>
      </c>
      <c r="G439" s="7" t="str">
        <f t="shared" si="47"/>
        <v>1</v>
      </c>
      <c r="H439" s="7" t="str">
        <f t="shared" si="48"/>
        <v>0</v>
      </c>
      <c r="I439" s="7">
        <v>13420210</v>
      </c>
      <c r="J439" s="8" t="s">
        <v>541</v>
      </c>
      <c r="K439" s="8" t="s">
        <v>542</v>
      </c>
      <c r="L439" s="8"/>
    </row>
    <row r="440" spans="2:12" ht="60" x14ac:dyDescent="0.25">
      <c r="B440" s="7" t="str">
        <f t="shared" si="42"/>
        <v>1</v>
      </c>
      <c r="C440" s="7" t="str">
        <f t="shared" si="43"/>
        <v>3</v>
      </c>
      <c r="D440" s="7" t="str">
        <f t="shared" si="44"/>
        <v>4</v>
      </c>
      <c r="E440" s="7" t="str">
        <f t="shared" si="45"/>
        <v>2</v>
      </c>
      <c r="F440" s="7" t="str">
        <f t="shared" si="46"/>
        <v>02</v>
      </c>
      <c r="G440" s="7" t="str">
        <f t="shared" si="47"/>
        <v>4</v>
      </c>
      <c r="H440" s="7" t="str">
        <f t="shared" si="48"/>
        <v>0</v>
      </c>
      <c r="I440" s="7">
        <v>13420240</v>
      </c>
      <c r="J440" s="8" t="s">
        <v>543</v>
      </c>
      <c r="K440" s="8" t="s">
        <v>544</v>
      </c>
      <c r="L440" s="8"/>
    </row>
    <row r="441" spans="2:12" ht="45" x14ac:dyDescent="0.25">
      <c r="B441" s="2" t="str">
        <f t="shared" si="42"/>
        <v>1</v>
      </c>
      <c r="C441" s="2" t="str">
        <f t="shared" si="43"/>
        <v>3</v>
      </c>
      <c r="D441" s="2" t="str">
        <f t="shared" si="44"/>
        <v>4</v>
      </c>
      <c r="E441" s="2" t="str">
        <f t="shared" si="45"/>
        <v>2</v>
      </c>
      <c r="F441" s="2" t="str">
        <f t="shared" si="46"/>
        <v>03</v>
      </c>
      <c r="G441" s="2" t="str">
        <f t="shared" si="47"/>
        <v>0</v>
      </c>
      <c r="H441" s="2" t="str">
        <f t="shared" si="48"/>
        <v>0</v>
      </c>
      <c r="I441" s="2">
        <v>13420300</v>
      </c>
      <c r="J441" s="3" t="s">
        <v>545</v>
      </c>
      <c r="K441" s="3" t="s">
        <v>546</v>
      </c>
      <c r="L441" s="3"/>
    </row>
    <row r="442" spans="2:12" ht="60" x14ac:dyDescent="0.25">
      <c r="B442" s="7" t="str">
        <f t="shared" si="42"/>
        <v>1</v>
      </c>
      <c r="C442" s="7" t="str">
        <f t="shared" si="43"/>
        <v>3</v>
      </c>
      <c r="D442" s="7" t="str">
        <f t="shared" si="44"/>
        <v>4</v>
      </c>
      <c r="E442" s="7" t="str">
        <f t="shared" si="45"/>
        <v>2</v>
      </c>
      <c r="F442" s="7" t="str">
        <f t="shared" si="46"/>
        <v>03</v>
      </c>
      <c r="G442" s="7" t="str">
        <f t="shared" si="47"/>
        <v>1</v>
      </c>
      <c r="H442" s="7" t="str">
        <f t="shared" si="48"/>
        <v>0</v>
      </c>
      <c r="I442" s="7">
        <v>13420310</v>
      </c>
      <c r="J442" s="8" t="s">
        <v>547</v>
      </c>
      <c r="K442" s="8" t="s">
        <v>548</v>
      </c>
      <c r="L442" s="8"/>
    </row>
    <row r="443" spans="2:12" ht="60" x14ac:dyDescent="0.25">
      <c r="B443" s="7" t="str">
        <f t="shared" si="42"/>
        <v>1</v>
      </c>
      <c r="C443" s="7" t="str">
        <f t="shared" si="43"/>
        <v>3</v>
      </c>
      <c r="D443" s="7" t="str">
        <f t="shared" si="44"/>
        <v>4</v>
      </c>
      <c r="E443" s="7" t="str">
        <f t="shared" si="45"/>
        <v>2</v>
      </c>
      <c r="F443" s="7" t="str">
        <f t="shared" si="46"/>
        <v>03</v>
      </c>
      <c r="G443" s="7" t="str">
        <f t="shared" si="47"/>
        <v>4</v>
      </c>
      <c r="H443" s="7" t="str">
        <f t="shared" si="48"/>
        <v>0</v>
      </c>
      <c r="I443" s="7">
        <v>13420340</v>
      </c>
      <c r="J443" s="8" t="s">
        <v>549</v>
      </c>
      <c r="K443" s="8" t="s">
        <v>550</v>
      </c>
      <c r="L443" s="8"/>
    </row>
    <row r="444" spans="2:12" ht="45" x14ac:dyDescent="0.25">
      <c r="B444" s="17" t="str">
        <f t="shared" si="42"/>
        <v>1</v>
      </c>
      <c r="C444" s="17" t="str">
        <f t="shared" si="43"/>
        <v>3</v>
      </c>
      <c r="D444" s="17" t="str">
        <f t="shared" si="44"/>
        <v>4</v>
      </c>
      <c r="E444" s="17" t="str">
        <f t="shared" si="45"/>
        <v>3</v>
      </c>
      <c r="F444" s="17" t="str">
        <f t="shared" si="46"/>
        <v>00</v>
      </c>
      <c r="G444" s="17" t="str">
        <f t="shared" si="47"/>
        <v>0</v>
      </c>
      <c r="H444" s="17" t="str">
        <f t="shared" si="48"/>
        <v>0</v>
      </c>
      <c r="I444" s="17">
        <v>13430000</v>
      </c>
      <c r="J444" s="16" t="s">
        <v>551</v>
      </c>
      <c r="K444" s="16" t="s">
        <v>552</v>
      </c>
      <c r="L444" s="16"/>
    </row>
    <row r="445" spans="2:12" ht="30" x14ac:dyDescent="0.25">
      <c r="B445" s="2" t="str">
        <f t="shared" si="42"/>
        <v>1</v>
      </c>
      <c r="C445" s="2" t="str">
        <f t="shared" si="43"/>
        <v>3</v>
      </c>
      <c r="D445" s="2" t="str">
        <f t="shared" si="44"/>
        <v>4</v>
      </c>
      <c r="E445" s="2" t="str">
        <f t="shared" si="45"/>
        <v>3</v>
      </c>
      <c r="F445" s="2" t="str">
        <f t="shared" si="46"/>
        <v>01</v>
      </c>
      <c r="G445" s="2" t="str">
        <f t="shared" si="47"/>
        <v>0</v>
      </c>
      <c r="H445" s="2" t="str">
        <f t="shared" si="48"/>
        <v>0</v>
      </c>
      <c r="I445" s="2">
        <v>13430100</v>
      </c>
      <c r="J445" s="3" t="s">
        <v>553</v>
      </c>
      <c r="K445" s="3" t="s">
        <v>554</v>
      </c>
      <c r="L445" s="3"/>
    </row>
    <row r="446" spans="2:12" ht="45" x14ac:dyDescent="0.25">
      <c r="B446" s="7" t="str">
        <f t="shared" si="42"/>
        <v>1</v>
      </c>
      <c r="C446" s="7" t="str">
        <f t="shared" si="43"/>
        <v>3</v>
      </c>
      <c r="D446" s="7" t="str">
        <f t="shared" si="44"/>
        <v>4</v>
      </c>
      <c r="E446" s="7" t="str">
        <f t="shared" si="45"/>
        <v>3</v>
      </c>
      <c r="F446" s="7" t="str">
        <f t="shared" si="46"/>
        <v>01</v>
      </c>
      <c r="G446" s="7" t="str">
        <f t="shared" si="47"/>
        <v>1</v>
      </c>
      <c r="H446" s="7" t="str">
        <f t="shared" si="48"/>
        <v>0</v>
      </c>
      <c r="I446" s="7">
        <v>13430110</v>
      </c>
      <c r="J446" s="8" t="s">
        <v>1125</v>
      </c>
      <c r="K446" s="8" t="s">
        <v>1275</v>
      </c>
      <c r="L446" s="8"/>
    </row>
    <row r="447" spans="2:12" ht="45" x14ac:dyDescent="0.25">
      <c r="B447" s="7" t="str">
        <f t="shared" si="42"/>
        <v>1</v>
      </c>
      <c r="C447" s="7" t="str">
        <f t="shared" si="43"/>
        <v>3</v>
      </c>
      <c r="D447" s="7" t="str">
        <f t="shared" si="44"/>
        <v>4</v>
      </c>
      <c r="E447" s="7" t="str">
        <f t="shared" si="45"/>
        <v>3</v>
      </c>
      <c r="F447" s="7" t="str">
        <f t="shared" si="46"/>
        <v>01</v>
      </c>
      <c r="G447" s="7" t="str">
        <f t="shared" si="47"/>
        <v>2</v>
      </c>
      <c r="H447" s="7" t="str">
        <f t="shared" si="48"/>
        <v>0</v>
      </c>
      <c r="I447" s="7">
        <v>13430120</v>
      </c>
      <c r="J447" s="8" t="s">
        <v>1123</v>
      </c>
      <c r="K447" s="8" t="s">
        <v>1276</v>
      </c>
      <c r="L447" s="8"/>
    </row>
    <row r="448" spans="2:12" ht="75" x14ac:dyDescent="0.25">
      <c r="B448" s="7" t="str">
        <f t="shared" si="42"/>
        <v>1</v>
      </c>
      <c r="C448" s="7" t="str">
        <f t="shared" si="43"/>
        <v>3</v>
      </c>
      <c r="D448" s="7" t="str">
        <f t="shared" si="44"/>
        <v>4</v>
      </c>
      <c r="E448" s="7" t="str">
        <f t="shared" si="45"/>
        <v>3</v>
      </c>
      <c r="F448" s="7" t="str">
        <f t="shared" si="46"/>
        <v>01</v>
      </c>
      <c r="G448" s="7" t="str">
        <f t="shared" si="47"/>
        <v>3</v>
      </c>
      <c r="H448" s="7" t="str">
        <f t="shared" si="48"/>
        <v>0</v>
      </c>
      <c r="I448" s="7">
        <v>13430130</v>
      </c>
      <c r="J448" s="8" t="s">
        <v>1124</v>
      </c>
      <c r="K448" s="8" t="s">
        <v>1277</v>
      </c>
      <c r="L448" s="8"/>
    </row>
    <row r="449" spans="2:12" ht="45" x14ac:dyDescent="0.25">
      <c r="B449" s="2" t="str">
        <f t="shared" si="42"/>
        <v>1</v>
      </c>
      <c r="C449" s="2" t="str">
        <f t="shared" si="43"/>
        <v>3</v>
      </c>
      <c r="D449" s="2" t="str">
        <f t="shared" si="44"/>
        <v>4</v>
      </c>
      <c r="E449" s="2" t="str">
        <f t="shared" si="45"/>
        <v>3</v>
      </c>
      <c r="F449" s="2" t="str">
        <f t="shared" si="46"/>
        <v>02</v>
      </c>
      <c r="G449" s="2" t="str">
        <f t="shared" si="47"/>
        <v>0</v>
      </c>
      <c r="H449" s="2" t="str">
        <f t="shared" si="48"/>
        <v>0</v>
      </c>
      <c r="I449" s="2">
        <v>13430200</v>
      </c>
      <c r="J449" s="3" t="s">
        <v>555</v>
      </c>
      <c r="K449" s="3" t="s">
        <v>556</v>
      </c>
      <c r="L449" s="3"/>
    </row>
    <row r="450" spans="2:12" ht="60" x14ac:dyDescent="0.25">
      <c r="B450" s="7" t="str">
        <f t="shared" si="42"/>
        <v>1</v>
      </c>
      <c r="C450" s="7" t="str">
        <f t="shared" si="43"/>
        <v>3</v>
      </c>
      <c r="D450" s="7" t="str">
        <f t="shared" si="44"/>
        <v>4</v>
      </c>
      <c r="E450" s="7" t="str">
        <f t="shared" si="45"/>
        <v>3</v>
      </c>
      <c r="F450" s="7" t="str">
        <f t="shared" si="46"/>
        <v>02</v>
      </c>
      <c r="G450" s="7" t="str">
        <f t="shared" si="47"/>
        <v>1</v>
      </c>
      <c r="H450" s="7" t="str">
        <f t="shared" si="48"/>
        <v>0</v>
      </c>
      <c r="I450" s="7">
        <v>13430210</v>
      </c>
      <c r="J450" s="8" t="s">
        <v>557</v>
      </c>
      <c r="K450" s="8" t="s">
        <v>558</v>
      </c>
      <c r="L450" s="8"/>
    </row>
    <row r="451" spans="2:12" ht="60" x14ac:dyDescent="0.25">
      <c r="B451" s="7" t="str">
        <f t="shared" ref="B451:B514" si="49">MID($I451,1,1)</f>
        <v>1</v>
      </c>
      <c r="C451" s="7" t="str">
        <f t="shared" ref="C451:C514" si="50">MID($I451,2,1)</f>
        <v>3</v>
      </c>
      <c r="D451" s="7" t="str">
        <f t="shared" ref="D451:D514" si="51">MID($I451,3,1)</f>
        <v>4</v>
      </c>
      <c r="E451" s="7" t="str">
        <f t="shared" ref="E451:E514" si="52">MID($I451,4,1)</f>
        <v>3</v>
      </c>
      <c r="F451" s="7" t="str">
        <f t="shared" ref="F451:F514" si="53">MID($I451,5,2)</f>
        <v>02</v>
      </c>
      <c r="G451" s="7" t="str">
        <f t="shared" ref="G451:G514" si="54">MID($I451,7,1)</f>
        <v>4</v>
      </c>
      <c r="H451" s="7" t="str">
        <f t="shared" ref="H451:H514" si="55">MID($I451,8,1)</f>
        <v>0</v>
      </c>
      <c r="I451" s="7">
        <v>13430240</v>
      </c>
      <c r="J451" s="8" t="s">
        <v>559</v>
      </c>
      <c r="K451" s="8" t="s">
        <v>560</v>
      </c>
      <c r="L451" s="8"/>
    </row>
    <row r="452" spans="2:12" x14ac:dyDescent="0.25">
      <c r="B452" s="17" t="str">
        <f t="shared" si="49"/>
        <v>1</v>
      </c>
      <c r="C452" s="17" t="str">
        <f t="shared" si="50"/>
        <v>3</v>
      </c>
      <c r="D452" s="17" t="str">
        <f t="shared" si="51"/>
        <v>4</v>
      </c>
      <c r="E452" s="17" t="str">
        <f t="shared" si="52"/>
        <v>4</v>
      </c>
      <c r="F452" s="17" t="str">
        <f t="shared" si="53"/>
        <v>00</v>
      </c>
      <c r="G452" s="17" t="str">
        <f t="shared" si="54"/>
        <v>0</v>
      </c>
      <c r="H452" s="17" t="str">
        <f t="shared" si="55"/>
        <v>0</v>
      </c>
      <c r="I452" s="17">
        <v>13440000</v>
      </c>
      <c r="J452" s="16" t="s">
        <v>72</v>
      </c>
      <c r="K452" s="16" t="s">
        <v>561</v>
      </c>
      <c r="L452" s="16"/>
    </row>
    <row r="453" spans="2:12" x14ac:dyDescent="0.25">
      <c r="B453" s="2" t="str">
        <f t="shared" si="49"/>
        <v>1</v>
      </c>
      <c r="C453" s="2" t="str">
        <f t="shared" si="50"/>
        <v>3</v>
      </c>
      <c r="D453" s="2" t="str">
        <f t="shared" si="51"/>
        <v>4</v>
      </c>
      <c r="E453" s="2" t="str">
        <f t="shared" si="52"/>
        <v>4</v>
      </c>
      <c r="F453" s="2" t="str">
        <f t="shared" si="53"/>
        <v>01</v>
      </c>
      <c r="G453" s="2" t="str">
        <f t="shared" si="54"/>
        <v>0</v>
      </c>
      <c r="H453" s="2" t="str">
        <f t="shared" si="55"/>
        <v>0</v>
      </c>
      <c r="I453" s="2">
        <v>13440100</v>
      </c>
      <c r="J453" s="3" t="s">
        <v>562</v>
      </c>
      <c r="K453" s="3" t="s">
        <v>563</v>
      </c>
      <c r="L453" s="3"/>
    </row>
    <row r="454" spans="2:12" x14ac:dyDescent="0.25">
      <c r="B454" s="7" t="str">
        <f t="shared" si="49"/>
        <v>1</v>
      </c>
      <c r="C454" s="7" t="str">
        <f t="shared" si="50"/>
        <v>3</v>
      </c>
      <c r="D454" s="7" t="str">
        <f t="shared" si="51"/>
        <v>4</v>
      </c>
      <c r="E454" s="7" t="str">
        <f t="shared" si="52"/>
        <v>4</v>
      </c>
      <c r="F454" s="7" t="str">
        <f t="shared" si="53"/>
        <v>01</v>
      </c>
      <c r="G454" s="7" t="str">
        <f t="shared" si="54"/>
        <v>1</v>
      </c>
      <c r="H454" s="7" t="str">
        <f t="shared" si="55"/>
        <v>0</v>
      </c>
      <c r="I454" s="7">
        <v>13440110</v>
      </c>
      <c r="J454" s="8" t="s">
        <v>562</v>
      </c>
      <c r="K454" s="8" t="s">
        <v>563</v>
      </c>
      <c r="L454" s="8"/>
    </row>
    <row r="455" spans="2:12" ht="30" x14ac:dyDescent="0.25">
      <c r="B455" s="2" t="str">
        <f t="shared" si="49"/>
        <v>1</v>
      </c>
      <c r="C455" s="2" t="str">
        <f t="shared" si="50"/>
        <v>3</v>
      </c>
      <c r="D455" s="2" t="str">
        <f t="shared" si="51"/>
        <v>4</v>
      </c>
      <c r="E455" s="2" t="str">
        <f t="shared" si="52"/>
        <v>4</v>
      </c>
      <c r="F455" s="2" t="str">
        <f t="shared" si="53"/>
        <v>02</v>
      </c>
      <c r="G455" s="2" t="str">
        <f t="shared" si="54"/>
        <v>0</v>
      </c>
      <c r="H455" s="2" t="str">
        <f t="shared" si="55"/>
        <v>0</v>
      </c>
      <c r="I455" s="2">
        <v>13440200</v>
      </c>
      <c r="J455" s="3" t="s">
        <v>564</v>
      </c>
      <c r="K455" s="3" t="s">
        <v>565</v>
      </c>
      <c r="L455" s="3"/>
    </row>
    <row r="456" spans="2:12" ht="30" x14ac:dyDescent="0.25">
      <c r="B456" s="7" t="str">
        <f t="shared" si="49"/>
        <v>1</v>
      </c>
      <c r="C456" s="7" t="str">
        <f t="shared" si="50"/>
        <v>3</v>
      </c>
      <c r="D456" s="7" t="str">
        <f t="shared" si="51"/>
        <v>4</v>
      </c>
      <c r="E456" s="7" t="str">
        <f t="shared" si="52"/>
        <v>4</v>
      </c>
      <c r="F456" s="7" t="str">
        <f t="shared" si="53"/>
        <v>02</v>
      </c>
      <c r="G456" s="7" t="str">
        <f t="shared" si="54"/>
        <v>1</v>
      </c>
      <c r="H456" s="7" t="str">
        <f t="shared" si="55"/>
        <v>0</v>
      </c>
      <c r="I456" s="7">
        <v>13440210</v>
      </c>
      <c r="J456" s="8" t="s">
        <v>564</v>
      </c>
      <c r="K456" s="8" t="s">
        <v>565</v>
      </c>
      <c r="L456" s="8"/>
    </row>
    <row r="457" spans="2:12" ht="30" x14ac:dyDescent="0.25">
      <c r="B457" s="17" t="str">
        <f t="shared" si="49"/>
        <v>1</v>
      </c>
      <c r="C457" s="17" t="str">
        <f t="shared" si="50"/>
        <v>3</v>
      </c>
      <c r="D457" s="17" t="str">
        <f t="shared" si="51"/>
        <v>4</v>
      </c>
      <c r="E457" s="17" t="str">
        <f t="shared" si="52"/>
        <v>5</v>
      </c>
      <c r="F457" s="17" t="str">
        <f t="shared" si="53"/>
        <v>00</v>
      </c>
      <c r="G457" s="17" t="str">
        <f t="shared" si="54"/>
        <v>0</v>
      </c>
      <c r="H457" s="17" t="str">
        <f t="shared" si="55"/>
        <v>0</v>
      </c>
      <c r="I457" s="17">
        <v>13450000</v>
      </c>
      <c r="J457" s="16" t="s">
        <v>566</v>
      </c>
      <c r="K457" s="16" t="s">
        <v>567</v>
      </c>
      <c r="L457" s="16"/>
    </row>
    <row r="458" spans="2:12" ht="75" x14ac:dyDescent="0.25">
      <c r="B458" s="2" t="str">
        <f t="shared" si="49"/>
        <v>1</v>
      </c>
      <c r="C458" s="2" t="str">
        <f t="shared" si="50"/>
        <v>3</v>
      </c>
      <c r="D458" s="2" t="str">
        <f t="shared" si="51"/>
        <v>4</v>
      </c>
      <c r="E458" s="2" t="str">
        <f t="shared" si="52"/>
        <v>5</v>
      </c>
      <c r="F458" s="2" t="str">
        <f t="shared" si="53"/>
        <v>01</v>
      </c>
      <c r="G458" s="2" t="str">
        <f t="shared" si="54"/>
        <v>0</v>
      </c>
      <c r="H458" s="2" t="str">
        <f t="shared" si="55"/>
        <v>0</v>
      </c>
      <c r="I458" s="2">
        <v>13450100</v>
      </c>
      <c r="J458" s="3" t="s">
        <v>568</v>
      </c>
      <c r="K458" s="3" t="s">
        <v>569</v>
      </c>
      <c r="L458" s="3"/>
    </row>
    <row r="459" spans="2:12" ht="75" x14ac:dyDescent="0.25">
      <c r="B459" s="7" t="str">
        <f t="shared" si="49"/>
        <v>1</v>
      </c>
      <c r="C459" s="7" t="str">
        <f t="shared" si="50"/>
        <v>3</v>
      </c>
      <c r="D459" s="7" t="str">
        <f t="shared" si="51"/>
        <v>4</v>
      </c>
      <c r="E459" s="7" t="str">
        <f t="shared" si="52"/>
        <v>5</v>
      </c>
      <c r="F459" s="7" t="str">
        <f t="shared" si="53"/>
        <v>01</v>
      </c>
      <c r="G459" s="7" t="str">
        <f t="shared" si="54"/>
        <v>1</v>
      </c>
      <c r="H459" s="7" t="str">
        <f t="shared" si="55"/>
        <v>0</v>
      </c>
      <c r="I459" s="7">
        <v>13450110</v>
      </c>
      <c r="J459" s="8" t="s">
        <v>568</v>
      </c>
      <c r="K459" s="8" t="s">
        <v>569</v>
      </c>
      <c r="L459" s="8"/>
    </row>
    <row r="460" spans="2:12" ht="30" x14ac:dyDescent="0.25">
      <c r="B460" s="2" t="str">
        <f t="shared" si="49"/>
        <v>1</v>
      </c>
      <c r="C460" s="2" t="str">
        <f t="shared" si="50"/>
        <v>3</v>
      </c>
      <c r="D460" s="2" t="str">
        <f t="shared" si="51"/>
        <v>4</v>
      </c>
      <c r="E460" s="2" t="str">
        <f t="shared" si="52"/>
        <v>5</v>
      </c>
      <c r="F460" s="2" t="str">
        <f t="shared" si="53"/>
        <v>02</v>
      </c>
      <c r="G460" s="2" t="str">
        <f t="shared" si="54"/>
        <v>0</v>
      </c>
      <c r="H460" s="2" t="str">
        <f t="shared" si="55"/>
        <v>0</v>
      </c>
      <c r="I460" s="2">
        <v>13450200</v>
      </c>
      <c r="J460" s="3" t="s">
        <v>570</v>
      </c>
      <c r="K460" s="3" t="s">
        <v>571</v>
      </c>
      <c r="L460" s="3"/>
    </row>
    <row r="461" spans="2:12" ht="30" x14ac:dyDescent="0.25">
      <c r="B461" s="7" t="str">
        <f t="shared" si="49"/>
        <v>1</v>
      </c>
      <c r="C461" s="7" t="str">
        <f t="shared" si="50"/>
        <v>3</v>
      </c>
      <c r="D461" s="7" t="str">
        <f t="shared" si="51"/>
        <v>4</v>
      </c>
      <c r="E461" s="7" t="str">
        <f t="shared" si="52"/>
        <v>5</v>
      </c>
      <c r="F461" s="7" t="str">
        <f t="shared" si="53"/>
        <v>02</v>
      </c>
      <c r="G461" s="7" t="str">
        <f t="shared" si="54"/>
        <v>1</v>
      </c>
      <c r="H461" s="7" t="str">
        <f t="shared" si="55"/>
        <v>0</v>
      </c>
      <c r="I461" s="7">
        <v>13450210</v>
      </c>
      <c r="J461" s="8" t="s">
        <v>570</v>
      </c>
      <c r="K461" s="8" t="s">
        <v>571</v>
      </c>
      <c r="L461" s="8"/>
    </row>
    <row r="462" spans="2:12" ht="30" x14ac:dyDescent="0.25">
      <c r="B462" s="2" t="str">
        <f t="shared" si="49"/>
        <v>1</v>
      </c>
      <c r="C462" s="2" t="str">
        <f t="shared" si="50"/>
        <v>3</v>
      </c>
      <c r="D462" s="2" t="str">
        <f t="shared" si="51"/>
        <v>4</v>
      </c>
      <c r="E462" s="2" t="str">
        <f t="shared" si="52"/>
        <v>5</v>
      </c>
      <c r="F462" s="2" t="str">
        <f t="shared" si="53"/>
        <v>03</v>
      </c>
      <c r="G462" s="2" t="str">
        <f t="shared" si="54"/>
        <v>0</v>
      </c>
      <c r="H462" s="2" t="str">
        <f t="shared" si="55"/>
        <v>0</v>
      </c>
      <c r="I462" s="2">
        <v>13450300</v>
      </c>
      <c r="J462" s="3" t="s">
        <v>572</v>
      </c>
      <c r="K462" s="3" t="s">
        <v>573</v>
      </c>
      <c r="L462" s="3"/>
    </row>
    <row r="463" spans="2:12" ht="30" x14ac:dyDescent="0.25">
      <c r="B463" s="7" t="str">
        <f t="shared" si="49"/>
        <v>1</v>
      </c>
      <c r="C463" s="7" t="str">
        <f t="shared" si="50"/>
        <v>3</v>
      </c>
      <c r="D463" s="7" t="str">
        <f t="shared" si="51"/>
        <v>4</v>
      </c>
      <c r="E463" s="7" t="str">
        <f t="shared" si="52"/>
        <v>5</v>
      </c>
      <c r="F463" s="7" t="str">
        <f t="shared" si="53"/>
        <v>03</v>
      </c>
      <c r="G463" s="7" t="str">
        <f t="shared" si="54"/>
        <v>1</v>
      </c>
      <c r="H463" s="7" t="str">
        <f t="shared" si="55"/>
        <v>0</v>
      </c>
      <c r="I463" s="7">
        <v>13450310</v>
      </c>
      <c r="J463" s="8" t="s">
        <v>574</v>
      </c>
      <c r="K463" s="8" t="s">
        <v>575</v>
      </c>
      <c r="L463" s="8"/>
    </row>
    <row r="464" spans="2:12" ht="30" x14ac:dyDescent="0.25">
      <c r="B464" s="7" t="str">
        <f t="shared" si="49"/>
        <v>1</v>
      </c>
      <c r="C464" s="7" t="str">
        <f t="shared" si="50"/>
        <v>3</v>
      </c>
      <c r="D464" s="7" t="str">
        <f t="shared" si="51"/>
        <v>4</v>
      </c>
      <c r="E464" s="7" t="str">
        <f t="shared" si="52"/>
        <v>5</v>
      </c>
      <c r="F464" s="7" t="str">
        <f t="shared" si="53"/>
        <v>03</v>
      </c>
      <c r="G464" s="7" t="str">
        <f t="shared" si="54"/>
        <v>2</v>
      </c>
      <c r="H464" s="7" t="str">
        <f t="shared" si="55"/>
        <v>0</v>
      </c>
      <c r="I464" s="7">
        <v>13450320</v>
      </c>
      <c r="J464" s="8" t="s">
        <v>576</v>
      </c>
      <c r="K464" s="8" t="s">
        <v>577</v>
      </c>
      <c r="L464" s="8"/>
    </row>
    <row r="465" spans="2:12" ht="60" x14ac:dyDescent="0.25">
      <c r="B465" s="7" t="str">
        <f t="shared" si="49"/>
        <v>1</v>
      </c>
      <c r="C465" s="7" t="str">
        <f t="shared" si="50"/>
        <v>3</v>
      </c>
      <c r="D465" s="7" t="str">
        <f t="shared" si="51"/>
        <v>4</v>
      </c>
      <c r="E465" s="7" t="str">
        <f t="shared" si="52"/>
        <v>5</v>
      </c>
      <c r="F465" s="7" t="str">
        <f t="shared" si="53"/>
        <v>03</v>
      </c>
      <c r="G465" s="7" t="str">
        <f t="shared" si="54"/>
        <v>3</v>
      </c>
      <c r="H465" s="7" t="str">
        <f t="shared" si="55"/>
        <v>0</v>
      </c>
      <c r="I465" s="7">
        <v>13450330</v>
      </c>
      <c r="J465" s="8" t="s">
        <v>1047</v>
      </c>
      <c r="K465" s="8" t="s">
        <v>1048</v>
      </c>
      <c r="L465" s="8"/>
    </row>
    <row r="466" spans="2:12" x14ac:dyDescent="0.25">
      <c r="B466" s="17" t="str">
        <f t="shared" si="49"/>
        <v>1</v>
      </c>
      <c r="C466" s="17" t="str">
        <f t="shared" si="50"/>
        <v>3</v>
      </c>
      <c r="D466" s="17" t="str">
        <f t="shared" si="51"/>
        <v>4</v>
      </c>
      <c r="E466" s="17" t="str">
        <f t="shared" si="52"/>
        <v>6</v>
      </c>
      <c r="F466" s="17" t="str">
        <f t="shared" si="53"/>
        <v>00</v>
      </c>
      <c r="G466" s="17" t="str">
        <f t="shared" si="54"/>
        <v>0</v>
      </c>
      <c r="H466" s="17" t="str">
        <f t="shared" si="55"/>
        <v>0</v>
      </c>
      <c r="I466" s="17">
        <v>13460000</v>
      </c>
      <c r="J466" s="16" t="s">
        <v>578</v>
      </c>
      <c r="K466" s="16" t="s">
        <v>579</v>
      </c>
      <c r="L466" s="16"/>
    </row>
    <row r="467" spans="2:12" ht="45" x14ac:dyDescent="0.25">
      <c r="B467" s="2" t="str">
        <f t="shared" si="49"/>
        <v>1</v>
      </c>
      <c r="C467" s="2" t="str">
        <f t="shared" si="50"/>
        <v>3</v>
      </c>
      <c r="D467" s="2" t="str">
        <f t="shared" si="51"/>
        <v>4</v>
      </c>
      <c r="E467" s="2" t="str">
        <f t="shared" si="52"/>
        <v>6</v>
      </c>
      <c r="F467" s="2" t="str">
        <f t="shared" si="53"/>
        <v>01</v>
      </c>
      <c r="G467" s="2" t="str">
        <f t="shared" si="54"/>
        <v>0</v>
      </c>
      <c r="H467" s="2" t="str">
        <f t="shared" si="55"/>
        <v>0</v>
      </c>
      <c r="I467" s="2">
        <v>13460100</v>
      </c>
      <c r="J467" s="3" t="s">
        <v>580</v>
      </c>
      <c r="K467" s="3" t="s">
        <v>581</v>
      </c>
      <c r="L467" s="3"/>
    </row>
    <row r="468" spans="2:12" ht="90" x14ac:dyDescent="0.25">
      <c r="B468" s="7" t="str">
        <f t="shared" si="49"/>
        <v>1</v>
      </c>
      <c r="C468" s="7" t="str">
        <f t="shared" si="50"/>
        <v>3</v>
      </c>
      <c r="D468" s="7" t="str">
        <f t="shared" si="51"/>
        <v>4</v>
      </c>
      <c r="E468" s="7" t="str">
        <f t="shared" si="52"/>
        <v>6</v>
      </c>
      <c r="F468" s="7" t="str">
        <f t="shared" si="53"/>
        <v>01</v>
      </c>
      <c r="G468" s="7" t="str">
        <f t="shared" si="54"/>
        <v>1</v>
      </c>
      <c r="H468" s="7" t="str">
        <f t="shared" si="55"/>
        <v>0</v>
      </c>
      <c r="I468" s="7">
        <v>13460110</v>
      </c>
      <c r="J468" s="8" t="s">
        <v>582</v>
      </c>
      <c r="K468" s="8" t="s">
        <v>583</v>
      </c>
      <c r="L468" s="8"/>
    </row>
    <row r="469" spans="2:12" ht="90" x14ac:dyDescent="0.25">
      <c r="B469" s="7" t="str">
        <f t="shared" si="49"/>
        <v>1</v>
      </c>
      <c r="C469" s="7" t="str">
        <f t="shared" si="50"/>
        <v>3</v>
      </c>
      <c r="D469" s="7" t="str">
        <f t="shared" si="51"/>
        <v>4</v>
      </c>
      <c r="E469" s="7" t="str">
        <f t="shared" si="52"/>
        <v>6</v>
      </c>
      <c r="F469" s="7" t="str">
        <f t="shared" si="53"/>
        <v>01</v>
      </c>
      <c r="G469" s="7" t="str">
        <f t="shared" si="54"/>
        <v>2</v>
      </c>
      <c r="H469" s="7" t="str">
        <f t="shared" si="55"/>
        <v>0</v>
      </c>
      <c r="I469" s="7">
        <v>13460120</v>
      </c>
      <c r="J469" s="8" t="s">
        <v>584</v>
      </c>
      <c r="K469" s="8" t="s">
        <v>585</v>
      </c>
      <c r="L469" s="8"/>
    </row>
    <row r="470" spans="2:12" ht="45" x14ac:dyDescent="0.25">
      <c r="B470" s="2" t="str">
        <f t="shared" si="49"/>
        <v>1</v>
      </c>
      <c r="C470" s="2" t="str">
        <f t="shared" si="50"/>
        <v>3</v>
      </c>
      <c r="D470" s="2" t="str">
        <f t="shared" si="51"/>
        <v>4</v>
      </c>
      <c r="E470" s="2" t="str">
        <f t="shared" si="52"/>
        <v>6</v>
      </c>
      <c r="F470" s="2" t="str">
        <f t="shared" si="53"/>
        <v>02</v>
      </c>
      <c r="G470" s="2" t="str">
        <f t="shared" si="54"/>
        <v>0</v>
      </c>
      <c r="H470" s="2" t="str">
        <f t="shared" si="55"/>
        <v>0</v>
      </c>
      <c r="I470" s="2">
        <v>13460200</v>
      </c>
      <c r="J470" s="3" t="s">
        <v>586</v>
      </c>
      <c r="K470" s="3" t="s">
        <v>587</v>
      </c>
      <c r="L470" s="3"/>
    </row>
    <row r="471" spans="2:12" ht="105" x14ac:dyDescent="0.25">
      <c r="B471" s="7" t="str">
        <f t="shared" si="49"/>
        <v>1</v>
      </c>
      <c r="C471" s="7" t="str">
        <f t="shared" si="50"/>
        <v>3</v>
      </c>
      <c r="D471" s="7" t="str">
        <f t="shared" si="51"/>
        <v>4</v>
      </c>
      <c r="E471" s="7" t="str">
        <f t="shared" si="52"/>
        <v>6</v>
      </c>
      <c r="F471" s="7" t="str">
        <f t="shared" si="53"/>
        <v>02</v>
      </c>
      <c r="G471" s="7" t="str">
        <f t="shared" si="54"/>
        <v>1</v>
      </c>
      <c r="H471" s="7" t="str">
        <f t="shared" si="55"/>
        <v>0</v>
      </c>
      <c r="I471" s="7">
        <v>13460210</v>
      </c>
      <c r="J471" s="8" t="s">
        <v>588</v>
      </c>
      <c r="K471" s="8" t="s">
        <v>589</v>
      </c>
      <c r="L471" s="8"/>
    </row>
    <row r="472" spans="2:12" ht="105" x14ac:dyDescent="0.25">
      <c r="B472" s="7" t="str">
        <f t="shared" si="49"/>
        <v>1</v>
      </c>
      <c r="C472" s="7" t="str">
        <f t="shared" si="50"/>
        <v>3</v>
      </c>
      <c r="D472" s="7" t="str">
        <f t="shared" si="51"/>
        <v>4</v>
      </c>
      <c r="E472" s="7" t="str">
        <f t="shared" si="52"/>
        <v>6</v>
      </c>
      <c r="F472" s="7" t="str">
        <f t="shared" si="53"/>
        <v>02</v>
      </c>
      <c r="G472" s="7" t="str">
        <f t="shared" si="54"/>
        <v>2</v>
      </c>
      <c r="H472" s="7" t="str">
        <f t="shared" si="55"/>
        <v>0</v>
      </c>
      <c r="I472" s="7">
        <v>13460220</v>
      </c>
      <c r="J472" s="8" t="s">
        <v>590</v>
      </c>
      <c r="K472" s="8" t="s">
        <v>591</v>
      </c>
      <c r="L472" s="8"/>
    </row>
    <row r="473" spans="2:12" ht="30" x14ac:dyDescent="0.25">
      <c r="B473" s="2" t="str">
        <f t="shared" si="49"/>
        <v>1</v>
      </c>
      <c r="C473" s="2" t="str">
        <f t="shared" si="50"/>
        <v>3</v>
      </c>
      <c r="D473" s="2" t="str">
        <f t="shared" si="51"/>
        <v>4</v>
      </c>
      <c r="E473" s="2" t="str">
        <f t="shared" si="52"/>
        <v>6</v>
      </c>
      <c r="F473" s="2" t="str">
        <f t="shared" si="53"/>
        <v>99</v>
      </c>
      <c r="G473" s="2" t="str">
        <f t="shared" si="54"/>
        <v>0</v>
      </c>
      <c r="H473" s="2" t="str">
        <f t="shared" si="55"/>
        <v>0</v>
      </c>
      <c r="I473" s="2">
        <v>13469900</v>
      </c>
      <c r="J473" s="3" t="s">
        <v>592</v>
      </c>
      <c r="K473" s="3" t="s">
        <v>593</v>
      </c>
      <c r="L473" s="3"/>
    </row>
    <row r="474" spans="2:12" ht="30" x14ac:dyDescent="0.25">
      <c r="B474" s="7" t="str">
        <f t="shared" si="49"/>
        <v>1</v>
      </c>
      <c r="C474" s="7" t="str">
        <f t="shared" si="50"/>
        <v>3</v>
      </c>
      <c r="D474" s="7" t="str">
        <f t="shared" si="51"/>
        <v>4</v>
      </c>
      <c r="E474" s="7" t="str">
        <f t="shared" si="52"/>
        <v>6</v>
      </c>
      <c r="F474" s="7" t="str">
        <f t="shared" si="53"/>
        <v>99</v>
      </c>
      <c r="G474" s="7" t="str">
        <f t="shared" si="54"/>
        <v>1</v>
      </c>
      <c r="H474" s="7" t="str">
        <f t="shared" si="55"/>
        <v>0</v>
      </c>
      <c r="I474" s="7">
        <v>13469910</v>
      </c>
      <c r="J474" s="8" t="s">
        <v>594</v>
      </c>
      <c r="K474" s="8" t="s">
        <v>595</v>
      </c>
      <c r="L474" s="8"/>
    </row>
    <row r="475" spans="2:12" ht="45" x14ac:dyDescent="0.25">
      <c r="B475" s="7" t="str">
        <f t="shared" si="49"/>
        <v>1</v>
      </c>
      <c r="C475" s="7" t="str">
        <f t="shared" si="50"/>
        <v>3</v>
      </c>
      <c r="D475" s="7" t="str">
        <f t="shared" si="51"/>
        <v>4</v>
      </c>
      <c r="E475" s="7" t="str">
        <f t="shared" si="52"/>
        <v>6</v>
      </c>
      <c r="F475" s="7" t="str">
        <f t="shared" si="53"/>
        <v>99</v>
      </c>
      <c r="G475" s="7" t="str">
        <f t="shared" si="54"/>
        <v>2</v>
      </c>
      <c r="H475" s="7" t="str">
        <f t="shared" si="55"/>
        <v>0</v>
      </c>
      <c r="I475" s="7">
        <v>13469920</v>
      </c>
      <c r="J475" s="8" t="s">
        <v>596</v>
      </c>
      <c r="K475" s="8" t="s">
        <v>597</v>
      </c>
      <c r="L475" s="8"/>
    </row>
    <row r="476" spans="2:12" ht="60" x14ac:dyDescent="0.25">
      <c r="B476" s="7" t="str">
        <f t="shared" si="49"/>
        <v>1</v>
      </c>
      <c r="C476" s="7" t="str">
        <f t="shared" si="50"/>
        <v>3</v>
      </c>
      <c r="D476" s="7" t="str">
        <f t="shared" si="51"/>
        <v>4</v>
      </c>
      <c r="E476" s="7" t="str">
        <f t="shared" si="52"/>
        <v>6</v>
      </c>
      <c r="F476" s="7" t="str">
        <f t="shared" si="53"/>
        <v>99</v>
      </c>
      <c r="G476" s="7" t="str">
        <f t="shared" si="54"/>
        <v>3</v>
      </c>
      <c r="H476" s="7" t="str">
        <f t="shared" si="55"/>
        <v>0</v>
      </c>
      <c r="I476" s="7">
        <v>13469930</v>
      </c>
      <c r="J476" s="8" t="s">
        <v>598</v>
      </c>
      <c r="K476" s="8" t="s">
        <v>599</v>
      </c>
      <c r="L476" s="8"/>
    </row>
    <row r="477" spans="2:12" ht="30" x14ac:dyDescent="0.25">
      <c r="B477" s="17" t="str">
        <f t="shared" si="49"/>
        <v>1</v>
      </c>
      <c r="C477" s="17" t="str">
        <f t="shared" si="50"/>
        <v>3</v>
      </c>
      <c r="D477" s="17" t="str">
        <f t="shared" si="51"/>
        <v>4</v>
      </c>
      <c r="E477" s="17" t="str">
        <f t="shared" si="52"/>
        <v>9</v>
      </c>
      <c r="F477" s="17" t="str">
        <f t="shared" si="53"/>
        <v>00</v>
      </c>
      <c r="G477" s="17" t="str">
        <f t="shared" si="54"/>
        <v>0</v>
      </c>
      <c r="H477" s="17" t="str">
        <f t="shared" si="55"/>
        <v>0</v>
      </c>
      <c r="I477" s="17">
        <v>13490000</v>
      </c>
      <c r="J477" s="16" t="s">
        <v>600</v>
      </c>
      <c r="K477" s="16" t="s">
        <v>601</v>
      </c>
      <c r="L477" s="16"/>
    </row>
    <row r="478" spans="2:12" x14ac:dyDescent="0.25">
      <c r="B478" s="2" t="str">
        <f t="shared" si="49"/>
        <v>1</v>
      </c>
      <c r="C478" s="2" t="str">
        <f t="shared" si="50"/>
        <v>3</v>
      </c>
      <c r="D478" s="2" t="str">
        <f t="shared" si="51"/>
        <v>4</v>
      </c>
      <c r="E478" s="2" t="str">
        <f t="shared" si="52"/>
        <v>9</v>
      </c>
      <c r="F478" s="2" t="str">
        <f t="shared" si="53"/>
        <v>01</v>
      </c>
      <c r="G478" s="2" t="str">
        <f t="shared" si="54"/>
        <v>0</v>
      </c>
      <c r="H478" s="2" t="str">
        <f t="shared" si="55"/>
        <v>0</v>
      </c>
      <c r="I478" s="2">
        <v>13490100</v>
      </c>
      <c r="J478" s="3" t="s">
        <v>602</v>
      </c>
      <c r="K478" s="3" t="s">
        <v>603</v>
      </c>
      <c r="L478" s="3"/>
    </row>
    <row r="479" spans="2:12" x14ac:dyDescent="0.25">
      <c r="B479" s="7" t="str">
        <f t="shared" si="49"/>
        <v>1</v>
      </c>
      <c r="C479" s="7" t="str">
        <f t="shared" si="50"/>
        <v>3</v>
      </c>
      <c r="D479" s="7" t="str">
        <f t="shared" si="51"/>
        <v>4</v>
      </c>
      <c r="E479" s="7" t="str">
        <f t="shared" si="52"/>
        <v>9</v>
      </c>
      <c r="F479" s="7" t="str">
        <f t="shared" si="53"/>
        <v>01</v>
      </c>
      <c r="G479" s="7" t="str">
        <f t="shared" si="54"/>
        <v>1</v>
      </c>
      <c r="H479" s="7" t="str">
        <f t="shared" si="55"/>
        <v>0</v>
      </c>
      <c r="I479" s="7">
        <v>13490110</v>
      </c>
      <c r="J479" s="8" t="s">
        <v>602</v>
      </c>
      <c r="K479" s="8" t="s">
        <v>603</v>
      </c>
      <c r="L479" s="8"/>
    </row>
    <row r="480" spans="2:12" ht="30" x14ac:dyDescent="0.25">
      <c r="B480" s="2" t="str">
        <f t="shared" si="49"/>
        <v>1</v>
      </c>
      <c r="C480" s="2" t="str">
        <f t="shared" si="50"/>
        <v>3</v>
      </c>
      <c r="D480" s="2" t="str">
        <f t="shared" si="51"/>
        <v>4</v>
      </c>
      <c r="E480" s="2" t="str">
        <f t="shared" si="52"/>
        <v>9</v>
      </c>
      <c r="F480" s="2" t="str">
        <f t="shared" si="53"/>
        <v>99</v>
      </c>
      <c r="G480" s="2" t="str">
        <f t="shared" si="54"/>
        <v>0</v>
      </c>
      <c r="H480" s="2" t="str">
        <f t="shared" si="55"/>
        <v>0</v>
      </c>
      <c r="I480" s="2">
        <v>13499900</v>
      </c>
      <c r="J480" s="3" t="s">
        <v>604</v>
      </c>
      <c r="K480" s="3" t="s">
        <v>605</v>
      </c>
      <c r="L480" s="3"/>
    </row>
    <row r="481" spans="2:12" ht="30" x14ac:dyDescent="0.25">
      <c r="B481" s="7" t="str">
        <f t="shared" si="49"/>
        <v>1</v>
      </c>
      <c r="C481" s="7" t="str">
        <f t="shared" si="50"/>
        <v>3</v>
      </c>
      <c r="D481" s="7" t="str">
        <f t="shared" si="51"/>
        <v>4</v>
      </c>
      <c r="E481" s="7" t="str">
        <f t="shared" si="52"/>
        <v>9</v>
      </c>
      <c r="F481" s="7" t="str">
        <f t="shared" si="53"/>
        <v>99</v>
      </c>
      <c r="G481" s="7" t="str">
        <f t="shared" si="54"/>
        <v>1</v>
      </c>
      <c r="H481" s="7" t="str">
        <f t="shared" si="55"/>
        <v>0</v>
      </c>
      <c r="I481" s="7">
        <v>13499910</v>
      </c>
      <c r="J481" s="8" t="s">
        <v>604</v>
      </c>
      <c r="K481" s="8" t="s">
        <v>605</v>
      </c>
      <c r="L481" s="8"/>
    </row>
    <row r="482" spans="2:12" x14ac:dyDescent="0.25">
      <c r="B482" s="44" t="str">
        <f t="shared" si="49"/>
        <v>1</v>
      </c>
      <c r="C482" s="44" t="str">
        <f t="shared" si="50"/>
        <v>3</v>
      </c>
      <c r="D482" s="44" t="str">
        <f t="shared" si="51"/>
        <v>5</v>
      </c>
      <c r="E482" s="44" t="str">
        <f t="shared" si="52"/>
        <v>0</v>
      </c>
      <c r="F482" s="44" t="str">
        <f t="shared" si="53"/>
        <v>00</v>
      </c>
      <c r="G482" s="44" t="str">
        <f t="shared" si="54"/>
        <v>0</v>
      </c>
      <c r="H482" s="44" t="str">
        <f t="shared" si="55"/>
        <v>0</v>
      </c>
      <c r="I482" s="44">
        <v>13500000</v>
      </c>
      <c r="J482" s="45" t="s">
        <v>606</v>
      </c>
      <c r="K482" s="45" t="s">
        <v>607</v>
      </c>
      <c r="L482" s="45"/>
    </row>
    <row r="483" spans="2:12" ht="45" x14ac:dyDescent="0.25">
      <c r="B483" s="2" t="str">
        <f t="shared" si="49"/>
        <v>1</v>
      </c>
      <c r="C483" s="2" t="str">
        <f t="shared" si="50"/>
        <v>3</v>
      </c>
      <c r="D483" s="2" t="str">
        <f t="shared" si="51"/>
        <v>5</v>
      </c>
      <c r="E483" s="2" t="str">
        <f t="shared" si="52"/>
        <v>0</v>
      </c>
      <c r="F483" s="2" t="str">
        <f t="shared" si="53"/>
        <v>01</v>
      </c>
      <c r="G483" s="2" t="str">
        <f t="shared" si="54"/>
        <v>0</v>
      </c>
      <c r="H483" s="2" t="str">
        <f t="shared" si="55"/>
        <v>0</v>
      </c>
      <c r="I483" s="2">
        <v>13500100</v>
      </c>
      <c r="J483" s="3" t="s">
        <v>608</v>
      </c>
      <c r="K483" s="3" t="s">
        <v>609</v>
      </c>
      <c r="L483" s="3"/>
    </row>
    <row r="484" spans="2:12" ht="45" x14ac:dyDescent="0.25">
      <c r="B484" s="7" t="str">
        <f t="shared" si="49"/>
        <v>1</v>
      </c>
      <c r="C484" s="7" t="str">
        <f t="shared" si="50"/>
        <v>3</v>
      </c>
      <c r="D484" s="7" t="str">
        <f t="shared" si="51"/>
        <v>5</v>
      </c>
      <c r="E484" s="7" t="str">
        <f t="shared" si="52"/>
        <v>0</v>
      </c>
      <c r="F484" s="7" t="str">
        <f t="shared" si="53"/>
        <v>01</v>
      </c>
      <c r="G484" s="7" t="str">
        <f t="shared" si="54"/>
        <v>1</v>
      </c>
      <c r="H484" s="7" t="str">
        <f t="shared" si="55"/>
        <v>0</v>
      </c>
      <c r="I484" s="7">
        <v>13500110</v>
      </c>
      <c r="J484" s="8" t="s">
        <v>608</v>
      </c>
      <c r="K484" s="8" t="s">
        <v>609</v>
      </c>
      <c r="L484" s="8"/>
    </row>
    <row r="485" spans="2:12" ht="45" x14ac:dyDescent="0.25">
      <c r="B485" s="2" t="str">
        <f t="shared" si="49"/>
        <v>1</v>
      </c>
      <c r="C485" s="2" t="str">
        <f t="shared" si="50"/>
        <v>3</v>
      </c>
      <c r="D485" s="2" t="str">
        <f t="shared" si="51"/>
        <v>5</v>
      </c>
      <c r="E485" s="2" t="str">
        <f t="shared" si="52"/>
        <v>0</v>
      </c>
      <c r="F485" s="2" t="str">
        <f t="shared" si="53"/>
        <v>02</v>
      </c>
      <c r="G485" s="2" t="str">
        <f t="shared" si="54"/>
        <v>0</v>
      </c>
      <c r="H485" s="2" t="str">
        <f t="shared" si="55"/>
        <v>0</v>
      </c>
      <c r="I485" s="2">
        <v>13500200</v>
      </c>
      <c r="J485" s="3" t="s">
        <v>610</v>
      </c>
      <c r="K485" s="3" t="s">
        <v>611</v>
      </c>
      <c r="L485" s="3"/>
    </row>
    <row r="486" spans="2:12" ht="45" x14ac:dyDescent="0.25">
      <c r="B486" s="7" t="str">
        <f t="shared" si="49"/>
        <v>1</v>
      </c>
      <c r="C486" s="7" t="str">
        <f t="shared" si="50"/>
        <v>3</v>
      </c>
      <c r="D486" s="7" t="str">
        <f t="shared" si="51"/>
        <v>5</v>
      </c>
      <c r="E486" s="7" t="str">
        <f t="shared" si="52"/>
        <v>0</v>
      </c>
      <c r="F486" s="7" t="str">
        <f t="shared" si="53"/>
        <v>02</v>
      </c>
      <c r="G486" s="7" t="str">
        <f t="shared" si="54"/>
        <v>1</v>
      </c>
      <c r="H486" s="7" t="str">
        <f t="shared" si="55"/>
        <v>0</v>
      </c>
      <c r="I486" s="7">
        <v>13500210</v>
      </c>
      <c r="J486" s="8" t="s">
        <v>610</v>
      </c>
      <c r="K486" s="8" t="s">
        <v>611</v>
      </c>
      <c r="L486" s="8"/>
    </row>
    <row r="487" spans="2:12" ht="30" x14ac:dyDescent="0.25">
      <c r="B487" s="2" t="str">
        <f t="shared" si="49"/>
        <v>1</v>
      </c>
      <c r="C487" s="2" t="str">
        <f t="shared" si="50"/>
        <v>3</v>
      </c>
      <c r="D487" s="2" t="str">
        <f t="shared" si="51"/>
        <v>5</v>
      </c>
      <c r="E487" s="2" t="str">
        <f t="shared" si="52"/>
        <v>0</v>
      </c>
      <c r="F487" s="2" t="str">
        <f t="shared" si="53"/>
        <v>03</v>
      </c>
      <c r="G487" s="2" t="str">
        <f t="shared" si="54"/>
        <v>0</v>
      </c>
      <c r="H487" s="2" t="str">
        <f t="shared" si="55"/>
        <v>0</v>
      </c>
      <c r="I487" s="2">
        <v>13500300</v>
      </c>
      <c r="J487" s="3" t="s">
        <v>612</v>
      </c>
      <c r="K487" s="3" t="s">
        <v>613</v>
      </c>
      <c r="L487" s="3"/>
    </row>
    <row r="488" spans="2:12" ht="30" x14ac:dyDescent="0.25">
      <c r="B488" s="7" t="str">
        <f t="shared" si="49"/>
        <v>1</v>
      </c>
      <c r="C488" s="7" t="str">
        <f t="shared" si="50"/>
        <v>3</v>
      </c>
      <c r="D488" s="7" t="str">
        <f t="shared" si="51"/>
        <v>5</v>
      </c>
      <c r="E488" s="7" t="str">
        <f t="shared" si="52"/>
        <v>0</v>
      </c>
      <c r="F488" s="7" t="str">
        <f t="shared" si="53"/>
        <v>03</v>
      </c>
      <c r="G488" s="7" t="str">
        <f t="shared" si="54"/>
        <v>1</v>
      </c>
      <c r="H488" s="7" t="str">
        <f t="shared" si="55"/>
        <v>0</v>
      </c>
      <c r="I488" s="7">
        <v>13500310</v>
      </c>
      <c r="J488" s="8" t="s">
        <v>612</v>
      </c>
      <c r="K488" s="8" t="s">
        <v>613</v>
      </c>
      <c r="L488" s="8"/>
    </row>
    <row r="489" spans="2:12" ht="60" x14ac:dyDescent="0.25">
      <c r="B489" s="2" t="str">
        <f t="shared" si="49"/>
        <v>1</v>
      </c>
      <c r="C489" s="2" t="str">
        <f t="shared" si="50"/>
        <v>3</v>
      </c>
      <c r="D489" s="2" t="str">
        <f t="shared" si="51"/>
        <v>5</v>
      </c>
      <c r="E489" s="2" t="str">
        <f t="shared" si="52"/>
        <v>0</v>
      </c>
      <c r="F489" s="2" t="str">
        <f t="shared" si="53"/>
        <v>04</v>
      </c>
      <c r="G489" s="2" t="str">
        <f t="shared" si="54"/>
        <v>0</v>
      </c>
      <c r="H489" s="2" t="str">
        <f t="shared" si="55"/>
        <v>0</v>
      </c>
      <c r="I489" s="2">
        <v>13500400</v>
      </c>
      <c r="J489" s="3" t="s">
        <v>1293</v>
      </c>
      <c r="K489" s="3" t="s">
        <v>1294</v>
      </c>
      <c r="L489" s="3"/>
    </row>
    <row r="490" spans="2:12" ht="60" x14ac:dyDescent="0.25">
      <c r="B490" s="7" t="str">
        <f t="shared" si="49"/>
        <v>1</v>
      </c>
      <c r="C490" s="7" t="str">
        <f t="shared" si="50"/>
        <v>3</v>
      </c>
      <c r="D490" s="7" t="str">
        <f t="shared" si="51"/>
        <v>5</v>
      </c>
      <c r="E490" s="7" t="str">
        <f t="shared" si="52"/>
        <v>0</v>
      </c>
      <c r="F490" s="7" t="str">
        <f t="shared" si="53"/>
        <v>04</v>
      </c>
      <c r="G490" s="7" t="str">
        <f t="shared" si="54"/>
        <v>1</v>
      </c>
      <c r="H490" s="7" t="str">
        <f t="shared" si="55"/>
        <v>0</v>
      </c>
      <c r="I490" s="7">
        <v>13500410</v>
      </c>
      <c r="J490" s="8" t="s">
        <v>1293</v>
      </c>
      <c r="K490" s="8" t="s">
        <v>1294</v>
      </c>
      <c r="L490" s="8"/>
    </row>
    <row r="491" spans="2:12" x14ac:dyDescent="0.25">
      <c r="B491" s="44" t="str">
        <f t="shared" si="49"/>
        <v>1</v>
      </c>
      <c r="C491" s="44" t="str">
        <f t="shared" si="50"/>
        <v>3</v>
      </c>
      <c r="D491" s="44" t="str">
        <f t="shared" si="51"/>
        <v>6</v>
      </c>
      <c r="E491" s="44" t="str">
        <f t="shared" si="52"/>
        <v>0</v>
      </c>
      <c r="F491" s="44" t="str">
        <f t="shared" si="53"/>
        <v>00</v>
      </c>
      <c r="G491" s="44" t="str">
        <f t="shared" si="54"/>
        <v>0</v>
      </c>
      <c r="H491" s="44" t="str">
        <f t="shared" si="55"/>
        <v>0</v>
      </c>
      <c r="I491" s="44">
        <v>13600000</v>
      </c>
      <c r="J491" s="45" t="s">
        <v>614</v>
      </c>
      <c r="K491" s="45" t="s">
        <v>615</v>
      </c>
      <c r="L491" s="45"/>
    </row>
    <row r="492" spans="2:12" ht="90" x14ac:dyDescent="0.25">
      <c r="B492" s="2" t="str">
        <f t="shared" si="49"/>
        <v>1</v>
      </c>
      <c r="C492" s="2" t="str">
        <f t="shared" si="50"/>
        <v>3</v>
      </c>
      <c r="D492" s="2" t="str">
        <f t="shared" si="51"/>
        <v>6</v>
      </c>
      <c r="E492" s="2" t="str">
        <f t="shared" si="52"/>
        <v>0</v>
      </c>
      <c r="F492" s="2" t="str">
        <f t="shared" si="53"/>
        <v>01</v>
      </c>
      <c r="G492" s="2" t="str">
        <f t="shared" si="54"/>
        <v>0</v>
      </c>
      <c r="H492" s="2" t="str">
        <f t="shared" si="55"/>
        <v>0</v>
      </c>
      <c r="I492" s="2">
        <v>13600100</v>
      </c>
      <c r="J492" s="3" t="s">
        <v>616</v>
      </c>
      <c r="K492" s="3" t="s">
        <v>617</v>
      </c>
      <c r="L492" s="3"/>
    </row>
    <row r="493" spans="2:12" ht="90" x14ac:dyDescent="0.25">
      <c r="B493" s="7" t="str">
        <f t="shared" si="49"/>
        <v>1</v>
      </c>
      <c r="C493" s="7" t="str">
        <f t="shared" si="50"/>
        <v>3</v>
      </c>
      <c r="D493" s="7" t="str">
        <f t="shared" si="51"/>
        <v>6</v>
      </c>
      <c r="E493" s="7" t="str">
        <f t="shared" si="52"/>
        <v>0</v>
      </c>
      <c r="F493" s="7" t="str">
        <f t="shared" si="53"/>
        <v>01</v>
      </c>
      <c r="G493" s="7" t="str">
        <f t="shared" si="54"/>
        <v>1</v>
      </c>
      <c r="H493" s="7" t="str">
        <f t="shared" si="55"/>
        <v>0</v>
      </c>
      <c r="I493" s="7">
        <v>13600110</v>
      </c>
      <c r="J493" s="8" t="s">
        <v>616</v>
      </c>
      <c r="K493" s="8" t="s">
        <v>617</v>
      </c>
      <c r="L493" s="8"/>
    </row>
    <row r="494" spans="2:12" ht="30" x14ac:dyDescent="0.25">
      <c r="B494" s="44" t="str">
        <f t="shared" si="49"/>
        <v>1</v>
      </c>
      <c r="C494" s="44" t="str">
        <f t="shared" si="50"/>
        <v>3</v>
      </c>
      <c r="D494" s="44" t="str">
        <f t="shared" si="51"/>
        <v>9</v>
      </c>
      <c r="E494" s="44" t="str">
        <f t="shared" si="52"/>
        <v>0</v>
      </c>
      <c r="F494" s="44" t="str">
        <f t="shared" si="53"/>
        <v>00</v>
      </c>
      <c r="G494" s="44" t="str">
        <f t="shared" si="54"/>
        <v>0</v>
      </c>
      <c r="H494" s="44" t="str">
        <f t="shared" si="55"/>
        <v>0</v>
      </c>
      <c r="I494" s="44">
        <v>13900000</v>
      </c>
      <c r="J494" s="45" t="s">
        <v>618</v>
      </c>
      <c r="K494" s="45" t="s">
        <v>619</v>
      </c>
      <c r="L494" s="45"/>
    </row>
    <row r="495" spans="2:12" ht="30" x14ac:dyDescent="0.25">
      <c r="B495" s="7" t="str">
        <f t="shared" si="49"/>
        <v>1</v>
      </c>
      <c r="C495" s="7" t="str">
        <f t="shared" si="50"/>
        <v>3</v>
      </c>
      <c r="D495" s="7" t="str">
        <f t="shared" si="51"/>
        <v>9</v>
      </c>
      <c r="E495" s="7" t="str">
        <f t="shared" si="52"/>
        <v>0</v>
      </c>
      <c r="F495" s="7" t="str">
        <f t="shared" si="53"/>
        <v>00</v>
      </c>
      <c r="G495" s="7" t="str">
        <f t="shared" si="54"/>
        <v>1</v>
      </c>
      <c r="H495" s="7" t="str">
        <f t="shared" si="55"/>
        <v>0</v>
      </c>
      <c r="I495" s="7">
        <v>13900010</v>
      </c>
      <c r="J495" s="8" t="s">
        <v>618</v>
      </c>
      <c r="K495" s="8" t="s">
        <v>619</v>
      </c>
      <c r="L495" s="8"/>
    </row>
    <row r="496" spans="2:12" ht="30" x14ac:dyDescent="0.25">
      <c r="B496" s="44" t="str">
        <f t="shared" si="49"/>
        <v>1</v>
      </c>
      <c r="C496" s="44" t="str">
        <f t="shared" si="50"/>
        <v>4</v>
      </c>
      <c r="D496" s="44" t="str">
        <f t="shared" si="51"/>
        <v>0</v>
      </c>
      <c r="E496" s="44" t="str">
        <f t="shared" si="52"/>
        <v>0</v>
      </c>
      <c r="F496" s="44" t="str">
        <f t="shared" si="53"/>
        <v>00</v>
      </c>
      <c r="G496" s="44" t="str">
        <f t="shared" si="54"/>
        <v>0</v>
      </c>
      <c r="H496" s="44" t="str">
        <f t="shared" si="55"/>
        <v>0</v>
      </c>
      <c r="I496" s="44">
        <v>14000000</v>
      </c>
      <c r="J496" s="45" t="s">
        <v>81</v>
      </c>
      <c r="K496" s="45" t="s">
        <v>620</v>
      </c>
      <c r="L496" s="45"/>
    </row>
    <row r="497" spans="2:12" ht="75" x14ac:dyDescent="0.25">
      <c r="B497" s="7" t="str">
        <f t="shared" si="49"/>
        <v>1</v>
      </c>
      <c r="C497" s="7" t="str">
        <f t="shared" si="50"/>
        <v>4</v>
      </c>
      <c r="D497" s="7" t="str">
        <f t="shared" si="51"/>
        <v>0</v>
      </c>
      <c r="E497" s="7" t="str">
        <f t="shared" si="52"/>
        <v>0</v>
      </c>
      <c r="F497" s="7" t="str">
        <f t="shared" si="53"/>
        <v>00</v>
      </c>
      <c r="G497" s="7" t="str">
        <f t="shared" si="54"/>
        <v>1</v>
      </c>
      <c r="H497" s="7" t="str">
        <f t="shared" si="55"/>
        <v>0</v>
      </c>
      <c r="I497" s="7">
        <v>14000010</v>
      </c>
      <c r="J497" s="8" t="s">
        <v>81</v>
      </c>
      <c r="K497" s="8" t="s">
        <v>621</v>
      </c>
      <c r="L497" s="8"/>
    </row>
    <row r="498" spans="2:12" x14ac:dyDescent="0.25">
      <c r="B498" s="44" t="str">
        <f t="shared" si="49"/>
        <v>1</v>
      </c>
      <c r="C498" s="44" t="str">
        <f t="shared" si="50"/>
        <v>5</v>
      </c>
      <c r="D498" s="44" t="str">
        <f t="shared" si="51"/>
        <v>0</v>
      </c>
      <c r="E498" s="44" t="str">
        <f t="shared" si="52"/>
        <v>0</v>
      </c>
      <c r="F498" s="44" t="str">
        <f t="shared" si="53"/>
        <v>00</v>
      </c>
      <c r="G498" s="44" t="str">
        <f t="shared" si="54"/>
        <v>0</v>
      </c>
      <c r="H498" s="44" t="str">
        <f t="shared" si="55"/>
        <v>0</v>
      </c>
      <c r="I498" s="44">
        <v>15000000</v>
      </c>
      <c r="J498" s="45" t="s">
        <v>82</v>
      </c>
      <c r="K498" s="45" t="s">
        <v>622</v>
      </c>
      <c r="L498" s="45"/>
    </row>
    <row r="499" spans="2:12" ht="45" x14ac:dyDescent="0.25">
      <c r="B499" s="7" t="str">
        <f t="shared" si="49"/>
        <v>1</v>
      </c>
      <c r="C499" s="7" t="str">
        <f t="shared" si="50"/>
        <v>5</v>
      </c>
      <c r="D499" s="7" t="str">
        <f t="shared" si="51"/>
        <v>0</v>
      </c>
      <c r="E499" s="7" t="str">
        <f t="shared" si="52"/>
        <v>0</v>
      </c>
      <c r="F499" s="7" t="str">
        <f t="shared" si="53"/>
        <v>00</v>
      </c>
      <c r="G499" s="7" t="str">
        <f t="shared" si="54"/>
        <v>1</v>
      </c>
      <c r="H499" s="7" t="str">
        <f t="shared" si="55"/>
        <v>0</v>
      </c>
      <c r="I499" s="7">
        <v>15000010</v>
      </c>
      <c r="J499" s="8" t="s">
        <v>82</v>
      </c>
      <c r="K499" s="8" t="s">
        <v>623</v>
      </c>
      <c r="L499" s="8"/>
    </row>
    <row r="500" spans="2:12" ht="30" x14ac:dyDescent="0.25">
      <c r="B500" s="44" t="str">
        <f t="shared" si="49"/>
        <v>1</v>
      </c>
      <c r="C500" s="44" t="str">
        <f t="shared" si="50"/>
        <v>6</v>
      </c>
      <c r="D500" s="44" t="str">
        <f t="shared" si="51"/>
        <v>0</v>
      </c>
      <c r="E500" s="44" t="str">
        <f t="shared" si="52"/>
        <v>0</v>
      </c>
      <c r="F500" s="44" t="str">
        <f t="shared" si="53"/>
        <v>00</v>
      </c>
      <c r="G500" s="44" t="str">
        <f t="shared" si="54"/>
        <v>0</v>
      </c>
      <c r="H500" s="44" t="str">
        <f t="shared" si="55"/>
        <v>0</v>
      </c>
      <c r="I500" s="44">
        <v>16000000</v>
      </c>
      <c r="J500" s="45" t="s">
        <v>83</v>
      </c>
      <c r="K500" s="45" t="s">
        <v>624</v>
      </c>
      <c r="L500" s="45"/>
    </row>
    <row r="501" spans="2:12" ht="75" x14ac:dyDescent="0.25">
      <c r="B501" s="27" t="str">
        <f t="shared" si="49"/>
        <v>1</v>
      </c>
      <c r="C501" s="27" t="str">
        <f t="shared" si="50"/>
        <v>6</v>
      </c>
      <c r="D501" s="27" t="str">
        <f t="shared" si="51"/>
        <v>1</v>
      </c>
      <c r="E501" s="27" t="str">
        <f t="shared" si="52"/>
        <v>0</v>
      </c>
      <c r="F501" s="27" t="str">
        <f t="shared" si="53"/>
        <v>00</v>
      </c>
      <c r="G501" s="27" t="str">
        <f t="shared" si="54"/>
        <v>0</v>
      </c>
      <c r="H501" s="27" t="str">
        <f t="shared" si="55"/>
        <v>0</v>
      </c>
      <c r="I501" s="27">
        <v>16100000</v>
      </c>
      <c r="J501" s="26" t="s">
        <v>625</v>
      </c>
      <c r="K501" s="26" t="s">
        <v>626</v>
      </c>
      <c r="L501" s="26"/>
    </row>
    <row r="502" spans="2:12" ht="30" x14ac:dyDescent="0.25">
      <c r="B502" s="2" t="str">
        <f t="shared" si="49"/>
        <v>1</v>
      </c>
      <c r="C502" s="2" t="str">
        <f t="shared" si="50"/>
        <v>6</v>
      </c>
      <c r="D502" s="2" t="str">
        <f t="shared" si="51"/>
        <v>1</v>
      </c>
      <c r="E502" s="2" t="str">
        <f t="shared" si="52"/>
        <v>0</v>
      </c>
      <c r="F502" s="2" t="str">
        <f t="shared" si="53"/>
        <v>01</v>
      </c>
      <c r="G502" s="2" t="str">
        <f t="shared" si="54"/>
        <v>0</v>
      </c>
      <c r="H502" s="2" t="str">
        <f t="shared" si="55"/>
        <v>0</v>
      </c>
      <c r="I502" s="2">
        <v>16100100</v>
      </c>
      <c r="J502" s="3" t="s">
        <v>625</v>
      </c>
      <c r="K502" s="3" t="s">
        <v>627</v>
      </c>
      <c r="L502" s="3"/>
    </row>
    <row r="503" spans="2:12" ht="30" x14ac:dyDescent="0.25">
      <c r="B503" s="7" t="str">
        <f t="shared" si="49"/>
        <v>1</v>
      </c>
      <c r="C503" s="7" t="str">
        <f t="shared" si="50"/>
        <v>6</v>
      </c>
      <c r="D503" s="7" t="str">
        <f t="shared" si="51"/>
        <v>1</v>
      </c>
      <c r="E503" s="7" t="str">
        <f t="shared" si="52"/>
        <v>0</v>
      </c>
      <c r="F503" s="7" t="str">
        <f t="shared" si="53"/>
        <v>01</v>
      </c>
      <c r="G503" s="7" t="str">
        <f t="shared" si="54"/>
        <v>1</v>
      </c>
      <c r="H503" s="7" t="str">
        <f t="shared" si="55"/>
        <v>0</v>
      </c>
      <c r="I503" s="7">
        <v>16100110</v>
      </c>
      <c r="J503" s="8" t="s">
        <v>625</v>
      </c>
      <c r="K503" s="8" t="s">
        <v>627</v>
      </c>
      <c r="L503" s="8"/>
    </row>
    <row r="504" spans="2:12" ht="30" x14ac:dyDescent="0.25">
      <c r="B504" s="2" t="str">
        <f t="shared" si="49"/>
        <v>1</v>
      </c>
      <c r="C504" s="2" t="str">
        <f t="shared" si="50"/>
        <v>6</v>
      </c>
      <c r="D504" s="2" t="str">
        <f t="shared" si="51"/>
        <v>1</v>
      </c>
      <c r="E504" s="2" t="str">
        <f t="shared" si="52"/>
        <v>0</v>
      </c>
      <c r="F504" s="2" t="str">
        <f t="shared" si="53"/>
        <v>02</v>
      </c>
      <c r="G504" s="2" t="str">
        <f t="shared" si="54"/>
        <v>0</v>
      </c>
      <c r="H504" s="2" t="str">
        <f t="shared" si="55"/>
        <v>0</v>
      </c>
      <c r="I504" s="2">
        <v>16100200</v>
      </c>
      <c r="J504" s="3" t="s">
        <v>883</v>
      </c>
      <c r="K504" s="3" t="s">
        <v>884</v>
      </c>
      <c r="L504" s="3"/>
    </row>
    <row r="505" spans="2:12" ht="30" x14ac:dyDescent="0.25">
      <c r="B505" s="7" t="str">
        <f t="shared" si="49"/>
        <v>1</v>
      </c>
      <c r="C505" s="7" t="str">
        <f t="shared" si="50"/>
        <v>6</v>
      </c>
      <c r="D505" s="7" t="str">
        <f t="shared" si="51"/>
        <v>1</v>
      </c>
      <c r="E505" s="7" t="str">
        <f t="shared" si="52"/>
        <v>0</v>
      </c>
      <c r="F505" s="7" t="str">
        <f t="shared" si="53"/>
        <v>02</v>
      </c>
      <c r="G505" s="7" t="str">
        <f t="shared" si="54"/>
        <v>1</v>
      </c>
      <c r="H505" s="7" t="str">
        <f t="shared" si="55"/>
        <v>0</v>
      </c>
      <c r="I505" s="7">
        <v>16100210</v>
      </c>
      <c r="J505" s="8" t="s">
        <v>883</v>
      </c>
      <c r="K505" s="8" t="s">
        <v>884</v>
      </c>
      <c r="L505" s="8"/>
    </row>
    <row r="506" spans="2:12" ht="30" x14ac:dyDescent="0.25">
      <c r="B506" s="2" t="str">
        <f t="shared" si="49"/>
        <v>1</v>
      </c>
      <c r="C506" s="2" t="str">
        <f t="shared" si="50"/>
        <v>6</v>
      </c>
      <c r="D506" s="2" t="str">
        <f t="shared" si="51"/>
        <v>1</v>
      </c>
      <c r="E506" s="2" t="str">
        <f t="shared" si="52"/>
        <v>0</v>
      </c>
      <c r="F506" s="2" t="str">
        <f t="shared" si="53"/>
        <v>03</v>
      </c>
      <c r="G506" s="2" t="str">
        <f t="shared" si="54"/>
        <v>0</v>
      </c>
      <c r="H506" s="2" t="str">
        <f t="shared" si="55"/>
        <v>0</v>
      </c>
      <c r="I506" s="2">
        <v>16100300</v>
      </c>
      <c r="J506" s="3" t="s">
        <v>628</v>
      </c>
      <c r="K506" s="3" t="s">
        <v>629</v>
      </c>
      <c r="L506" s="3"/>
    </row>
    <row r="507" spans="2:12" ht="118.5" customHeight="1" x14ac:dyDescent="0.25">
      <c r="B507" s="7" t="str">
        <f t="shared" si="49"/>
        <v>1</v>
      </c>
      <c r="C507" s="7" t="str">
        <f t="shared" si="50"/>
        <v>6</v>
      </c>
      <c r="D507" s="7" t="str">
        <f t="shared" si="51"/>
        <v>1</v>
      </c>
      <c r="E507" s="7" t="str">
        <f t="shared" si="52"/>
        <v>0</v>
      </c>
      <c r="F507" s="7" t="str">
        <f t="shared" si="53"/>
        <v>03</v>
      </c>
      <c r="G507" s="7" t="str">
        <f t="shared" si="54"/>
        <v>1</v>
      </c>
      <c r="H507" s="7" t="str">
        <f t="shared" si="55"/>
        <v>0</v>
      </c>
      <c r="I507" s="7">
        <v>16100310</v>
      </c>
      <c r="J507" s="8" t="s">
        <v>628</v>
      </c>
      <c r="K507" s="8" t="s">
        <v>630</v>
      </c>
      <c r="L507" s="8"/>
    </row>
    <row r="508" spans="2:12" ht="45" x14ac:dyDescent="0.25">
      <c r="B508" s="2" t="str">
        <f t="shared" si="49"/>
        <v>1</v>
      </c>
      <c r="C508" s="2" t="str">
        <f t="shared" si="50"/>
        <v>6</v>
      </c>
      <c r="D508" s="2" t="str">
        <f t="shared" si="51"/>
        <v>1</v>
      </c>
      <c r="E508" s="2" t="str">
        <f t="shared" si="52"/>
        <v>0</v>
      </c>
      <c r="F508" s="2" t="str">
        <f t="shared" si="53"/>
        <v>04</v>
      </c>
      <c r="G508" s="2" t="str">
        <f t="shared" si="54"/>
        <v>0</v>
      </c>
      <c r="H508" s="2" t="str">
        <f t="shared" si="55"/>
        <v>0</v>
      </c>
      <c r="I508" s="2">
        <v>16100400</v>
      </c>
      <c r="J508" s="3" t="s">
        <v>631</v>
      </c>
      <c r="K508" s="3" t="s">
        <v>632</v>
      </c>
      <c r="L508" s="3"/>
    </row>
    <row r="509" spans="2:12" ht="75" x14ac:dyDescent="0.25">
      <c r="B509" s="7" t="str">
        <f t="shared" si="49"/>
        <v>1</v>
      </c>
      <c r="C509" s="7" t="str">
        <f t="shared" si="50"/>
        <v>6</v>
      </c>
      <c r="D509" s="7" t="str">
        <f t="shared" si="51"/>
        <v>1</v>
      </c>
      <c r="E509" s="7" t="str">
        <f t="shared" si="52"/>
        <v>0</v>
      </c>
      <c r="F509" s="7" t="str">
        <f t="shared" si="53"/>
        <v>04</v>
      </c>
      <c r="G509" s="7" t="str">
        <f t="shared" si="54"/>
        <v>1</v>
      </c>
      <c r="H509" s="7" t="str">
        <f t="shared" si="55"/>
        <v>0</v>
      </c>
      <c r="I509" s="7">
        <v>16100410</v>
      </c>
      <c r="J509" s="8" t="s">
        <v>631</v>
      </c>
      <c r="K509" s="8" t="s">
        <v>633</v>
      </c>
      <c r="L509" s="8"/>
    </row>
    <row r="510" spans="2:12" ht="45" x14ac:dyDescent="0.25">
      <c r="B510" s="35" t="str">
        <f t="shared" si="49"/>
        <v>1</v>
      </c>
      <c r="C510" s="35" t="str">
        <f t="shared" si="50"/>
        <v>6</v>
      </c>
      <c r="D510" s="35" t="str">
        <f t="shared" si="51"/>
        <v>1</v>
      </c>
      <c r="E510" s="35" t="str">
        <f t="shared" si="52"/>
        <v>0</v>
      </c>
      <c r="F510" s="35" t="str">
        <f t="shared" si="53"/>
        <v>05</v>
      </c>
      <c r="G510" s="35" t="str">
        <f t="shared" si="54"/>
        <v>0</v>
      </c>
      <c r="H510" s="35" t="str">
        <f t="shared" si="55"/>
        <v>0</v>
      </c>
      <c r="I510" s="35">
        <v>16100500</v>
      </c>
      <c r="J510" s="36" t="s">
        <v>1390</v>
      </c>
      <c r="K510" s="36" t="s">
        <v>1482</v>
      </c>
      <c r="L510" s="36" t="s">
        <v>1462</v>
      </c>
    </row>
    <row r="511" spans="2:12" ht="45" x14ac:dyDescent="0.25">
      <c r="B511" s="37" t="str">
        <f t="shared" si="49"/>
        <v>1</v>
      </c>
      <c r="C511" s="37" t="str">
        <f t="shared" si="50"/>
        <v>6</v>
      </c>
      <c r="D511" s="37" t="str">
        <f t="shared" si="51"/>
        <v>1</v>
      </c>
      <c r="E511" s="37" t="str">
        <f t="shared" si="52"/>
        <v>0</v>
      </c>
      <c r="F511" s="37" t="str">
        <f t="shared" si="53"/>
        <v>05</v>
      </c>
      <c r="G511" s="37" t="str">
        <f t="shared" si="54"/>
        <v>1</v>
      </c>
      <c r="H511" s="37" t="str">
        <f t="shared" si="55"/>
        <v>0</v>
      </c>
      <c r="I511" s="37">
        <v>16100510</v>
      </c>
      <c r="J511" s="38" t="s">
        <v>1390</v>
      </c>
      <c r="K511" s="38" t="s">
        <v>1482</v>
      </c>
      <c r="L511" s="38" t="s">
        <v>1462</v>
      </c>
    </row>
    <row r="512" spans="2:12" ht="30" x14ac:dyDescent="0.25">
      <c r="B512" s="27" t="str">
        <f t="shared" si="49"/>
        <v>1</v>
      </c>
      <c r="C512" s="27" t="str">
        <f t="shared" si="50"/>
        <v>6</v>
      </c>
      <c r="D512" s="27" t="str">
        <f t="shared" si="51"/>
        <v>2</v>
      </c>
      <c r="E512" s="27" t="str">
        <f t="shared" si="52"/>
        <v>0</v>
      </c>
      <c r="F512" s="27" t="str">
        <f t="shared" si="53"/>
        <v>00</v>
      </c>
      <c r="G512" s="27" t="str">
        <f t="shared" si="54"/>
        <v>0</v>
      </c>
      <c r="H512" s="27" t="str">
        <f t="shared" si="55"/>
        <v>0</v>
      </c>
      <c r="I512" s="27">
        <v>16200000</v>
      </c>
      <c r="J512" s="26" t="s">
        <v>634</v>
      </c>
      <c r="K512" s="26"/>
      <c r="L512" s="26"/>
    </row>
    <row r="513" spans="2:12" ht="45" x14ac:dyDescent="0.25">
      <c r="B513" s="2" t="str">
        <f t="shared" si="49"/>
        <v>1</v>
      </c>
      <c r="C513" s="2" t="str">
        <f t="shared" si="50"/>
        <v>6</v>
      </c>
      <c r="D513" s="2" t="str">
        <f t="shared" si="51"/>
        <v>2</v>
      </c>
      <c r="E513" s="2" t="str">
        <f t="shared" si="52"/>
        <v>0</v>
      </c>
      <c r="F513" s="2" t="str">
        <f t="shared" si="53"/>
        <v>01</v>
      </c>
      <c r="G513" s="2" t="str">
        <f t="shared" si="54"/>
        <v>0</v>
      </c>
      <c r="H513" s="2" t="str">
        <f t="shared" si="55"/>
        <v>0</v>
      </c>
      <c r="I513" s="2">
        <v>16200100</v>
      </c>
      <c r="J513" s="3" t="s">
        <v>635</v>
      </c>
      <c r="K513" s="3" t="s">
        <v>636</v>
      </c>
      <c r="L513" s="3"/>
    </row>
    <row r="514" spans="2:12" ht="45" x14ac:dyDescent="0.25">
      <c r="B514" s="7" t="str">
        <f t="shared" si="49"/>
        <v>1</v>
      </c>
      <c r="C514" s="7" t="str">
        <f t="shared" si="50"/>
        <v>6</v>
      </c>
      <c r="D514" s="7" t="str">
        <f t="shared" si="51"/>
        <v>2</v>
      </c>
      <c r="E514" s="7" t="str">
        <f t="shared" si="52"/>
        <v>0</v>
      </c>
      <c r="F514" s="7" t="str">
        <f t="shared" si="53"/>
        <v>01</v>
      </c>
      <c r="G514" s="7" t="str">
        <f t="shared" si="54"/>
        <v>1</v>
      </c>
      <c r="H514" s="7" t="str">
        <f t="shared" si="55"/>
        <v>0</v>
      </c>
      <c r="I514" s="7">
        <v>16200110</v>
      </c>
      <c r="J514" s="8" t="s">
        <v>635</v>
      </c>
      <c r="K514" s="8" t="s">
        <v>637</v>
      </c>
      <c r="L514" s="8"/>
    </row>
    <row r="515" spans="2:12" ht="45" x14ac:dyDescent="0.25">
      <c r="B515" s="2" t="str">
        <f t="shared" ref="B515:B578" si="56">MID($I515,1,1)</f>
        <v>1</v>
      </c>
      <c r="C515" s="2" t="str">
        <f t="shared" ref="C515:C578" si="57">MID($I515,2,1)</f>
        <v>6</v>
      </c>
      <c r="D515" s="2" t="str">
        <f t="shared" ref="D515:D578" si="58">MID($I515,3,1)</f>
        <v>2</v>
      </c>
      <c r="E515" s="2" t="str">
        <f t="shared" ref="E515:E578" si="59">MID($I515,4,1)</f>
        <v>0</v>
      </c>
      <c r="F515" s="2" t="str">
        <f t="shared" ref="F515:F578" si="60">MID($I515,5,2)</f>
        <v>02</v>
      </c>
      <c r="G515" s="2" t="str">
        <f t="shared" ref="G515:G578" si="61">MID($I515,7,1)</f>
        <v>0</v>
      </c>
      <c r="H515" s="2" t="str">
        <f t="shared" ref="H515:H578" si="62">MID($I515,8,1)</f>
        <v>0</v>
      </c>
      <c r="I515" s="2">
        <v>16200200</v>
      </c>
      <c r="J515" s="3" t="s">
        <v>84</v>
      </c>
      <c r="K515" s="3" t="s">
        <v>638</v>
      </c>
      <c r="L515" s="3"/>
    </row>
    <row r="516" spans="2:12" ht="45" x14ac:dyDescent="0.25">
      <c r="B516" s="7" t="str">
        <f t="shared" si="56"/>
        <v>1</v>
      </c>
      <c r="C516" s="7" t="str">
        <f t="shared" si="57"/>
        <v>6</v>
      </c>
      <c r="D516" s="7" t="str">
        <f t="shared" si="58"/>
        <v>2</v>
      </c>
      <c r="E516" s="7" t="str">
        <f t="shared" si="59"/>
        <v>0</v>
      </c>
      <c r="F516" s="7" t="str">
        <f t="shared" si="60"/>
        <v>02</v>
      </c>
      <c r="G516" s="7" t="str">
        <f t="shared" si="61"/>
        <v>1</v>
      </c>
      <c r="H516" s="7" t="str">
        <f t="shared" si="62"/>
        <v>0</v>
      </c>
      <c r="I516" s="7">
        <v>16200210</v>
      </c>
      <c r="J516" s="8" t="s">
        <v>84</v>
      </c>
      <c r="K516" s="8" t="s">
        <v>639</v>
      </c>
      <c r="L516" s="8"/>
    </row>
    <row r="517" spans="2:12" ht="30" x14ac:dyDescent="0.25">
      <c r="B517" s="2" t="str">
        <f t="shared" si="56"/>
        <v>1</v>
      </c>
      <c r="C517" s="2" t="str">
        <f t="shared" si="57"/>
        <v>6</v>
      </c>
      <c r="D517" s="2" t="str">
        <f t="shared" si="58"/>
        <v>2</v>
      </c>
      <c r="E517" s="2" t="str">
        <f t="shared" si="59"/>
        <v>0</v>
      </c>
      <c r="F517" s="2" t="str">
        <f t="shared" si="60"/>
        <v>03</v>
      </c>
      <c r="G517" s="2" t="str">
        <f t="shared" si="61"/>
        <v>0</v>
      </c>
      <c r="H517" s="2" t="str">
        <f t="shared" si="62"/>
        <v>0</v>
      </c>
      <c r="I517" s="2">
        <v>16200300</v>
      </c>
      <c r="J517" s="3" t="s">
        <v>90</v>
      </c>
      <c r="K517" s="3" t="s">
        <v>640</v>
      </c>
      <c r="L517" s="3"/>
    </row>
    <row r="518" spans="2:12" ht="30" x14ac:dyDescent="0.25">
      <c r="B518" s="7" t="str">
        <f t="shared" si="56"/>
        <v>1</v>
      </c>
      <c r="C518" s="7" t="str">
        <f t="shared" si="57"/>
        <v>6</v>
      </c>
      <c r="D518" s="7" t="str">
        <f t="shared" si="58"/>
        <v>2</v>
      </c>
      <c r="E518" s="7" t="str">
        <f t="shared" si="59"/>
        <v>0</v>
      </c>
      <c r="F518" s="7" t="str">
        <f t="shared" si="60"/>
        <v>03</v>
      </c>
      <c r="G518" s="7" t="str">
        <f t="shared" si="61"/>
        <v>1</v>
      </c>
      <c r="H518" s="7" t="str">
        <f t="shared" si="62"/>
        <v>0</v>
      </c>
      <c r="I518" s="7">
        <v>16200310</v>
      </c>
      <c r="J518" s="8" t="s">
        <v>90</v>
      </c>
      <c r="K518" s="8" t="s">
        <v>641</v>
      </c>
      <c r="L518" s="8"/>
    </row>
    <row r="519" spans="2:12" ht="75" x14ac:dyDescent="0.25">
      <c r="B519" s="2" t="str">
        <f t="shared" si="56"/>
        <v>1</v>
      </c>
      <c r="C519" s="2" t="str">
        <f t="shared" si="57"/>
        <v>6</v>
      </c>
      <c r="D519" s="2" t="str">
        <f t="shared" si="58"/>
        <v>2</v>
      </c>
      <c r="E519" s="2" t="str">
        <f t="shared" si="59"/>
        <v>0</v>
      </c>
      <c r="F519" s="2" t="str">
        <f t="shared" si="60"/>
        <v>04</v>
      </c>
      <c r="G519" s="2" t="str">
        <f t="shared" si="61"/>
        <v>0</v>
      </c>
      <c r="H519" s="2" t="str">
        <f t="shared" si="62"/>
        <v>0</v>
      </c>
      <c r="I519" s="2">
        <v>16200400</v>
      </c>
      <c r="J519" s="3" t="s">
        <v>642</v>
      </c>
      <c r="K519" s="3" t="s">
        <v>643</v>
      </c>
      <c r="L519" s="3"/>
    </row>
    <row r="520" spans="2:12" ht="75" x14ac:dyDescent="0.25">
      <c r="B520" s="7" t="str">
        <f t="shared" si="56"/>
        <v>1</v>
      </c>
      <c r="C520" s="7" t="str">
        <f t="shared" si="57"/>
        <v>6</v>
      </c>
      <c r="D520" s="7" t="str">
        <f t="shared" si="58"/>
        <v>2</v>
      </c>
      <c r="E520" s="7" t="str">
        <f t="shared" si="59"/>
        <v>0</v>
      </c>
      <c r="F520" s="7" t="str">
        <f t="shared" si="60"/>
        <v>04</v>
      </c>
      <c r="G520" s="7" t="str">
        <f t="shared" si="61"/>
        <v>1</v>
      </c>
      <c r="H520" s="7" t="str">
        <f t="shared" si="62"/>
        <v>0</v>
      </c>
      <c r="I520" s="7">
        <v>16200410</v>
      </c>
      <c r="J520" s="8" t="s">
        <v>91</v>
      </c>
      <c r="K520" s="8" t="s">
        <v>644</v>
      </c>
      <c r="L520" s="8"/>
    </row>
    <row r="521" spans="2:12" ht="30" x14ac:dyDescent="0.25">
      <c r="B521" s="7" t="str">
        <f t="shared" si="56"/>
        <v>1</v>
      </c>
      <c r="C521" s="7" t="str">
        <f t="shared" si="57"/>
        <v>6</v>
      </c>
      <c r="D521" s="7" t="str">
        <f t="shared" si="58"/>
        <v>2</v>
      </c>
      <c r="E521" s="7" t="str">
        <f t="shared" si="59"/>
        <v>0</v>
      </c>
      <c r="F521" s="7" t="str">
        <f t="shared" si="60"/>
        <v>04</v>
      </c>
      <c r="G521" s="7" t="str">
        <f t="shared" si="61"/>
        <v>2</v>
      </c>
      <c r="H521" s="7" t="str">
        <f t="shared" si="62"/>
        <v>0</v>
      </c>
      <c r="I521" s="7">
        <v>16200420</v>
      </c>
      <c r="J521" s="8" t="s">
        <v>92</v>
      </c>
      <c r="K521" s="8" t="s">
        <v>645</v>
      </c>
      <c r="L521" s="8"/>
    </row>
    <row r="522" spans="2:12" ht="60" x14ac:dyDescent="0.25">
      <c r="B522" s="7" t="str">
        <f t="shared" si="56"/>
        <v>1</v>
      </c>
      <c r="C522" s="7" t="str">
        <f t="shared" si="57"/>
        <v>6</v>
      </c>
      <c r="D522" s="7" t="str">
        <f t="shared" si="58"/>
        <v>2</v>
      </c>
      <c r="E522" s="7" t="str">
        <f t="shared" si="59"/>
        <v>0</v>
      </c>
      <c r="F522" s="7" t="str">
        <f t="shared" si="60"/>
        <v>04</v>
      </c>
      <c r="G522" s="7" t="str">
        <f t="shared" si="61"/>
        <v>3</v>
      </c>
      <c r="H522" s="7" t="str">
        <f t="shared" si="62"/>
        <v>0</v>
      </c>
      <c r="I522" s="7">
        <v>16200430</v>
      </c>
      <c r="J522" s="8" t="s">
        <v>646</v>
      </c>
      <c r="K522" s="8" t="s">
        <v>647</v>
      </c>
      <c r="L522" s="8"/>
    </row>
    <row r="523" spans="2:12" ht="45" x14ac:dyDescent="0.25">
      <c r="B523" s="27" t="str">
        <f t="shared" si="56"/>
        <v>1</v>
      </c>
      <c r="C523" s="27" t="str">
        <f t="shared" si="57"/>
        <v>6</v>
      </c>
      <c r="D523" s="27" t="str">
        <f t="shared" si="58"/>
        <v>3</v>
      </c>
      <c r="E523" s="27" t="str">
        <f t="shared" si="59"/>
        <v>0</v>
      </c>
      <c r="F523" s="27" t="str">
        <f t="shared" si="60"/>
        <v>00</v>
      </c>
      <c r="G523" s="27" t="str">
        <f t="shared" si="61"/>
        <v>0</v>
      </c>
      <c r="H523" s="27" t="str">
        <f t="shared" si="62"/>
        <v>0</v>
      </c>
      <c r="I523" s="27">
        <v>16300000</v>
      </c>
      <c r="J523" s="26" t="s">
        <v>648</v>
      </c>
      <c r="K523" s="26" t="s">
        <v>649</v>
      </c>
      <c r="L523" s="26"/>
    </row>
    <row r="524" spans="2:12" ht="75" x14ac:dyDescent="0.25">
      <c r="B524" s="17" t="str">
        <f t="shared" si="56"/>
        <v>1</v>
      </c>
      <c r="C524" s="17" t="str">
        <f t="shared" si="57"/>
        <v>6</v>
      </c>
      <c r="D524" s="17" t="str">
        <f t="shared" si="58"/>
        <v>3</v>
      </c>
      <c r="E524" s="17" t="str">
        <f t="shared" si="59"/>
        <v>0</v>
      </c>
      <c r="F524" s="17" t="str">
        <f t="shared" si="60"/>
        <v>01</v>
      </c>
      <c r="G524" s="17" t="str">
        <f t="shared" si="61"/>
        <v>0</v>
      </c>
      <c r="H524" s="17" t="str">
        <f t="shared" si="62"/>
        <v>0</v>
      </c>
      <c r="I524" s="17">
        <v>16300100</v>
      </c>
      <c r="J524" s="16" t="s">
        <v>650</v>
      </c>
      <c r="K524" s="16" t="s">
        <v>651</v>
      </c>
      <c r="L524" s="16"/>
    </row>
    <row r="525" spans="2:12" ht="105" x14ac:dyDescent="0.25">
      <c r="B525" s="7" t="str">
        <f t="shared" si="56"/>
        <v>1</v>
      </c>
      <c r="C525" s="7" t="str">
        <f t="shared" si="57"/>
        <v>6</v>
      </c>
      <c r="D525" s="7" t="str">
        <f t="shared" si="58"/>
        <v>3</v>
      </c>
      <c r="E525" s="7" t="str">
        <f t="shared" si="59"/>
        <v>0</v>
      </c>
      <c r="F525" s="7" t="str">
        <f t="shared" si="60"/>
        <v>01</v>
      </c>
      <c r="G525" s="7" t="str">
        <f t="shared" si="61"/>
        <v>1</v>
      </c>
      <c r="H525" s="7" t="str">
        <f t="shared" si="62"/>
        <v>0</v>
      </c>
      <c r="I525" s="7">
        <v>16300110</v>
      </c>
      <c r="J525" s="8" t="s">
        <v>650</v>
      </c>
      <c r="K525" s="8" t="s">
        <v>652</v>
      </c>
      <c r="L525" s="8"/>
    </row>
    <row r="526" spans="2:12" ht="90" x14ac:dyDescent="0.25">
      <c r="B526" s="2" t="str">
        <f t="shared" si="56"/>
        <v>1</v>
      </c>
      <c r="C526" s="2" t="str">
        <f t="shared" si="57"/>
        <v>6</v>
      </c>
      <c r="D526" s="2" t="str">
        <f t="shared" si="58"/>
        <v>3</v>
      </c>
      <c r="E526" s="2" t="str">
        <f t="shared" si="59"/>
        <v>0</v>
      </c>
      <c r="F526" s="2" t="str">
        <f t="shared" si="60"/>
        <v>02</v>
      </c>
      <c r="G526" s="2" t="str">
        <f t="shared" si="61"/>
        <v>0</v>
      </c>
      <c r="H526" s="2" t="str">
        <f t="shared" si="62"/>
        <v>0</v>
      </c>
      <c r="I526" s="2">
        <v>16300200</v>
      </c>
      <c r="J526" s="3" t="s">
        <v>653</v>
      </c>
      <c r="K526" s="3" t="s">
        <v>654</v>
      </c>
      <c r="L526" s="3"/>
    </row>
    <row r="527" spans="2:12" ht="45" x14ac:dyDescent="0.25">
      <c r="B527" s="7" t="str">
        <f t="shared" si="56"/>
        <v>1</v>
      </c>
      <c r="C527" s="7" t="str">
        <f t="shared" si="57"/>
        <v>6</v>
      </c>
      <c r="D527" s="7" t="str">
        <f t="shared" si="58"/>
        <v>3</v>
      </c>
      <c r="E527" s="7" t="str">
        <f t="shared" si="59"/>
        <v>0</v>
      </c>
      <c r="F527" s="7" t="str">
        <f t="shared" si="60"/>
        <v>02</v>
      </c>
      <c r="G527" s="7" t="str">
        <f t="shared" si="61"/>
        <v>1</v>
      </c>
      <c r="H527" s="7" t="str">
        <f t="shared" si="62"/>
        <v>0</v>
      </c>
      <c r="I527" s="7">
        <v>16300210</v>
      </c>
      <c r="J527" s="8" t="s">
        <v>87</v>
      </c>
      <c r="K527" s="8" t="s">
        <v>655</v>
      </c>
      <c r="L527" s="8"/>
    </row>
    <row r="528" spans="2:12" ht="60" x14ac:dyDescent="0.25">
      <c r="B528" s="7" t="str">
        <f t="shared" si="56"/>
        <v>1</v>
      </c>
      <c r="C528" s="7" t="str">
        <f t="shared" si="57"/>
        <v>6</v>
      </c>
      <c r="D528" s="7" t="str">
        <f t="shared" si="58"/>
        <v>3</v>
      </c>
      <c r="E528" s="7" t="str">
        <f t="shared" si="59"/>
        <v>0</v>
      </c>
      <c r="F528" s="7" t="str">
        <f t="shared" si="60"/>
        <v>02</v>
      </c>
      <c r="G528" s="7" t="str">
        <f t="shared" si="61"/>
        <v>2</v>
      </c>
      <c r="H528" s="7" t="str">
        <f t="shared" si="62"/>
        <v>0</v>
      </c>
      <c r="I528" s="7">
        <v>16300220</v>
      </c>
      <c r="J528" s="8" t="s">
        <v>656</v>
      </c>
      <c r="K528" s="8" t="s">
        <v>657</v>
      </c>
      <c r="L528" s="8"/>
    </row>
    <row r="529" spans="2:12" ht="45" x14ac:dyDescent="0.25">
      <c r="B529" s="17" t="str">
        <f t="shared" si="56"/>
        <v>1</v>
      </c>
      <c r="C529" s="17" t="str">
        <f t="shared" si="57"/>
        <v>6</v>
      </c>
      <c r="D529" s="17" t="str">
        <f t="shared" si="58"/>
        <v>3</v>
      </c>
      <c r="E529" s="17" t="str">
        <f t="shared" si="59"/>
        <v>8</v>
      </c>
      <c r="F529" s="17" t="str">
        <f t="shared" si="60"/>
        <v>00</v>
      </c>
      <c r="G529" s="17" t="str">
        <f t="shared" si="61"/>
        <v>0</v>
      </c>
      <c r="H529" s="17" t="str">
        <f t="shared" si="62"/>
        <v>0</v>
      </c>
      <c r="I529" s="17">
        <v>16380000</v>
      </c>
      <c r="J529" s="16" t="s">
        <v>1278</v>
      </c>
      <c r="K529" s="16" t="s">
        <v>1360</v>
      </c>
      <c r="L529" s="16"/>
    </row>
    <row r="530" spans="2:12" ht="75" x14ac:dyDescent="0.25">
      <c r="B530" s="2" t="str">
        <f t="shared" si="56"/>
        <v>1</v>
      </c>
      <c r="C530" s="2" t="str">
        <f t="shared" si="57"/>
        <v>6</v>
      </c>
      <c r="D530" s="2" t="str">
        <f t="shared" si="58"/>
        <v>3</v>
      </c>
      <c r="E530" s="2" t="str">
        <f t="shared" si="59"/>
        <v>8</v>
      </c>
      <c r="F530" s="2" t="str">
        <f t="shared" si="60"/>
        <v>01</v>
      </c>
      <c r="G530" s="2" t="str">
        <f t="shared" si="61"/>
        <v>0</v>
      </c>
      <c r="H530" s="2" t="str">
        <f t="shared" si="62"/>
        <v>0</v>
      </c>
      <c r="I530" s="2">
        <v>16380100</v>
      </c>
      <c r="J530" s="3" t="s">
        <v>1279</v>
      </c>
      <c r="K530" s="3" t="s">
        <v>1281</v>
      </c>
      <c r="L530" s="3"/>
    </row>
    <row r="531" spans="2:12" ht="45" x14ac:dyDescent="0.25">
      <c r="B531" s="7" t="str">
        <f t="shared" si="56"/>
        <v>1</v>
      </c>
      <c r="C531" s="7" t="str">
        <f t="shared" si="57"/>
        <v>6</v>
      </c>
      <c r="D531" s="7" t="str">
        <f t="shared" si="58"/>
        <v>3</v>
      </c>
      <c r="E531" s="7" t="str">
        <f t="shared" si="59"/>
        <v>8</v>
      </c>
      <c r="F531" s="7" t="str">
        <f t="shared" si="60"/>
        <v>01</v>
      </c>
      <c r="G531" s="7" t="str">
        <f t="shared" si="61"/>
        <v>1</v>
      </c>
      <c r="H531" s="7" t="str">
        <f t="shared" si="62"/>
        <v>0</v>
      </c>
      <c r="I531" s="7">
        <v>16380110</v>
      </c>
      <c r="J531" s="8" t="s">
        <v>85</v>
      </c>
      <c r="K531" s="8" t="s">
        <v>1282</v>
      </c>
      <c r="L531" s="8"/>
    </row>
    <row r="532" spans="2:12" ht="30" x14ac:dyDescent="0.25">
      <c r="B532" s="7" t="str">
        <f t="shared" si="56"/>
        <v>1</v>
      </c>
      <c r="C532" s="7" t="str">
        <f t="shared" si="57"/>
        <v>6</v>
      </c>
      <c r="D532" s="7" t="str">
        <f t="shared" si="58"/>
        <v>3</v>
      </c>
      <c r="E532" s="7" t="str">
        <f t="shared" si="59"/>
        <v>8</v>
      </c>
      <c r="F532" s="7" t="str">
        <f t="shared" si="60"/>
        <v>01</v>
      </c>
      <c r="G532" s="7" t="str">
        <f t="shared" si="61"/>
        <v>2</v>
      </c>
      <c r="H532" s="7" t="str">
        <f t="shared" si="62"/>
        <v>0</v>
      </c>
      <c r="I532" s="7">
        <v>16380120</v>
      </c>
      <c r="J532" s="8" t="s">
        <v>1280</v>
      </c>
      <c r="K532" s="8" t="s">
        <v>1283</v>
      </c>
      <c r="L532" s="8"/>
    </row>
    <row r="533" spans="2:12" ht="45" x14ac:dyDescent="0.25">
      <c r="B533" s="7" t="str">
        <f t="shared" si="56"/>
        <v>1</v>
      </c>
      <c r="C533" s="7" t="str">
        <f t="shared" si="57"/>
        <v>6</v>
      </c>
      <c r="D533" s="7" t="str">
        <f t="shared" si="58"/>
        <v>3</v>
      </c>
      <c r="E533" s="7" t="str">
        <f t="shared" si="59"/>
        <v>8</v>
      </c>
      <c r="F533" s="7" t="str">
        <f t="shared" si="60"/>
        <v>01</v>
      </c>
      <c r="G533" s="7" t="str">
        <f t="shared" si="61"/>
        <v>3</v>
      </c>
      <c r="H533" s="7" t="str">
        <f t="shared" si="62"/>
        <v>0</v>
      </c>
      <c r="I533" s="7">
        <v>16380130</v>
      </c>
      <c r="J533" s="8" t="s">
        <v>86</v>
      </c>
      <c r="K533" s="8" t="s">
        <v>1284</v>
      </c>
      <c r="L533" s="8"/>
    </row>
    <row r="534" spans="2:12" ht="45" x14ac:dyDescent="0.25">
      <c r="B534" s="7" t="str">
        <f t="shared" si="56"/>
        <v>1</v>
      </c>
      <c r="C534" s="7" t="str">
        <f t="shared" si="57"/>
        <v>6</v>
      </c>
      <c r="D534" s="7" t="str">
        <f t="shared" si="58"/>
        <v>3</v>
      </c>
      <c r="E534" s="7" t="str">
        <f t="shared" si="59"/>
        <v>8</v>
      </c>
      <c r="F534" s="7" t="str">
        <f t="shared" si="60"/>
        <v>01</v>
      </c>
      <c r="G534" s="7" t="str">
        <f t="shared" si="61"/>
        <v>4</v>
      </c>
      <c r="H534" s="7" t="str">
        <f t="shared" si="62"/>
        <v>0</v>
      </c>
      <c r="I534" s="7">
        <v>16380140</v>
      </c>
      <c r="J534" s="8" t="s">
        <v>88</v>
      </c>
      <c r="K534" s="8" t="s">
        <v>1285</v>
      </c>
      <c r="L534" s="8"/>
    </row>
    <row r="535" spans="2:12" ht="30" x14ac:dyDescent="0.25">
      <c r="B535" s="7" t="str">
        <f t="shared" si="56"/>
        <v>1</v>
      </c>
      <c r="C535" s="7" t="str">
        <f t="shared" si="57"/>
        <v>6</v>
      </c>
      <c r="D535" s="7" t="str">
        <f t="shared" si="58"/>
        <v>3</v>
      </c>
      <c r="E535" s="7" t="str">
        <f t="shared" si="59"/>
        <v>8</v>
      </c>
      <c r="F535" s="7" t="str">
        <f t="shared" si="60"/>
        <v>01</v>
      </c>
      <c r="G535" s="7" t="str">
        <f t="shared" si="61"/>
        <v>9</v>
      </c>
      <c r="H535" s="7" t="str">
        <f t="shared" si="62"/>
        <v>0</v>
      </c>
      <c r="I535" s="7">
        <v>16380190</v>
      </c>
      <c r="J535" s="8" t="s">
        <v>89</v>
      </c>
      <c r="K535" s="8" t="s">
        <v>1286</v>
      </c>
      <c r="L535" s="8"/>
    </row>
    <row r="536" spans="2:12" ht="45" x14ac:dyDescent="0.25">
      <c r="B536" s="27" t="str">
        <f t="shared" si="56"/>
        <v>1</v>
      </c>
      <c r="C536" s="27" t="str">
        <f t="shared" si="57"/>
        <v>6</v>
      </c>
      <c r="D536" s="27" t="str">
        <f t="shared" si="58"/>
        <v>4</v>
      </c>
      <c r="E536" s="27" t="str">
        <f t="shared" si="59"/>
        <v>0</v>
      </c>
      <c r="F536" s="27" t="str">
        <f t="shared" si="60"/>
        <v>00</v>
      </c>
      <c r="G536" s="27" t="str">
        <f t="shared" si="61"/>
        <v>0</v>
      </c>
      <c r="H536" s="27" t="str">
        <f t="shared" si="62"/>
        <v>0</v>
      </c>
      <c r="I536" s="27">
        <v>16400000</v>
      </c>
      <c r="J536" s="26" t="s">
        <v>658</v>
      </c>
      <c r="K536" s="26" t="s">
        <v>659</v>
      </c>
      <c r="L536" s="26"/>
    </row>
    <row r="537" spans="2:12" ht="90" x14ac:dyDescent="0.25">
      <c r="B537" s="2" t="str">
        <f t="shared" si="56"/>
        <v>1</v>
      </c>
      <c r="C537" s="2" t="str">
        <f t="shared" si="57"/>
        <v>6</v>
      </c>
      <c r="D537" s="2" t="str">
        <f t="shared" si="58"/>
        <v>4</v>
      </c>
      <c r="E537" s="2" t="str">
        <f t="shared" si="59"/>
        <v>0</v>
      </c>
      <c r="F537" s="2" t="str">
        <f t="shared" si="60"/>
        <v>01</v>
      </c>
      <c r="G537" s="2" t="str">
        <f t="shared" si="61"/>
        <v>0</v>
      </c>
      <c r="H537" s="2" t="str">
        <f t="shared" si="62"/>
        <v>0</v>
      </c>
      <c r="I537" s="2">
        <v>16400100</v>
      </c>
      <c r="J537" s="3" t="s">
        <v>660</v>
      </c>
      <c r="K537" s="3" t="s">
        <v>661</v>
      </c>
      <c r="L537" s="3"/>
    </row>
    <row r="538" spans="2:12" ht="90" x14ac:dyDescent="0.25">
      <c r="B538" s="7" t="str">
        <f t="shared" si="56"/>
        <v>1</v>
      </c>
      <c r="C538" s="7" t="str">
        <f t="shared" si="57"/>
        <v>6</v>
      </c>
      <c r="D538" s="7" t="str">
        <f t="shared" si="58"/>
        <v>4</v>
      </c>
      <c r="E538" s="7" t="str">
        <f t="shared" si="59"/>
        <v>0</v>
      </c>
      <c r="F538" s="7" t="str">
        <f t="shared" si="60"/>
        <v>01</v>
      </c>
      <c r="G538" s="7" t="str">
        <f t="shared" si="61"/>
        <v>1</v>
      </c>
      <c r="H538" s="7" t="str">
        <f t="shared" si="62"/>
        <v>0</v>
      </c>
      <c r="I538" s="7">
        <v>16400110</v>
      </c>
      <c r="J538" s="8" t="s">
        <v>660</v>
      </c>
      <c r="K538" s="8" t="s">
        <v>661</v>
      </c>
      <c r="L538" s="8"/>
    </row>
    <row r="539" spans="2:12" ht="30" x14ac:dyDescent="0.25">
      <c r="B539" s="2" t="str">
        <f t="shared" si="56"/>
        <v>1</v>
      </c>
      <c r="C539" s="2" t="str">
        <f t="shared" si="57"/>
        <v>6</v>
      </c>
      <c r="D539" s="2" t="str">
        <f t="shared" si="58"/>
        <v>4</v>
      </c>
      <c r="E539" s="2" t="str">
        <f t="shared" si="59"/>
        <v>0</v>
      </c>
      <c r="F539" s="2" t="str">
        <f t="shared" si="60"/>
        <v>02</v>
      </c>
      <c r="G539" s="2" t="str">
        <f t="shared" si="61"/>
        <v>0</v>
      </c>
      <c r="H539" s="2" t="str">
        <f t="shared" si="62"/>
        <v>0</v>
      </c>
      <c r="I539" s="2">
        <v>16400200</v>
      </c>
      <c r="J539" s="3" t="s">
        <v>662</v>
      </c>
      <c r="K539" s="3" t="s">
        <v>663</v>
      </c>
      <c r="L539" s="3"/>
    </row>
    <row r="540" spans="2:12" ht="30" x14ac:dyDescent="0.25">
      <c r="B540" s="7" t="str">
        <f t="shared" si="56"/>
        <v>1</v>
      </c>
      <c r="C540" s="7" t="str">
        <f t="shared" si="57"/>
        <v>6</v>
      </c>
      <c r="D540" s="7" t="str">
        <f t="shared" si="58"/>
        <v>4</v>
      </c>
      <c r="E540" s="7" t="str">
        <f t="shared" si="59"/>
        <v>0</v>
      </c>
      <c r="F540" s="7" t="str">
        <f t="shared" si="60"/>
        <v>02</v>
      </c>
      <c r="G540" s="7" t="str">
        <f t="shared" si="61"/>
        <v>1</v>
      </c>
      <c r="H540" s="7" t="str">
        <f t="shared" si="62"/>
        <v>0</v>
      </c>
      <c r="I540" s="7">
        <v>16400210</v>
      </c>
      <c r="J540" s="8" t="s">
        <v>662</v>
      </c>
      <c r="K540" s="8" t="s">
        <v>663</v>
      </c>
      <c r="L540" s="8"/>
    </row>
    <row r="541" spans="2:12" ht="60" x14ac:dyDescent="0.25">
      <c r="B541" s="2" t="str">
        <f t="shared" si="56"/>
        <v>1</v>
      </c>
      <c r="C541" s="2" t="str">
        <f t="shared" si="57"/>
        <v>6</v>
      </c>
      <c r="D541" s="2" t="str">
        <f t="shared" si="58"/>
        <v>4</v>
      </c>
      <c r="E541" s="2" t="str">
        <f t="shared" si="59"/>
        <v>0</v>
      </c>
      <c r="F541" s="2" t="str">
        <f t="shared" si="60"/>
        <v>03</v>
      </c>
      <c r="G541" s="2" t="str">
        <f t="shared" si="61"/>
        <v>0</v>
      </c>
      <c r="H541" s="2" t="str">
        <f t="shared" si="62"/>
        <v>0</v>
      </c>
      <c r="I541" s="2">
        <v>16400300</v>
      </c>
      <c r="J541" s="3" t="s">
        <v>664</v>
      </c>
      <c r="K541" s="3" t="s">
        <v>665</v>
      </c>
      <c r="L541" s="3"/>
    </row>
    <row r="542" spans="2:12" ht="60" x14ac:dyDescent="0.25">
      <c r="B542" s="7" t="str">
        <f t="shared" si="56"/>
        <v>1</v>
      </c>
      <c r="C542" s="7" t="str">
        <f t="shared" si="57"/>
        <v>6</v>
      </c>
      <c r="D542" s="7" t="str">
        <f t="shared" si="58"/>
        <v>4</v>
      </c>
      <c r="E542" s="7" t="str">
        <f t="shared" si="59"/>
        <v>0</v>
      </c>
      <c r="F542" s="7" t="str">
        <f t="shared" si="60"/>
        <v>03</v>
      </c>
      <c r="G542" s="7" t="str">
        <f t="shared" si="61"/>
        <v>1</v>
      </c>
      <c r="H542" s="7" t="str">
        <f t="shared" si="62"/>
        <v>0</v>
      </c>
      <c r="I542" s="7">
        <v>16400310</v>
      </c>
      <c r="J542" s="8" t="s">
        <v>664</v>
      </c>
      <c r="K542" s="8" t="s">
        <v>665</v>
      </c>
      <c r="L542" s="8"/>
    </row>
    <row r="543" spans="2:12" x14ac:dyDescent="0.25">
      <c r="B543" s="27" t="str">
        <f t="shared" si="56"/>
        <v>1</v>
      </c>
      <c r="C543" s="27" t="str">
        <f t="shared" si="57"/>
        <v>6</v>
      </c>
      <c r="D543" s="27" t="str">
        <f t="shared" si="58"/>
        <v>9</v>
      </c>
      <c r="E543" s="27" t="str">
        <f t="shared" si="59"/>
        <v>0</v>
      </c>
      <c r="F543" s="27" t="str">
        <f t="shared" si="60"/>
        <v>00</v>
      </c>
      <c r="G543" s="27" t="str">
        <f t="shared" si="61"/>
        <v>0</v>
      </c>
      <c r="H543" s="27" t="str">
        <f t="shared" si="62"/>
        <v>0</v>
      </c>
      <c r="I543" s="27">
        <v>16900000</v>
      </c>
      <c r="J543" s="26" t="s">
        <v>93</v>
      </c>
      <c r="K543" s="26" t="s">
        <v>666</v>
      </c>
      <c r="L543" s="26"/>
    </row>
    <row r="544" spans="2:12" x14ac:dyDescent="0.25">
      <c r="B544" s="2" t="str">
        <f t="shared" si="56"/>
        <v>1</v>
      </c>
      <c r="C544" s="2" t="str">
        <f t="shared" si="57"/>
        <v>6</v>
      </c>
      <c r="D544" s="2" t="str">
        <f t="shared" si="58"/>
        <v>9</v>
      </c>
      <c r="E544" s="2" t="str">
        <f t="shared" si="59"/>
        <v>0</v>
      </c>
      <c r="F544" s="2" t="str">
        <f t="shared" si="60"/>
        <v>99</v>
      </c>
      <c r="G544" s="2" t="str">
        <f t="shared" si="61"/>
        <v>0</v>
      </c>
      <c r="H544" s="2" t="str">
        <f t="shared" si="62"/>
        <v>0</v>
      </c>
      <c r="I544" s="2">
        <v>16909900</v>
      </c>
      <c r="J544" s="3" t="s">
        <v>93</v>
      </c>
      <c r="K544" s="3" t="s">
        <v>666</v>
      </c>
      <c r="L544" s="3"/>
    </row>
    <row r="545" spans="2:12" x14ac:dyDescent="0.25">
      <c r="B545" s="7" t="str">
        <f t="shared" si="56"/>
        <v>1</v>
      </c>
      <c r="C545" s="7" t="str">
        <f t="shared" si="57"/>
        <v>6</v>
      </c>
      <c r="D545" s="7" t="str">
        <f t="shared" si="58"/>
        <v>9</v>
      </c>
      <c r="E545" s="7" t="str">
        <f t="shared" si="59"/>
        <v>0</v>
      </c>
      <c r="F545" s="7" t="str">
        <f t="shared" si="60"/>
        <v>99</v>
      </c>
      <c r="G545" s="7" t="str">
        <f t="shared" si="61"/>
        <v>1</v>
      </c>
      <c r="H545" s="7" t="str">
        <f t="shared" si="62"/>
        <v>0</v>
      </c>
      <c r="I545" s="7">
        <v>16909910</v>
      </c>
      <c r="J545" s="8" t="s">
        <v>93</v>
      </c>
      <c r="K545" s="8" t="s">
        <v>666</v>
      </c>
      <c r="L545" s="8"/>
    </row>
    <row r="546" spans="2:12" ht="60" x14ac:dyDescent="0.25">
      <c r="B546" s="6" t="str">
        <f t="shared" si="56"/>
        <v>1</v>
      </c>
      <c r="C546" s="6" t="str">
        <f t="shared" si="57"/>
        <v>7</v>
      </c>
      <c r="D546" s="6" t="str">
        <f t="shared" si="58"/>
        <v>0</v>
      </c>
      <c r="E546" s="6" t="str">
        <f t="shared" si="59"/>
        <v>0</v>
      </c>
      <c r="F546" s="6" t="str">
        <f t="shared" si="60"/>
        <v>00</v>
      </c>
      <c r="G546" s="6" t="str">
        <f t="shared" si="61"/>
        <v>0</v>
      </c>
      <c r="H546" s="6" t="str">
        <f t="shared" si="62"/>
        <v>0</v>
      </c>
      <c r="I546" s="6">
        <v>17000000</v>
      </c>
      <c r="J546" s="5" t="s">
        <v>94</v>
      </c>
      <c r="K546" s="5" t="s">
        <v>667</v>
      </c>
      <c r="L546" s="5"/>
    </row>
    <row r="547" spans="2:12" ht="159.75" customHeight="1" x14ac:dyDescent="0.25">
      <c r="B547" s="27" t="str">
        <f t="shared" si="56"/>
        <v>1</v>
      </c>
      <c r="C547" s="27" t="str">
        <f t="shared" si="57"/>
        <v>7</v>
      </c>
      <c r="D547" s="27" t="str">
        <f t="shared" si="58"/>
        <v>1</v>
      </c>
      <c r="E547" s="27" t="str">
        <f t="shared" si="59"/>
        <v>0</v>
      </c>
      <c r="F547" s="27" t="str">
        <f t="shared" si="60"/>
        <v>00</v>
      </c>
      <c r="G547" s="27" t="str">
        <f t="shared" si="61"/>
        <v>0</v>
      </c>
      <c r="H547" s="27" t="str">
        <f t="shared" si="62"/>
        <v>0</v>
      </c>
      <c r="I547" s="27">
        <v>17100000</v>
      </c>
      <c r="J547" s="26" t="s">
        <v>668</v>
      </c>
      <c r="K547" s="26" t="s">
        <v>669</v>
      </c>
      <c r="L547" s="26"/>
    </row>
    <row r="548" spans="2:12" ht="60" x14ac:dyDescent="0.25">
      <c r="B548" s="7" t="str">
        <f t="shared" si="56"/>
        <v>1</v>
      </c>
      <c r="C548" s="7" t="str">
        <f t="shared" si="57"/>
        <v>7</v>
      </c>
      <c r="D548" s="7" t="str">
        <f t="shared" si="58"/>
        <v>1</v>
      </c>
      <c r="E548" s="7" t="str">
        <f t="shared" si="59"/>
        <v>0</v>
      </c>
      <c r="F548" s="7" t="str">
        <f t="shared" si="60"/>
        <v>00</v>
      </c>
      <c r="G548" s="7" t="str">
        <f t="shared" si="61"/>
        <v>1</v>
      </c>
      <c r="H548" s="7" t="str">
        <f t="shared" si="62"/>
        <v>0</v>
      </c>
      <c r="I548" s="7">
        <v>17100010</v>
      </c>
      <c r="J548" s="8" t="s">
        <v>668</v>
      </c>
      <c r="K548" s="8" t="s">
        <v>669</v>
      </c>
      <c r="L548" s="8"/>
    </row>
    <row r="549" spans="2:12" ht="30" x14ac:dyDescent="0.25">
      <c r="B549" s="17" t="str">
        <f t="shared" si="56"/>
        <v>1</v>
      </c>
      <c r="C549" s="17" t="str">
        <f t="shared" si="57"/>
        <v>7</v>
      </c>
      <c r="D549" s="17" t="str">
        <f t="shared" si="58"/>
        <v>1</v>
      </c>
      <c r="E549" s="17" t="str">
        <f t="shared" si="59"/>
        <v>8</v>
      </c>
      <c r="F549" s="17" t="str">
        <f t="shared" si="60"/>
        <v>00</v>
      </c>
      <c r="G549" s="17" t="str">
        <f t="shared" si="61"/>
        <v>0</v>
      </c>
      <c r="H549" s="17" t="str">
        <f t="shared" si="62"/>
        <v>0</v>
      </c>
      <c r="I549" s="17">
        <v>17180000</v>
      </c>
      <c r="J549" s="16" t="s">
        <v>899</v>
      </c>
      <c r="K549" s="16" t="s">
        <v>909</v>
      </c>
      <c r="L549" s="16"/>
    </row>
    <row r="550" spans="2:12" ht="30" x14ac:dyDescent="0.25">
      <c r="B550" s="2" t="str">
        <f t="shared" si="56"/>
        <v>1</v>
      </c>
      <c r="C550" s="2" t="str">
        <f t="shared" si="57"/>
        <v>7</v>
      </c>
      <c r="D550" s="2" t="str">
        <f t="shared" si="58"/>
        <v>1</v>
      </c>
      <c r="E550" s="2" t="str">
        <f t="shared" si="59"/>
        <v>8</v>
      </c>
      <c r="F550" s="2" t="str">
        <f t="shared" si="60"/>
        <v>01</v>
      </c>
      <c r="G550" s="2" t="str">
        <f t="shared" si="61"/>
        <v>0</v>
      </c>
      <c r="H550" s="2" t="str">
        <f t="shared" si="62"/>
        <v>0</v>
      </c>
      <c r="I550" s="2">
        <v>17180100</v>
      </c>
      <c r="J550" s="3" t="s">
        <v>95</v>
      </c>
      <c r="K550" s="3" t="s">
        <v>96</v>
      </c>
      <c r="L550" s="3"/>
    </row>
    <row r="551" spans="2:12" ht="30" x14ac:dyDescent="0.25">
      <c r="B551" s="7" t="str">
        <f t="shared" si="56"/>
        <v>1</v>
      </c>
      <c r="C551" s="7" t="str">
        <f t="shared" si="57"/>
        <v>7</v>
      </c>
      <c r="D551" s="7" t="str">
        <f t="shared" si="58"/>
        <v>1</v>
      </c>
      <c r="E551" s="7" t="str">
        <f t="shared" si="59"/>
        <v>8</v>
      </c>
      <c r="F551" s="7" t="str">
        <f t="shared" si="60"/>
        <v>01</v>
      </c>
      <c r="G551" s="7" t="str">
        <f t="shared" si="61"/>
        <v>1</v>
      </c>
      <c r="H551" s="7" t="str">
        <f t="shared" si="62"/>
        <v>0</v>
      </c>
      <c r="I551" s="7">
        <v>17180110</v>
      </c>
      <c r="J551" s="8" t="s">
        <v>97</v>
      </c>
      <c r="K551" s="8" t="s">
        <v>973</v>
      </c>
      <c r="L551" s="8"/>
    </row>
    <row r="552" spans="2:12" ht="45" x14ac:dyDescent="0.25">
      <c r="B552" s="7" t="str">
        <f t="shared" si="56"/>
        <v>1</v>
      </c>
      <c r="C552" s="7" t="str">
        <f t="shared" si="57"/>
        <v>7</v>
      </c>
      <c r="D552" s="7" t="str">
        <f t="shared" si="58"/>
        <v>1</v>
      </c>
      <c r="E552" s="7" t="str">
        <f t="shared" si="59"/>
        <v>8</v>
      </c>
      <c r="F552" s="7" t="str">
        <f t="shared" si="60"/>
        <v>01</v>
      </c>
      <c r="G552" s="7" t="str">
        <f t="shared" si="61"/>
        <v>2</v>
      </c>
      <c r="H552" s="7" t="str">
        <f t="shared" si="62"/>
        <v>0</v>
      </c>
      <c r="I552" s="7">
        <v>17180120</v>
      </c>
      <c r="J552" s="8" t="s">
        <v>98</v>
      </c>
      <c r="K552" s="8" t="s">
        <v>974</v>
      </c>
      <c r="L552" s="8"/>
    </row>
    <row r="553" spans="2:12" ht="45" x14ac:dyDescent="0.25">
      <c r="B553" s="7" t="str">
        <f t="shared" si="56"/>
        <v>1</v>
      </c>
      <c r="C553" s="7" t="str">
        <f t="shared" si="57"/>
        <v>7</v>
      </c>
      <c r="D553" s="7" t="str">
        <f t="shared" si="58"/>
        <v>1</v>
      </c>
      <c r="E553" s="7" t="str">
        <f t="shared" si="59"/>
        <v>8</v>
      </c>
      <c r="F553" s="7" t="str">
        <f t="shared" si="60"/>
        <v>01</v>
      </c>
      <c r="G553" s="7" t="str">
        <f t="shared" si="61"/>
        <v>3</v>
      </c>
      <c r="H553" s="7" t="str">
        <f t="shared" si="62"/>
        <v>0</v>
      </c>
      <c r="I553" s="7">
        <v>17180130</v>
      </c>
      <c r="J553" s="8" t="s">
        <v>99</v>
      </c>
      <c r="K553" s="8" t="s">
        <v>975</v>
      </c>
      <c r="L553" s="8"/>
    </row>
    <row r="554" spans="2:12" ht="45" x14ac:dyDescent="0.25">
      <c r="B554" s="7" t="str">
        <f t="shared" si="56"/>
        <v>1</v>
      </c>
      <c r="C554" s="7" t="str">
        <f t="shared" si="57"/>
        <v>7</v>
      </c>
      <c r="D554" s="7" t="str">
        <f t="shared" si="58"/>
        <v>1</v>
      </c>
      <c r="E554" s="7" t="str">
        <f t="shared" si="59"/>
        <v>8</v>
      </c>
      <c r="F554" s="7" t="str">
        <f t="shared" si="60"/>
        <v>01</v>
      </c>
      <c r="G554" s="7" t="str">
        <f t="shared" si="61"/>
        <v>4</v>
      </c>
      <c r="H554" s="7" t="str">
        <f t="shared" si="62"/>
        <v>0</v>
      </c>
      <c r="I554" s="7">
        <v>17180140</v>
      </c>
      <c r="J554" s="8" t="s">
        <v>100</v>
      </c>
      <c r="K554" s="8" t="s">
        <v>976</v>
      </c>
      <c r="L554" s="8"/>
    </row>
    <row r="555" spans="2:12" ht="30" x14ac:dyDescent="0.25">
      <c r="B555" s="7" t="str">
        <f t="shared" si="56"/>
        <v>1</v>
      </c>
      <c r="C555" s="7" t="str">
        <f t="shared" si="57"/>
        <v>7</v>
      </c>
      <c r="D555" s="7" t="str">
        <f t="shared" si="58"/>
        <v>1</v>
      </c>
      <c r="E555" s="7" t="str">
        <f t="shared" si="59"/>
        <v>8</v>
      </c>
      <c r="F555" s="7" t="str">
        <f t="shared" si="60"/>
        <v>01</v>
      </c>
      <c r="G555" s="7" t="str">
        <f t="shared" si="61"/>
        <v>5</v>
      </c>
      <c r="H555" s="7" t="str">
        <f t="shared" si="62"/>
        <v>0</v>
      </c>
      <c r="I555" s="7">
        <v>17180150</v>
      </c>
      <c r="J555" s="8" t="s">
        <v>101</v>
      </c>
      <c r="K555" s="8" t="s">
        <v>977</v>
      </c>
      <c r="L555" s="8"/>
    </row>
    <row r="556" spans="2:12" ht="30" x14ac:dyDescent="0.25">
      <c r="B556" s="7" t="str">
        <f t="shared" si="56"/>
        <v>1</v>
      </c>
      <c r="C556" s="7" t="str">
        <f t="shared" si="57"/>
        <v>7</v>
      </c>
      <c r="D556" s="7" t="str">
        <f t="shared" si="58"/>
        <v>1</v>
      </c>
      <c r="E556" s="7" t="str">
        <f t="shared" si="59"/>
        <v>8</v>
      </c>
      <c r="F556" s="7" t="str">
        <f t="shared" si="60"/>
        <v>01</v>
      </c>
      <c r="G556" s="7" t="str">
        <f t="shared" si="61"/>
        <v>6</v>
      </c>
      <c r="H556" s="7" t="str">
        <f t="shared" si="62"/>
        <v>0</v>
      </c>
      <c r="I556" s="7">
        <v>17180160</v>
      </c>
      <c r="J556" s="8" t="s">
        <v>102</v>
      </c>
      <c r="K556" s="8" t="s">
        <v>978</v>
      </c>
      <c r="L556" s="8"/>
    </row>
    <row r="557" spans="2:12" ht="45" x14ac:dyDescent="0.25">
      <c r="B557" s="7" t="str">
        <f t="shared" si="56"/>
        <v>1</v>
      </c>
      <c r="C557" s="7" t="str">
        <f t="shared" si="57"/>
        <v>7</v>
      </c>
      <c r="D557" s="7" t="str">
        <f t="shared" si="58"/>
        <v>1</v>
      </c>
      <c r="E557" s="7" t="str">
        <f t="shared" si="59"/>
        <v>8</v>
      </c>
      <c r="F557" s="7" t="str">
        <f t="shared" si="60"/>
        <v>01</v>
      </c>
      <c r="G557" s="7" t="str">
        <f t="shared" si="61"/>
        <v>7</v>
      </c>
      <c r="H557" s="7" t="str">
        <f t="shared" si="62"/>
        <v>0</v>
      </c>
      <c r="I557" s="7">
        <v>17180170</v>
      </c>
      <c r="J557" s="8" t="s">
        <v>103</v>
      </c>
      <c r="K557" s="8" t="s">
        <v>979</v>
      </c>
      <c r="L557" s="8"/>
    </row>
    <row r="558" spans="2:12" ht="45" x14ac:dyDescent="0.25">
      <c r="B558" s="7" t="str">
        <f t="shared" si="56"/>
        <v>1</v>
      </c>
      <c r="C558" s="7" t="str">
        <f t="shared" si="57"/>
        <v>7</v>
      </c>
      <c r="D558" s="7" t="str">
        <f t="shared" si="58"/>
        <v>1</v>
      </c>
      <c r="E558" s="7" t="str">
        <f t="shared" si="59"/>
        <v>8</v>
      </c>
      <c r="F558" s="7" t="str">
        <f t="shared" si="60"/>
        <v>01</v>
      </c>
      <c r="G558" s="7" t="str">
        <f t="shared" si="61"/>
        <v>8</v>
      </c>
      <c r="H558" s="7" t="str">
        <f t="shared" si="62"/>
        <v>0</v>
      </c>
      <c r="I558" s="7">
        <v>17180180</v>
      </c>
      <c r="J558" s="8" t="s">
        <v>104</v>
      </c>
      <c r="K558" s="8" t="s">
        <v>980</v>
      </c>
      <c r="L558" s="8"/>
    </row>
    <row r="559" spans="2:12" ht="30" x14ac:dyDescent="0.25">
      <c r="B559" s="2" t="str">
        <f t="shared" si="56"/>
        <v>1</v>
      </c>
      <c r="C559" s="2" t="str">
        <f t="shared" si="57"/>
        <v>7</v>
      </c>
      <c r="D559" s="2" t="str">
        <f t="shared" si="58"/>
        <v>1</v>
      </c>
      <c r="E559" s="2" t="str">
        <f t="shared" si="59"/>
        <v>8</v>
      </c>
      <c r="F559" s="2" t="str">
        <f t="shared" si="60"/>
        <v>02</v>
      </c>
      <c r="G559" s="2" t="str">
        <f t="shared" si="61"/>
        <v>0</v>
      </c>
      <c r="H559" s="2" t="str">
        <f t="shared" si="62"/>
        <v>0</v>
      </c>
      <c r="I559" s="2">
        <v>17180200</v>
      </c>
      <c r="J559" s="3" t="s">
        <v>105</v>
      </c>
      <c r="K559" s="3" t="s">
        <v>981</v>
      </c>
      <c r="L559" s="3"/>
    </row>
    <row r="560" spans="2:12" ht="30" x14ac:dyDescent="0.25">
      <c r="B560" s="7" t="str">
        <f t="shared" si="56"/>
        <v>1</v>
      </c>
      <c r="C560" s="7" t="str">
        <f t="shared" si="57"/>
        <v>7</v>
      </c>
      <c r="D560" s="7" t="str">
        <f t="shared" si="58"/>
        <v>1</v>
      </c>
      <c r="E560" s="7" t="str">
        <f t="shared" si="59"/>
        <v>8</v>
      </c>
      <c r="F560" s="7" t="str">
        <f t="shared" si="60"/>
        <v>02</v>
      </c>
      <c r="G560" s="7" t="str">
        <f t="shared" si="61"/>
        <v>1</v>
      </c>
      <c r="H560" s="7" t="str">
        <f t="shared" si="62"/>
        <v>0</v>
      </c>
      <c r="I560" s="7">
        <v>17180210</v>
      </c>
      <c r="J560" s="8" t="s">
        <v>106</v>
      </c>
      <c r="K560" s="8" t="s">
        <v>982</v>
      </c>
      <c r="L560" s="8"/>
    </row>
    <row r="561" spans="2:12" ht="30" x14ac:dyDescent="0.25">
      <c r="B561" s="7" t="str">
        <f t="shared" si="56"/>
        <v>1</v>
      </c>
      <c r="C561" s="7" t="str">
        <f t="shared" si="57"/>
        <v>7</v>
      </c>
      <c r="D561" s="7" t="str">
        <f t="shared" si="58"/>
        <v>1</v>
      </c>
      <c r="E561" s="7" t="str">
        <f t="shared" si="59"/>
        <v>8</v>
      </c>
      <c r="F561" s="7" t="str">
        <f t="shared" si="60"/>
        <v>02</v>
      </c>
      <c r="G561" s="7" t="str">
        <f t="shared" si="61"/>
        <v>2</v>
      </c>
      <c r="H561" s="7" t="str">
        <f t="shared" si="62"/>
        <v>0</v>
      </c>
      <c r="I561" s="7">
        <v>17180220</v>
      </c>
      <c r="J561" s="8" t="s">
        <v>107</v>
      </c>
      <c r="K561" s="8" t="s">
        <v>983</v>
      </c>
      <c r="L561" s="8"/>
    </row>
    <row r="562" spans="2:12" ht="30" x14ac:dyDescent="0.25">
      <c r="B562" s="7" t="str">
        <f t="shared" si="56"/>
        <v>1</v>
      </c>
      <c r="C562" s="7" t="str">
        <f t="shared" si="57"/>
        <v>7</v>
      </c>
      <c r="D562" s="7" t="str">
        <f t="shared" si="58"/>
        <v>1</v>
      </c>
      <c r="E562" s="7" t="str">
        <f t="shared" si="59"/>
        <v>8</v>
      </c>
      <c r="F562" s="7" t="str">
        <f t="shared" si="60"/>
        <v>02</v>
      </c>
      <c r="G562" s="7" t="str">
        <f t="shared" si="61"/>
        <v>3</v>
      </c>
      <c r="H562" s="7" t="str">
        <f t="shared" si="62"/>
        <v>0</v>
      </c>
      <c r="I562" s="7">
        <v>17180230</v>
      </c>
      <c r="J562" s="8" t="s">
        <v>108</v>
      </c>
      <c r="K562" s="8" t="s">
        <v>984</v>
      </c>
      <c r="L562" s="8"/>
    </row>
    <row r="563" spans="2:12" ht="30" x14ac:dyDescent="0.25">
      <c r="B563" s="7" t="str">
        <f t="shared" si="56"/>
        <v>1</v>
      </c>
      <c r="C563" s="7" t="str">
        <f t="shared" si="57"/>
        <v>7</v>
      </c>
      <c r="D563" s="7" t="str">
        <f t="shared" si="58"/>
        <v>1</v>
      </c>
      <c r="E563" s="7" t="str">
        <f t="shared" si="59"/>
        <v>8</v>
      </c>
      <c r="F563" s="7" t="str">
        <f t="shared" si="60"/>
        <v>02</v>
      </c>
      <c r="G563" s="7" t="str">
        <f t="shared" si="61"/>
        <v>4</v>
      </c>
      <c r="H563" s="7" t="str">
        <f t="shared" si="62"/>
        <v>0</v>
      </c>
      <c r="I563" s="7">
        <v>17180240</v>
      </c>
      <c r="J563" s="8" t="s">
        <v>109</v>
      </c>
      <c r="K563" s="8" t="s">
        <v>985</v>
      </c>
      <c r="L563" s="8"/>
    </row>
    <row r="564" spans="2:12" ht="30" x14ac:dyDescent="0.25">
      <c r="B564" s="7" t="str">
        <f t="shared" si="56"/>
        <v>1</v>
      </c>
      <c r="C564" s="7" t="str">
        <f t="shared" si="57"/>
        <v>7</v>
      </c>
      <c r="D564" s="7" t="str">
        <f t="shared" si="58"/>
        <v>1</v>
      </c>
      <c r="E564" s="7" t="str">
        <f t="shared" si="59"/>
        <v>8</v>
      </c>
      <c r="F564" s="7" t="str">
        <f t="shared" si="60"/>
        <v>02</v>
      </c>
      <c r="G564" s="7" t="str">
        <f t="shared" si="61"/>
        <v>5</v>
      </c>
      <c r="H564" s="7" t="str">
        <f t="shared" si="62"/>
        <v>0</v>
      </c>
      <c r="I564" s="7">
        <v>17180250</v>
      </c>
      <c r="J564" s="8" t="s">
        <v>110</v>
      </c>
      <c r="K564" s="8" t="s">
        <v>986</v>
      </c>
      <c r="L564" s="8"/>
    </row>
    <row r="565" spans="2:12" ht="30" x14ac:dyDescent="0.25">
      <c r="B565" s="7" t="str">
        <f t="shared" si="56"/>
        <v>1</v>
      </c>
      <c r="C565" s="7" t="str">
        <f t="shared" si="57"/>
        <v>7</v>
      </c>
      <c r="D565" s="7" t="str">
        <f t="shared" si="58"/>
        <v>1</v>
      </c>
      <c r="E565" s="7" t="str">
        <f t="shared" si="59"/>
        <v>8</v>
      </c>
      <c r="F565" s="7" t="str">
        <f t="shared" si="60"/>
        <v>02</v>
      </c>
      <c r="G565" s="7" t="str">
        <f t="shared" si="61"/>
        <v>6</v>
      </c>
      <c r="H565" s="7" t="str">
        <f t="shared" si="62"/>
        <v>0</v>
      </c>
      <c r="I565" s="7">
        <v>17180260</v>
      </c>
      <c r="J565" s="8" t="s">
        <v>111</v>
      </c>
      <c r="K565" s="8" t="s">
        <v>987</v>
      </c>
      <c r="L565" s="8"/>
    </row>
    <row r="566" spans="2:12" ht="30" x14ac:dyDescent="0.25">
      <c r="B566" s="7" t="str">
        <f t="shared" si="56"/>
        <v>1</v>
      </c>
      <c r="C566" s="7" t="str">
        <f t="shared" si="57"/>
        <v>7</v>
      </c>
      <c r="D566" s="7" t="str">
        <f t="shared" si="58"/>
        <v>1</v>
      </c>
      <c r="E566" s="7" t="str">
        <f t="shared" si="59"/>
        <v>8</v>
      </c>
      <c r="F566" s="7" t="str">
        <f t="shared" si="60"/>
        <v>02</v>
      </c>
      <c r="G566" s="7" t="str">
        <f t="shared" si="61"/>
        <v>9</v>
      </c>
      <c r="H566" s="7" t="str">
        <f t="shared" si="62"/>
        <v>0</v>
      </c>
      <c r="I566" s="7">
        <v>17180290</v>
      </c>
      <c r="J566" s="8" t="s">
        <v>112</v>
      </c>
      <c r="K566" s="8" t="s">
        <v>988</v>
      </c>
      <c r="L566" s="8"/>
    </row>
    <row r="567" spans="2:12" ht="60" x14ac:dyDescent="0.25">
      <c r="B567" s="2" t="str">
        <f t="shared" si="56"/>
        <v>1</v>
      </c>
      <c r="C567" s="2" t="str">
        <f t="shared" si="57"/>
        <v>7</v>
      </c>
      <c r="D567" s="2" t="str">
        <f t="shared" si="58"/>
        <v>1</v>
      </c>
      <c r="E567" s="2" t="str">
        <f t="shared" si="59"/>
        <v>8</v>
      </c>
      <c r="F567" s="2" t="str">
        <f t="shared" si="60"/>
        <v>03</v>
      </c>
      <c r="G567" s="2" t="str">
        <f t="shared" si="61"/>
        <v>0</v>
      </c>
      <c r="H567" s="2" t="str">
        <f t="shared" si="62"/>
        <v>0</v>
      </c>
      <c r="I567" s="2">
        <v>17180300</v>
      </c>
      <c r="J567" s="3" t="s">
        <v>1357</v>
      </c>
      <c r="K567" s="3" t="s">
        <v>1316</v>
      </c>
      <c r="L567" s="3"/>
    </row>
    <row r="568" spans="2:12" ht="60" x14ac:dyDescent="0.25">
      <c r="B568" s="7" t="str">
        <f t="shared" si="56"/>
        <v>1</v>
      </c>
      <c r="C568" s="7" t="str">
        <f t="shared" si="57"/>
        <v>7</v>
      </c>
      <c r="D568" s="7" t="str">
        <f t="shared" si="58"/>
        <v>1</v>
      </c>
      <c r="E568" s="7" t="str">
        <f t="shared" si="59"/>
        <v>8</v>
      </c>
      <c r="F568" s="7" t="str">
        <f t="shared" si="60"/>
        <v>03</v>
      </c>
      <c r="G568" s="7" t="str">
        <f t="shared" si="61"/>
        <v>1</v>
      </c>
      <c r="H568" s="7" t="str">
        <f t="shared" si="62"/>
        <v>0</v>
      </c>
      <c r="I568" s="7">
        <v>17180310</v>
      </c>
      <c r="J568" s="8" t="s">
        <v>968</v>
      </c>
      <c r="K568" s="8" t="s">
        <v>1310</v>
      </c>
      <c r="L568" s="8"/>
    </row>
    <row r="569" spans="2:12" ht="60" x14ac:dyDescent="0.25">
      <c r="B569" s="7" t="str">
        <f t="shared" si="56"/>
        <v>1</v>
      </c>
      <c r="C569" s="7" t="str">
        <f t="shared" si="57"/>
        <v>7</v>
      </c>
      <c r="D569" s="7" t="str">
        <f t="shared" si="58"/>
        <v>1</v>
      </c>
      <c r="E569" s="7" t="str">
        <f t="shared" si="59"/>
        <v>8</v>
      </c>
      <c r="F569" s="7" t="str">
        <f t="shared" si="60"/>
        <v>03</v>
      </c>
      <c r="G569" s="7" t="str">
        <f t="shared" si="61"/>
        <v>2</v>
      </c>
      <c r="H569" s="7" t="str">
        <f t="shared" si="62"/>
        <v>0</v>
      </c>
      <c r="I569" s="7">
        <v>17180320</v>
      </c>
      <c r="J569" s="8" t="s">
        <v>969</v>
      </c>
      <c r="K569" s="8" t="s">
        <v>1311</v>
      </c>
      <c r="L569" s="8"/>
    </row>
    <row r="570" spans="2:12" ht="60" x14ac:dyDescent="0.25">
      <c r="B570" s="7" t="str">
        <f t="shared" si="56"/>
        <v>1</v>
      </c>
      <c r="C570" s="7" t="str">
        <f t="shared" si="57"/>
        <v>7</v>
      </c>
      <c r="D570" s="7" t="str">
        <f t="shared" si="58"/>
        <v>1</v>
      </c>
      <c r="E570" s="7" t="str">
        <f t="shared" si="59"/>
        <v>8</v>
      </c>
      <c r="F570" s="7" t="str">
        <f t="shared" si="60"/>
        <v>03</v>
      </c>
      <c r="G570" s="7" t="str">
        <f t="shared" si="61"/>
        <v>3</v>
      </c>
      <c r="H570" s="7" t="str">
        <f t="shared" si="62"/>
        <v>0</v>
      </c>
      <c r="I570" s="7">
        <v>17180330</v>
      </c>
      <c r="J570" s="8" t="s">
        <v>970</v>
      </c>
      <c r="K570" s="8" t="s">
        <v>1312</v>
      </c>
      <c r="L570" s="8"/>
    </row>
    <row r="571" spans="2:12" ht="60" x14ac:dyDescent="0.25">
      <c r="B571" s="7" t="str">
        <f t="shared" si="56"/>
        <v>1</v>
      </c>
      <c r="C571" s="7" t="str">
        <f t="shared" si="57"/>
        <v>7</v>
      </c>
      <c r="D571" s="7" t="str">
        <f t="shared" si="58"/>
        <v>1</v>
      </c>
      <c r="E571" s="7" t="str">
        <f t="shared" si="59"/>
        <v>8</v>
      </c>
      <c r="F571" s="7" t="str">
        <f t="shared" si="60"/>
        <v>03</v>
      </c>
      <c r="G571" s="7" t="str">
        <f t="shared" si="61"/>
        <v>4</v>
      </c>
      <c r="H571" s="7" t="str">
        <f t="shared" si="62"/>
        <v>0</v>
      </c>
      <c r="I571" s="7">
        <v>17180340</v>
      </c>
      <c r="J571" s="8" t="s">
        <v>971</v>
      </c>
      <c r="K571" s="8" t="s">
        <v>1313</v>
      </c>
      <c r="L571" s="8"/>
    </row>
    <row r="572" spans="2:12" ht="60" x14ac:dyDescent="0.25">
      <c r="B572" s="7" t="str">
        <f t="shared" si="56"/>
        <v>1</v>
      </c>
      <c r="C572" s="7" t="str">
        <f t="shared" si="57"/>
        <v>7</v>
      </c>
      <c r="D572" s="7" t="str">
        <f t="shared" si="58"/>
        <v>1</v>
      </c>
      <c r="E572" s="7" t="str">
        <f t="shared" si="59"/>
        <v>8</v>
      </c>
      <c r="F572" s="7" t="str">
        <f t="shared" si="60"/>
        <v>03</v>
      </c>
      <c r="G572" s="7" t="str">
        <f t="shared" si="61"/>
        <v>5</v>
      </c>
      <c r="H572" s="7" t="str">
        <f t="shared" si="62"/>
        <v>0</v>
      </c>
      <c r="I572" s="7">
        <v>17180350</v>
      </c>
      <c r="J572" s="8" t="s">
        <v>972</v>
      </c>
      <c r="K572" s="8" t="s">
        <v>1314</v>
      </c>
      <c r="L572" s="8"/>
    </row>
    <row r="573" spans="2:12" ht="60" x14ac:dyDescent="0.25">
      <c r="B573" s="7" t="str">
        <f t="shared" si="56"/>
        <v>1</v>
      </c>
      <c r="C573" s="7" t="str">
        <f t="shared" si="57"/>
        <v>7</v>
      </c>
      <c r="D573" s="7" t="str">
        <f t="shared" si="58"/>
        <v>1</v>
      </c>
      <c r="E573" s="7" t="str">
        <f t="shared" si="59"/>
        <v>8</v>
      </c>
      <c r="F573" s="7" t="str">
        <f t="shared" si="60"/>
        <v>03</v>
      </c>
      <c r="G573" s="7" t="str">
        <f t="shared" si="61"/>
        <v>9</v>
      </c>
      <c r="H573" s="7" t="str">
        <f t="shared" si="62"/>
        <v>0</v>
      </c>
      <c r="I573" s="7">
        <v>17180390</v>
      </c>
      <c r="J573" s="8" t="s">
        <v>967</v>
      </c>
      <c r="K573" s="8" t="s">
        <v>1315</v>
      </c>
      <c r="L573" s="8"/>
    </row>
    <row r="574" spans="2:12" ht="60" x14ac:dyDescent="0.25">
      <c r="B574" s="2" t="str">
        <f t="shared" si="56"/>
        <v>1</v>
      </c>
      <c r="C574" s="2" t="str">
        <f t="shared" si="57"/>
        <v>7</v>
      </c>
      <c r="D574" s="2" t="str">
        <f t="shared" si="58"/>
        <v>1</v>
      </c>
      <c r="E574" s="2" t="str">
        <f t="shared" si="59"/>
        <v>8</v>
      </c>
      <c r="F574" s="2" t="str">
        <f t="shared" si="60"/>
        <v>04</v>
      </c>
      <c r="G574" s="2" t="str">
        <f t="shared" si="61"/>
        <v>0</v>
      </c>
      <c r="H574" s="2" t="str">
        <f t="shared" si="62"/>
        <v>0</v>
      </c>
      <c r="I574" s="2">
        <v>17180400</v>
      </c>
      <c r="J574" s="3" t="s">
        <v>1027</v>
      </c>
      <c r="K574" s="3" t="s">
        <v>1317</v>
      </c>
      <c r="L574" s="3"/>
    </row>
    <row r="575" spans="2:12" ht="45" x14ac:dyDescent="0.25">
      <c r="B575" s="7" t="str">
        <f t="shared" si="56"/>
        <v>1</v>
      </c>
      <c r="C575" s="7" t="str">
        <f t="shared" si="57"/>
        <v>7</v>
      </c>
      <c r="D575" s="7" t="str">
        <f t="shared" si="58"/>
        <v>1</v>
      </c>
      <c r="E575" s="7" t="str">
        <f t="shared" si="59"/>
        <v>8</v>
      </c>
      <c r="F575" s="7" t="str">
        <f t="shared" si="60"/>
        <v>04</v>
      </c>
      <c r="G575" s="7" t="str">
        <f t="shared" si="61"/>
        <v>1</v>
      </c>
      <c r="H575" s="7" t="str">
        <f t="shared" si="62"/>
        <v>0</v>
      </c>
      <c r="I575" s="7">
        <v>17180410</v>
      </c>
      <c r="J575" s="8" t="s">
        <v>1020</v>
      </c>
      <c r="K575" s="8" t="s">
        <v>1304</v>
      </c>
      <c r="L575" s="8"/>
    </row>
    <row r="576" spans="2:12" ht="45" x14ac:dyDescent="0.25">
      <c r="B576" s="7" t="str">
        <f t="shared" si="56"/>
        <v>1</v>
      </c>
      <c r="C576" s="7" t="str">
        <f t="shared" si="57"/>
        <v>7</v>
      </c>
      <c r="D576" s="7" t="str">
        <f t="shared" si="58"/>
        <v>1</v>
      </c>
      <c r="E576" s="7" t="str">
        <f t="shared" si="59"/>
        <v>8</v>
      </c>
      <c r="F576" s="7" t="str">
        <f t="shared" si="60"/>
        <v>04</v>
      </c>
      <c r="G576" s="7" t="str">
        <f t="shared" si="61"/>
        <v>2</v>
      </c>
      <c r="H576" s="7" t="str">
        <f t="shared" si="62"/>
        <v>0</v>
      </c>
      <c r="I576" s="7">
        <v>17180420</v>
      </c>
      <c r="J576" s="8" t="s">
        <v>1021</v>
      </c>
      <c r="K576" s="8" t="s">
        <v>1305</v>
      </c>
      <c r="L576" s="8"/>
    </row>
    <row r="577" spans="2:12" ht="45" x14ac:dyDescent="0.25">
      <c r="B577" s="7" t="str">
        <f t="shared" si="56"/>
        <v>1</v>
      </c>
      <c r="C577" s="7" t="str">
        <f t="shared" si="57"/>
        <v>7</v>
      </c>
      <c r="D577" s="7" t="str">
        <f t="shared" si="58"/>
        <v>1</v>
      </c>
      <c r="E577" s="7" t="str">
        <f t="shared" si="59"/>
        <v>8</v>
      </c>
      <c r="F577" s="7" t="str">
        <f t="shared" si="60"/>
        <v>04</v>
      </c>
      <c r="G577" s="7" t="str">
        <f t="shared" si="61"/>
        <v>3</v>
      </c>
      <c r="H577" s="7" t="str">
        <f t="shared" si="62"/>
        <v>0</v>
      </c>
      <c r="I577" s="7">
        <v>17180430</v>
      </c>
      <c r="J577" s="8" t="s">
        <v>1022</v>
      </c>
      <c r="K577" s="8" t="s">
        <v>1306</v>
      </c>
      <c r="L577" s="8"/>
    </row>
    <row r="578" spans="2:12" ht="60" x14ac:dyDescent="0.25">
      <c r="B578" s="7" t="str">
        <f t="shared" si="56"/>
        <v>1</v>
      </c>
      <c r="C578" s="7" t="str">
        <f t="shared" si="57"/>
        <v>7</v>
      </c>
      <c r="D578" s="7" t="str">
        <f t="shared" si="58"/>
        <v>1</v>
      </c>
      <c r="E578" s="7" t="str">
        <f t="shared" si="59"/>
        <v>8</v>
      </c>
      <c r="F578" s="7" t="str">
        <f t="shared" si="60"/>
        <v>04</v>
      </c>
      <c r="G578" s="7" t="str">
        <f t="shared" si="61"/>
        <v>4</v>
      </c>
      <c r="H578" s="7" t="str">
        <f t="shared" si="62"/>
        <v>0</v>
      </c>
      <c r="I578" s="7">
        <v>17180440</v>
      </c>
      <c r="J578" s="8" t="s">
        <v>1023</v>
      </c>
      <c r="K578" s="8" t="s">
        <v>1307</v>
      </c>
      <c r="L578" s="8"/>
    </row>
    <row r="579" spans="2:12" ht="45" x14ac:dyDescent="0.25">
      <c r="B579" s="7" t="str">
        <f t="shared" ref="B579:B642" si="63">MID($I579,1,1)</f>
        <v>1</v>
      </c>
      <c r="C579" s="7" t="str">
        <f t="shared" ref="C579:C642" si="64">MID($I579,2,1)</f>
        <v>7</v>
      </c>
      <c r="D579" s="7" t="str">
        <f t="shared" ref="D579:D642" si="65">MID($I579,3,1)</f>
        <v>1</v>
      </c>
      <c r="E579" s="7" t="str">
        <f t="shared" ref="E579:E642" si="66">MID($I579,4,1)</f>
        <v>8</v>
      </c>
      <c r="F579" s="7" t="str">
        <f t="shared" ref="F579:F642" si="67">MID($I579,5,2)</f>
        <v>04</v>
      </c>
      <c r="G579" s="7" t="str">
        <f t="shared" ref="G579:G642" si="68">MID($I579,7,1)</f>
        <v>5</v>
      </c>
      <c r="H579" s="7" t="str">
        <f t="shared" ref="H579:H642" si="69">MID($I579,8,1)</f>
        <v>0</v>
      </c>
      <c r="I579" s="7">
        <v>17180450</v>
      </c>
      <c r="J579" s="8" t="s">
        <v>1024</v>
      </c>
      <c r="K579" s="8" t="s">
        <v>1308</v>
      </c>
      <c r="L579" s="8"/>
    </row>
    <row r="580" spans="2:12" ht="45" x14ac:dyDescent="0.25">
      <c r="B580" s="7" t="str">
        <f t="shared" si="63"/>
        <v>1</v>
      </c>
      <c r="C580" s="7" t="str">
        <f t="shared" si="64"/>
        <v>7</v>
      </c>
      <c r="D580" s="7" t="str">
        <f t="shared" si="65"/>
        <v>1</v>
      </c>
      <c r="E580" s="7" t="str">
        <f t="shared" si="66"/>
        <v>8</v>
      </c>
      <c r="F580" s="7" t="str">
        <f t="shared" si="67"/>
        <v>04</v>
      </c>
      <c r="G580" s="7" t="str">
        <f t="shared" si="68"/>
        <v>6</v>
      </c>
      <c r="H580" s="7" t="str">
        <f t="shared" si="69"/>
        <v>0</v>
      </c>
      <c r="I580" s="7">
        <v>17180460</v>
      </c>
      <c r="J580" s="8" t="s">
        <v>1019</v>
      </c>
      <c r="K580" s="8" t="s">
        <v>1309</v>
      </c>
      <c r="L580" s="8"/>
    </row>
    <row r="581" spans="2:12" ht="60" x14ac:dyDescent="0.25">
      <c r="B581" s="2" t="str">
        <f t="shared" si="63"/>
        <v>1</v>
      </c>
      <c r="C581" s="2" t="str">
        <f t="shared" si="64"/>
        <v>7</v>
      </c>
      <c r="D581" s="2" t="str">
        <f t="shared" si="65"/>
        <v>1</v>
      </c>
      <c r="E581" s="2" t="str">
        <f t="shared" si="66"/>
        <v>8</v>
      </c>
      <c r="F581" s="2" t="str">
        <f t="shared" si="67"/>
        <v>05</v>
      </c>
      <c r="G581" s="2" t="str">
        <f t="shared" si="68"/>
        <v>0</v>
      </c>
      <c r="H581" s="2" t="str">
        <f t="shared" si="69"/>
        <v>0</v>
      </c>
      <c r="I581" s="2">
        <v>17180500</v>
      </c>
      <c r="J581" s="3" t="s">
        <v>114</v>
      </c>
      <c r="K581" s="3" t="s">
        <v>115</v>
      </c>
      <c r="L581" s="3"/>
    </row>
    <row r="582" spans="2:12" ht="30" x14ac:dyDescent="0.25">
      <c r="B582" s="7" t="str">
        <f t="shared" si="63"/>
        <v>1</v>
      </c>
      <c r="C582" s="7" t="str">
        <f t="shared" si="64"/>
        <v>7</v>
      </c>
      <c r="D582" s="7" t="str">
        <f t="shared" si="65"/>
        <v>1</v>
      </c>
      <c r="E582" s="7" t="str">
        <f t="shared" si="66"/>
        <v>8</v>
      </c>
      <c r="F582" s="7" t="str">
        <f t="shared" si="67"/>
        <v>05</v>
      </c>
      <c r="G582" s="7" t="str">
        <f t="shared" si="68"/>
        <v>1</v>
      </c>
      <c r="H582" s="7" t="str">
        <f t="shared" si="69"/>
        <v>0</v>
      </c>
      <c r="I582" s="7">
        <v>17180510</v>
      </c>
      <c r="J582" s="8" t="s">
        <v>116</v>
      </c>
      <c r="K582" s="8" t="s">
        <v>117</v>
      </c>
      <c r="L582" s="8"/>
    </row>
    <row r="583" spans="2:12" ht="30" x14ac:dyDescent="0.25">
      <c r="B583" s="7" t="str">
        <f t="shared" si="63"/>
        <v>1</v>
      </c>
      <c r="C583" s="7" t="str">
        <f t="shared" si="64"/>
        <v>7</v>
      </c>
      <c r="D583" s="7" t="str">
        <f t="shared" si="65"/>
        <v>1</v>
      </c>
      <c r="E583" s="7" t="str">
        <f t="shared" si="66"/>
        <v>8</v>
      </c>
      <c r="F583" s="7" t="str">
        <f t="shared" si="67"/>
        <v>05</v>
      </c>
      <c r="G583" s="7" t="str">
        <f t="shared" si="68"/>
        <v>2</v>
      </c>
      <c r="H583" s="7" t="str">
        <f t="shared" si="69"/>
        <v>0</v>
      </c>
      <c r="I583" s="7">
        <v>17180520</v>
      </c>
      <c r="J583" s="8" t="s">
        <v>118</v>
      </c>
      <c r="K583" s="8" t="s">
        <v>119</v>
      </c>
      <c r="L583" s="8"/>
    </row>
    <row r="584" spans="2:12" ht="45" x14ac:dyDescent="0.25">
      <c r="B584" s="7" t="str">
        <f t="shared" si="63"/>
        <v>1</v>
      </c>
      <c r="C584" s="7" t="str">
        <f t="shared" si="64"/>
        <v>7</v>
      </c>
      <c r="D584" s="7" t="str">
        <f t="shared" si="65"/>
        <v>1</v>
      </c>
      <c r="E584" s="7" t="str">
        <f t="shared" si="66"/>
        <v>8</v>
      </c>
      <c r="F584" s="7" t="str">
        <f t="shared" si="67"/>
        <v>05</v>
      </c>
      <c r="G584" s="7" t="str">
        <f t="shared" si="68"/>
        <v>3</v>
      </c>
      <c r="H584" s="7" t="str">
        <f t="shared" si="69"/>
        <v>0</v>
      </c>
      <c r="I584" s="7">
        <v>17180530</v>
      </c>
      <c r="J584" s="8" t="s">
        <v>120</v>
      </c>
      <c r="K584" s="8" t="s">
        <v>121</v>
      </c>
      <c r="L584" s="8"/>
    </row>
    <row r="585" spans="2:12" ht="45" x14ac:dyDescent="0.25">
      <c r="B585" s="7" t="str">
        <f t="shared" si="63"/>
        <v>1</v>
      </c>
      <c r="C585" s="7" t="str">
        <f t="shared" si="64"/>
        <v>7</v>
      </c>
      <c r="D585" s="7" t="str">
        <f t="shared" si="65"/>
        <v>1</v>
      </c>
      <c r="E585" s="7" t="str">
        <f t="shared" si="66"/>
        <v>8</v>
      </c>
      <c r="F585" s="7" t="str">
        <f t="shared" si="67"/>
        <v>05</v>
      </c>
      <c r="G585" s="7" t="str">
        <f t="shared" si="68"/>
        <v>4</v>
      </c>
      <c r="H585" s="7" t="str">
        <f t="shared" si="69"/>
        <v>0</v>
      </c>
      <c r="I585" s="7">
        <v>17180540</v>
      </c>
      <c r="J585" s="8" t="s">
        <v>122</v>
      </c>
      <c r="K585" s="8" t="s">
        <v>123</v>
      </c>
      <c r="L585" s="8"/>
    </row>
    <row r="586" spans="2:12" ht="45" x14ac:dyDescent="0.25">
      <c r="B586" s="11" t="str">
        <f t="shared" si="63"/>
        <v>1</v>
      </c>
      <c r="C586" s="11" t="str">
        <f t="shared" si="64"/>
        <v>7</v>
      </c>
      <c r="D586" s="11" t="str">
        <f t="shared" si="65"/>
        <v>1</v>
      </c>
      <c r="E586" s="11" t="str">
        <f t="shared" si="66"/>
        <v>8</v>
      </c>
      <c r="F586" s="11" t="str">
        <f t="shared" si="67"/>
        <v>05</v>
      </c>
      <c r="G586" s="11" t="str">
        <f t="shared" si="68"/>
        <v>5</v>
      </c>
      <c r="H586" s="11" t="str">
        <f t="shared" si="69"/>
        <v>0</v>
      </c>
      <c r="I586" s="11">
        <v>17180550</v>
      </c>
      <c r="J586" s="14" t="s">
        <v>1438</v>
      </c>
      <c r="K586" s="14" t="s">
        <v>1442</v>
      </c>
      <c r="L586" s="14" t="s">
        <v>1459</v>
      </c>
    </row>
    <row r="587" spans="2:12" ht="45" x14ac:dyDescent="0.25">
      <c r="B587" s="11" t="str">
        <f t="shared" si="63"/>
        <v>1</v>
      </c>
      <c r="C587" s="11" t="str">
        <f t="shared" si="64"/>
        <v>7</v>
      </c>
      <c r="D587" s="11" t="str">
        <f t="shared" si="65"/>
        <v>1</v>
      </c>
      <c r="E587" s="11" t="str">
        <f t="shared" si="66"/>
        <v>8</v>
      </c>
      <c r="F587" s="11" t="str">
        <f t="shared" si="67"/>
        <v>05</v>
      </c>
      <c r="G587" s="11" t="str">
        <f t="shared" si="68"/>
        <v>6</v>
      </c>
      <c r="H587" s="11" t="str">
        <f t="shared" si="69"/>
        <v>0</v>
      </c>
      <c r="I587" s="11">
        <v>17180560</v>
      </c>
      <c r="J587" s="14" t="s">
        <v>1439</v>
      </c>
      <c r="K587" s="14" t="s">
        <v>1443</v>
      </c>
      <c r="L587" s="14" t="s">
        <v>1459</v>
      </c>
    </row>
    <row r="588" spans="2:12" ht="45" x14ac:dyDescent="0.25">
      <c r="B588" s="11" t="str">
        <f t="shared" si="63"/>
        <v>1</v>
      </c>
      <c r="C588" s="11" t="str">
        <f t="shared" si="64"/>
        <v>7</v>
      </c>
      <c r="D588" s="11" t="str">
        <f t="shared" si="65"/>
        <v>1</v>
      </c>
      <c r="E588" s="11" t="str">
        <f t="shared" si="66"/>
        <v>8</v>
      </c>
      <c r="F588" s="11" t="str">
        <f t="shared" si="67"/>
        <v>05</v>
      </c>
      <c r="G588" s="11" t="str">
        <f t="shared" si="68"/>
        <v>7</v>
      </c>
      <c r="H588" s="11" t="str">
        <f t="shared" si="69"/>
        <v>0</v>
      </c>
      <c r="I588" s="11">
        <v>17180570</v>
      </c>
      <c r="J588" s="14" t="s">
        <v>1440</v>
      </c>
      <c r="K588" s="14" t="s">
        <v>1444</v>
      </c>
      <c r="L588" s="14" t="s">
        <v>1459</v>
      </c>
    </row>
    <row r="589" spans="2:12" ht="60" x14ac:dyDescent="0.25">
      <c r="B589" s="11" t="str">
        <f t="shared" si="63"/>
        <v>1</v>
      </c>
      <c r="C589" s="11" t="str">
        <f t="shared" si="64"/>
        <v>7</v>
      </c>
      <c r="D589" s="11" t="str">
        <f t="shared" si="65"/>
        <v>1</v>
      </c>
      <c r="E589" s="11" t="str">
        <f t="shared" si="66"/>
        <v>8</v>
      </c>
      <c r="F589" s="11" t="str">
        <f t="shared" si="67"/>
        <v>05</v>
      </c>
      <c r="G589" s="11" t="str">
        <f t="shared" si="68"/>
        <v>8</v>
      </c>
      <c r="H589" s="11" t="str">
        <f t="shared" si="69"/>
        <v>0</v>
      </c>
      <c r="I589" s="11">
        <v>17180580</v>
      </c>
      <c r="J589" s="14" t="s">
        <v>1441</v>
      </c>
      <c r="K589" s="14" t="s">
        <v>1445</v>
      </c>
      <c r="L589" s="14" t="s">
        <v>1459</v>
      </c>
    </row>
    <row r="590" spans="2:12" ht="60" x14ac:dyDescent="0.25">
      <c r="B590" s="7" t="str">
        <f t="shared" si="63"/>
        <v>1</v>
      </c>
      <c r="C590" s="7" t="str">
        <f t="shared" si="64"/>
        <v>7</v>
      </c>
      <c r="D590" s="7" t="str">
        <f t="shared" si="65"/>
        <v>1</v>
      </c>
      <c r="E590" s="7" t="str">
        <f t="shared" si="66"/>
        <v>8</v>
      </c>
      <c r="F590" s="7" t="str">
        <f t="shared" si="67"/>
        <v>05</v>
      </c>
      <c r="G590" s="7" t="str">
        <f t="shared" si="68"/>
        <v>9</v>
      </c>
      <c r="H590" s="7" t="str">
        <f t="shared" si="69"/>
        <v>0</v>
      </c>
      <c r="I590" s="7">
        <v>17180590</v>
      </c>
      <c r="J590" s="8" t="s">
        <v>124</v>
      </c>
      <c r="K590" s="8" t="s">
        <v>125</v>
      </c>
      <c r="L590" s="8"/>
    </row>
    <row r="591" spans="2:12" ht="90" x14ac:dyDescent="0.25">
      <c r="B591" s="2" t="str">
        <f t="shared" si="63"/>
        <v>1</v>
      </c>
      <c r="C591" s="2" t="str">
        <f t="shared" si="64"/>
        <v>7</v>
      </c>
      <c r="D591" s="2" t="str">
        <f t="shared" si="65"/>
        <v>1</v>
      </c>
      <c r="E591" s="2" t="str">
        <f t="shared" si="66"/>
        <v>8</v>
      </c>
      <c r="F591" s="2" t="str">
        <f t="shared" si="67"/>
        <v>06</v>
      </c>
      <c r="G591" s="2" t="str">
        <f t="shared" si="68"/>
        <v>0</v>
      </c>
      <c r="H591" s="2" t="str">
        <f t="shared" si="69"/>
        <v>0</v>
      </c>
      <c r="I591" s="2">
        <v>17180600</v>
      </c>
      <c r="J591" s="3" t="s">
        <v>126</v>
      </c>
      <c r="K591" s="3" t="s">
        <v>127</v>
      </c>
      <c r="L591" s="3"/>
    </row>
    <row r="592" spans="2:12" ht="90" x14ac:dyDescent="0.25">
      <c r="B592" s="7" t="str">
        <f t="shared" si="63"/>
        <v>1</v>
      </c>
      <c r="C592" s="7" t="str">
        <f t="shared" si="64"/>
        <v>7</v>
      </c>
      <c r="D592" s="7" t="str">
        <f t="shared" si="65"/>
        <v>1</v>
      </c>
      <c r="E592" s="7" t="str">
        <f t="shared" si="66"/>
        <v>8</v>
      </c>
      <c r="F592" s="7" t="str">
        <f t="shared" si="67"/>
        <v>06</v>
      </c>
      <c r="G592" s="7" t="str">
        <f t="shared" si="68"/>
        <v>1</v>
      </c>
      <c r="H592" s="7" t="str">
        <f t="shared" si="69"/>
        <v>0</v>
      </c>
      <c r="I592" s="7">
        <v>17180610</v>
      </c>
      <c r="J592" s="8" t="s">
        <v>126</v>
      </c>
      <c r="K592" s="8" t="s">
        <v>127</v>
      </c>
      <c r="L592" s="8"/>
    </row>
    <row r="593" spans="2:12" ht="30" x14ac:dyDescent="0.25">
      <c r="B593" s="2" t="str">
        <f t="shared" si="63"/>
        <v>1</v>
      </c>
      <c r="C593" s="2" t="str">
        <f t="shared" si="64"/>
        <v>7</v>
      </c>
      <c r="D593" s="2" t="str">
        <f t="shared" si="65"/>
        <v>1</v>
      </c>
      <c r="E593" s="2" t="str">
        <f t="shared" si="66"/>
        <v>8</v>
      </c>
      <c r="F593" s="2" t="str">
        <f t="shared" si="67"/>
        <v>07</v>
      </c>
      <c r="G593" s="2" t="str">
        <f t="shared" si="68"/>
        <v>0</v>
      </c>
      <c r="H593" s="2" t="str">
        <f t="shared" si="69"/>
        <v>0</v>
      </c>
      <c r="I593" s="2">
        <v>17180700</v>
      </c>
      <c r="J593" s="3" t="s">
        <v>129</v>
      </c>
      <c r="K593" s="3" t="s">
        <v>128</v>
      </c>
      <c r="L593" s="3"/>
    </row>
    <row r="594" spans="2:12" ht="30" x14ac:dyDescent="0.25">
      <c r="B594" s="7" t="str">
        <f t="shared" si="63"/>
        <v>1</v>
      </c>
      <c r="C594" s="7" t="str">
        <f t="shared" si="64"/>
        <v>7</v>
      </c>
      <c r="D594" s="7" t="str">
        <f t="shared" si="65"/>
        <v>1</v>
      </c>
      <c r="E594" s="7" t="str">
        <f t="shared" si="66"/>
        <v>8</v>
      </c>
      <c r="F594" s="7" t="str">
        <f t="shared" si="67"/>
        <v>07</v>
      </c>
      <c r="G594" s="7" t="str">
        <f t="shared" si="68"/>
        <v>1</v>
      </c>
      <c r="H594" s="7" t="str">
        <f t="shared" si="69"/>
        <v>0</v>
      </c>
      <c r="I594" s="7">
        <v>17180710</v>
      </c>
      <c r="J594" s="8" t="s">
        <v>129</v>
      </c>
      <c r="K594" s="8" t="s">
        <v>128</v>
      </c>
      <c r="L594" s="8"/>
    </row>
    <row r="595" spans="2:12" ht="45" x14ac:dyDescent="0.25">
      <c r="B595" s="32" t="str">
        <f t="shared" si="63"/>
        <v>1</v>
      </c>
      <c r="C595" s="32" t="str">
        <f t="shared" si="64"/>
        <v>7</v>
      </c>
      <c r="D595" s="32" t="str">
        <f t="shared" si="65"/>
        <v>1</v>
      </c>
      <c r="E595" s="32" t="str">
        <f t="shared" si="66"/>
        <v>8</v>
      </c>
      <c r="F595" s="32" t="str">
        <f t="shared" si="67"/>
        <v>08</v>
      </c>
      <c r="G595" s="32" t="str">
        <f t="shared" si="68"/>
        <v>0</v>
      </c>
      <c r="H595" s="32" t="str">
        <f t="shared" si="69"/>
        <v>0</v>
      </c>
      <c r="I595" s="32">
        <v>17180800</v>
      </c>
      <c r="J595" s="33" t="s">
        <v>936</v>
      </c>
      <c r="K595" s="33" t="s">
        <v>937</v>
      </c>
      <c r="L595" s="34" t="s">
        <v>1504</v>
      </c>
    </row>
    <row r="596" spans="2:12" ht="91.5" customHeight="1" x14ac:dyDescent="0.25">
      <c r="B596" s="19" t="str">
        <f t="shared" si="63"/>
        <v>1</v>
      </c>
      <c r="C596" s="19" t="str">
        <f t="shared" si="64"/>
        <v>7</v>
      </c>
      <c r="D596" s="19" t="str">
        <f t="shared" si="65"/>
        <v>1</v>
      </c>
      <c r="E596" s="19" t="str">
        <f t="shared" si="66"/>
        <v>8</v>
      </c>
      <c r="F596" s="19" t="str">
        <f t="shared" si="67"/>
        <v>08</v>
      </c>
      <c r="G596" s="19" t="str">
        <f t="shared" si="68"/>
        <v>1</v>
      </c>
      <c r="H596" s="19" t="str">
        <f t="shared" si="69"/>
        <v>0</v>
      </c>
      <c r="I596" s="19">
        <v>17180810</v>
      </c>
      <c r="J596" s="18" t="s">
        <v>936</v>
      </c>
      <c r="K596" s="18" t="s">
        <v>937</v>
      </c>
      <c r="L596" s="21" t="s">
        <v>1504</v>
      </c>
    </row>
    <row r="597" spans="2:12" ht="60" x14ac:dyDescent="0.25">
      <c r="B597" s="2" t="str">
        <f t="shared" si="63"/>
        <v>1</v>
      </c>
      <c r="C597" s="2" t="str">
        <f t="shared" si="64"/>
        <v>7</v>
      </c>
      <c r="D597" s="2" t="str">
        <f t="shared" si="65"/>
        <v>1</v>
      </c>
      <c r="E597" s="2" t="str">
        <f t="shared" si="66"/>
        <v>8</v>
      </c>
      <c r="F597" s="2" t="str">
        <f t="shared" si="67"/>
        <v>09</v>
      </c>
      <c r="G597" s="2" t="str">
        <f t="shared" si="68"/>
        <v>0</v>
      </c>
      <c r="H597" s="2" t="str">
        <f t="shared" si="69"/>
        <v>0</v>
      </c>
      <c r="I597" s="2">
        <v>17180900</v>
      </c>
      <c r="J597" s="3" t="s">
        <v>995</v>
      </c>
      <c r="K597" s="3" t="s">
        <v>996</v>
      </c>
      <c r="L597" s="3"/>
    </row>
    <row r="598" spans="2:12" ht="60" x14ac:dyDescent="0.25">
      <c r="B598" s="7" t="str">
        <f t="shared" si="63"/>
        <v>1</v>
      </c>
      <c r="C598" s="7" t="str">
        <f t="shared" si="64"/>
        <v>7</v>
      </c>
      <c r="D598" s="7" t="str">
        <f t="shared" si="65"/>
        <v>1</v>
      </c>
      <c r="E598" s="7" t="str">
        <f t="shared" si="66"/>
        <v>8</v>
      </c>
      <c r="F598" s="7" t="str">
        <f t="shared" si="67"/>
        <v>09</v>
      </c>
      <c r="G598" s="7" t="str">
        <f t="shared" si="68"/>
        <v>1</v>
      </c>
      <c r="H598" s="7" t="str">
        <f t="shared" si="69"/>
        <v>0</v>
      </c>
      <c r="I598" s="7">
        <v>17180910</v>
      </c>
      <c r="J598" s="8" t="s">
        <v>167</v>
      </c>
      <c r="K598" s="8" t="s">
        <v>996</v>
      </c>
      <c r="L598" s="8"/>
    </row>
    <row r="599" spans="2:12" ht="75" x14ac:dyDescent="0.25">
      <c r="B599" s="2" t="str">
        <f t="shared" si="63"/>
        <v>1</v>
      </c>
      <c r="C599" s="2" t="str">
        <f t="shared" si="64"/>
        <v>7</v>
      </c>
      <c r="D599" s="2" t="str">
        <f t="shared" si="65"/>
        <v>1</v>
      </c>
      <c r="E599" s="2" t="str">
        <f t="shared" si="66"/>
        <v>8</v>
      </c>
      <c r="F599" s="2" t="str">
        <f t="shared" si="67"/>
        <v>10</v>
      </c>
      <c r="G599" s="2" t="str">
        <f t="shared" si="68"/>
        <v>0</v>
      </c>
      <c r="H599" s="2" t="str">
        <f t="shared" si="69"/>
        <v>0</v>
      </c>
      <c r="I599" s="2">
        <v>17181000</v>
      </c>
      <c r="J599" s="3" t="s">
        <v>172</v>
      </c>
      <c r="K599" s="3" t="s">
        <v>173</v>
      </c>
      <c r="L599" s="3"/>
    </row>
    <row r="600" spans="2:12" ht="75" x14ac:dyDescent="0.25">
      <c r="B600" s="7" t="str">
        <f t="shared" si="63"/>
        <v>1</v>
      </c>
      <c r="C600" s="7" t="str">
        <f t="shared" si="64"/>
        <v>7</v>
      </c>
      <c r="D600" s="7" t="str">
        <f t="shared" si="65"/>
        <v>1</v>
      </c>
      <c r="E600" s="7" t="str">
        <f t="shared" si="66"/>
        <v>8</v>
      </c>
      <c r="F600" s="7" t="str">
        <f t="shared" si="67"/>
        <v>10</v>
      </c>
      <c r="G600" s="7" t="str">
        <f t="shared" si="68"/>
        <v>1</v>
      </c>
      <c r="H600" s="7" t="str">
        <f t="shared" si="69"/>
        <v>0</v>
      </c>
      <c r="I600" s="7">
        <v>17181010</v>
      </c>
      <c r="J600" s="8" t="s">
        <v>174</v>
      </c>
      <c r="K600" s="8" t="s">
        <v>175</v>
      </c>
      <c r="L600" s="8"/>
    </row>
    <row r="601" spans="2:12" ht="30" x14ac:dyDescent="0.25">
      <c r="B601" s="7" t="str">
        <f t="shared" si="63"/>
        <v>1</v>
      </c>
      <c r="C601" s="7" t="str">
        <f t="shared" si="64"/>
        <v>7</v>
      </c>
      <c r="D601" s="7" t="str">
        <f t="shared" si="65"/>
        <v>1</v>
      </c>
      <c r="E601" s="7" t="str">
        <f t="shared" si="66"/>
        <v>8</v>
      </c>
      <c r="F601" s="7" t="str">
        <f t="shared" si="67"/>
        <v>10</v>
      </c>
      <c r="G601" s="7" t="str">
        <f t="shared" si="68"/>
        <v>2</v>
      </c>
      <c r="H601" s="7" t="str">
        <f t="shared" si="69"/>
        <v>0</v>
      </c>
      <c r="I601" s="7">
        <v>17181020</v>
      </c>
      <c r="J601" s="8" t="s">
        <v>176</v>
      </c>
      <c r="K601" s="8" t="s">
        <v>177</v>
      </c>
      <c r="L601" s="8"/>
    </row>
    <row r="602" spans="2:12" ht="60" x14ac:dyDescent="0.25">
      <c r="B602" s="7" t="str">
        <f t="shared" si="63"/>
        <v>1</v>
      </c>
      <c r="C602" s="7" t="str">
        <f t="shared" si="64"/>
        <v>7</v>
      </c>
      <c r="D602" s="7" t="str">
        <f t="shared" si="65"/>
        <v>1</v>
      </c>
      <c r="E602" s="7" t="str">
        <f t="shared" si="66"/>
        <v>8</v>
      </c>
      <c r="F602" s="7" t="str">
        <f t="shared" si="67"/>
        <v>10</v>
      </c>
      <c r="G602" s="7" t="str">
        <f t="shared" si="68"/>
        <v>3</v>
      </c>
      <c r="H602" s="7" t="str">
        <f t="shared" si="69"/>
        <v>0</v>
      </c>
      <c r="I602" s="7">
        <v>17181030</v>
      </c>
      <c r="J602" s="8" t="s">
        <v>178</v>
      </c>
      <c r="K602" s="8" t="s">
        <v>179</v>
      </c>
      <c r="L602" s="8"/>
    </row>
    <row r="603" spans="2:12" ht="30" x14ac:dyDescent="0.25">
      <c r="B603" s="7" t="str">
        <f t="shared" si="63"/>
        <v>1</v>
      </c>
      <c r="C603" s="7" t="str">
        <f t="shared" si="64"/>
        <v>7</v>
      </c>
      <c r="D603" s="7" t="str">
        <f t="shared" si="65"/>
        <v>1</v>
      </c>
      <c r="E603" s="7" t="str">
        <f t="shared" si="66"/>
        <v>8</v>
      </c>
      <c r="F603" s="7" t="str">
        <f t="shared" si="67"/>
        <v>10</v>
      </c>
      <c r="G603" s="7" t="str">
        <f t="shared" si="68"/>
        <v>4</v>
      </c>
      <c r="H603" s="7" t="str">
        <f t="shared" si="69"/>
        <v>0</v>
      </c>
      <c r="I603" s="7">
        <v>17181040</v>
      </c>
      <c r="J603" s="8" t="s">
        <v>180</v>
      </c>
      <c r="K603" s="8" t="s">
        <v>181</v>
      </c>
      <c r="L603" s="8"/>
    </row>
    <row r="604" spans="2:12" ht="30" x14ac:dyDescent="0.25">
      <c r="B604" s="7" t="str">
        <f t="shared" si="63"/>
        <v>1</v>
      </c>
      <c r="C604" s="7" t="str">
        <f t="shared" si="64"/>
        <v>7</v>
      </c>
      <c r="D604" s="7" t="str">
        <f t="shared" si="65"/>
        <v>1</v>
      </c>
      <c r="E604" s="7" t="str">
        <f t="shared" si="66"/>
        <v>8</v>
      </c>
      <c r="F604" s="7" t="str">
        <f t="shared" si="67"/>
        <v>10</v>
      </c>
      <c r="G604" s="7" t="str">
        <f t="shared" si="68"/>
        <v>5</v>
      </c>
      <c r="H604" s="7" t="str">
        <f t="shared" si="69"/>
        <v>0</v>
      </c>
      <c r="I604" s="7">
        <v>17181050</v>
      </c>
      <c r="J604" s="8" t="s">
        <v>182</v>
      </c>
      <c r="K604" s="8" t="s">
        <v>183</v>
      </c>
      <c r="L604" s="8"/>
    </row>
    <row r="605" spans="2:12" ht="30" x14ac:dyDescent="0.25">
      <c r="B605" s="7" t="str">
        <f t="shared" si="63"/>
        <v>1</v>
      </c>
      <c r="C605" s="7" t="str">
        <f t="shared" si="64"/>
        <v>7</v>
      </c>
      <c r="D605" s="7" t="str">
        <f t="shared" si="65"/>
        <v>1</v>
      </c>
      <c r="E605" s="7" t="str">
        <f t="shared" si="66"/>
        <v>8</v>
      </c>
      <c r="F605" s="7" t="str">
        <f t="shared" si="67"/>
        <v>10</v>
      </c>
      <c r="G605" s="7" t="str">
        <f t="shared" si="68"/>
        <v>9</v>
      </c>
      <c r="H605" s="7" t="str">
        <f t="shared" si="69"/>
        <v>0</v>
      </c>
      <c r="I605" s="7">
        <v>17181090</v>
      </c>
      <c r="J605" s="8" t="s">
        <v>184</v>
      </c>
      <c r="K605" s="8" t="s">
        <v>185</v>
      </c>
      <c r="L605" s="8"/>
    </row>
    <row r="606" spans="2:12" ht="45" x14ac:dyDescent="0.25">
      <c r="B606" s="2" t="str">
        <f t="shared" si="63"/>
        <v>1</v>
      </c>
      <c r="C606" s="2" t="str">
        <f t="shared" si="64"/>
        <v>7</v>
      </c>
      <c r="D606" s="2" t="str">
        <f t="shared" si="65"/>
        <v>1</v>
      </c>
      <c r="E606" s="2" t="str">
        <f t="shared" si="66"/>
        <v>8</v>
      </c>
      <c r="F606" s="2" t="str">
        <f t="shared" si="67"/>
        <v>11</v>
      </c>
      <c r="G606" s="2" t="str">
        <f t="shared" si="68"/>
        <v>0</v>
      </c>
      <c r="H606" s="2" t="str">
        <f t="shared" si="69"/>
        <v>0</v>
      </c>
      <c r="I606" s="2">
        <v>17181100</v>
      </c>
      <c r="J606" s="3" t="s">
        <v>938</v>
      </c>
      <c r="K606" s="3" t="s">
        <v>939</v>
      </c>
      <c r="L606" s="3"/>
    </row>
    <row r="607" spans="2:12" ht="45" x14ac:dyDescent="0.25">
      <c r="B607" s="7" t="str">
        <f t="shared" si="63"/>
        <v>1</v>
      </c>
      <c r="C607" s="7" t="str">
        <f t="shared" si="64"/>
        <v>7</v>
      </c>
      <c r="D607" s="7" t="str">
        <f t="shared" si="65"/>
        <v>1</v>
      </c>
      <c r="E607" s="7" t="str">
        <f t="shared" si="66"/>
        <v>8</v>
      </c>
      <c r="F607" s="7" t="str">
        <f t="shared" si="67"/>
        <v>11</v>
      </c>
      <c r="G607" s="7" t="str">
        <f t="shared" si="68"/>
        <v>1</v>
      </c>
      <c r="H607" s="7" t="str">
        <f t="shared" si="69"/>
        <v>0</v>
      </c>
      <c r="I607" s="7">
        <v>17181110</v>
      </c>
      <c r="J607" s="8" t="s">
        <v>940</v>
      </c>
      <c r="K607" s="8" t="s">
        <v>941</v>
      </c>
      <c r="L607" s="8"/>
    </row>
    <row r="608" spans="2:12" ht="45" x14ac:dyDescent="0.25">
      <c r="B608" s="2" t="str">
        <f t="shared" si="63"/>
        <v>1</v>
      </c>
      <c r="C608" s="2" t="str">
        <f t="shared" si="64"/>
        <v>7</v>
      </c>
      <c r="D608" s="2" t="str">
        <f t="shared" si="65"/>
        <v>1</v>
      </c>
      <c r="E608" s="2" t="str">
        <f t="shared" si="66"/>
        <v>8</v>
      </c>
      <c r="F608" s="2" t="str">
        <f t="shared" si="67"/>
        <v>12</v>
      </c>
      <c r="G608" s="2" t="str">
        <f t="shared" si="68"/>
        <v>0</v>
      </c>
      <c r="H608" s="2" t="str">
        <f t="shared" si="69"/>
        <v>0</v>
      </c>
      <c r="I608" s="2">
        <v>17181200</v>
      </c>
      <c r="J608" s="3" t="s">
        <v>113</v>
      </c>
      <c r="K608" s="3" t="s">
        <v>1334</v>
      </c>
      <c r="L608" s="3"/>
    </row>
    <row r="609" spans="2:12" ht="45" x14ac:dyDescent="0.25">
      <c r="B609" s="7" t="str">
        <f t="shared" si="63"/>
        <v>1</v>
      </c>
      <c r="C609" s="7" t="str">
        <f t="shared" si="64"/>
        <v>7</v>
      </c>
      <c r="D609" s="7" t="str">
        <f t="shared" si="65"/>
        <v>1</v>
      </c>
      <c r="E609" s="7" t="str">
        <f t="shared" si="66"/>
        <v>8</v>
      </c>
      <c r="F609" s="7" t="str">
        <f t="shared" si="67"/>
        <v>12</v>
      </c>
      <c r="G609" s="7" t="str">
        <f t="shared" si="68"/>
        <v>1</v>
      </c>
      <c r="H609" s="7" t="str">
        <f t="shared" si="69"/>
        <v>0</v>
      </c>
      <c r="I609" s="7">
        <v>17181210</v>
      </c>
      <c r="J609" s="8" t="s">
        <v>113</v>
      </c>
      <c r="K609" s="8" t="s">
        <v>1334</v>
      </c>
      <c r="L609" s="8"/>
    </row>
    <row r="610" spans="2:12" ht="105" x14ac:dyDescent="0.25">
      <c r="B610" s="10" t="str">
        <f t="shared" si="63"/>
        <v>1</v>
      </c>
      <c r="C610" s="10" t="str">
        <f t="shared" si="64"/>
        <v>7</v>
      </c>
      <c r="D610" s="10" t="str">
        <f t="shared" si="65"/>
        <v>1</v>
      </c>
      <c r="E610" s="10" t="str">
        <f t="shared" si="66"/>
        <v>8</v>
      </c>
      <c r="F610" s="10" t="str">
        <f t="shared" si="67"/>
        <v>13</v>
      </c>
      <c r="G610" s="10" t="str">
        <f t="shared" si="68"/>
        <v>0</v>
      </c>
      <c r="H610" s="10" t="str">
        <f t="shared" si="69"/>
        <v>0</v>
      </c>
      <c r="I610" s="10">
        <v>17181300</v>
      </c>
      <c r="J610" s="12" t="s">
        <v>1375</v>
      </c>
      <c r="K610" s="12" t="s">
        <v>1374</v>
      </c>
      <c r="L610" s="12" t="s">
        <v>1459</v>
      </c>
    </row>
    <row r="611" spans="2:12" ht="105" x14ac:dyDescent="0.25">
      <c r="B611" s="11" t="str">
        <f t="shared" si="63"/>
        <v>1</v>
      </c>
      <c r="C611" s="11" t="str">
        <f t="shared" si="64"/>
        <v>7</v>
      </c>
      <c r="D611" s="11" t="str">
        <f t="shared" si="65"/>
        <v>1</v>
      </c>
      <c r="E611" s="11" t="str">
        <f t="shared" si="66"/>
        <v>8</v>
      </c>
      <c r="F611" s="11" t="str">
        <f t="shared" si="67"/>
        <v>13</v>
      </c>
      <c r="G611" s="11" t="str">
        <f t="shared" si="68"/>
        <v>1</v>
      </c>
      <c r="H611" s="11" t="str">
        <f t="shared" si="69"/>
        <v>0</v>
      </c>
      <c r="I611" s="11">
        <v>17181310</v>
      </c>
      <c r="J611" s="14" t="s">
        <v>1375</v>
      </c>
      <c r="K611" s="14" t="s">
        <v>1374</v>
      </c>
      <c r="L611" s="14" t="s">
        <v>1459</v>
      </c>
    </row>
    <row r="612" spans="2:12" ht="30" x14ac:dyDescent="0.25">
      <c r="B612" s="2" t="str">
        <f t="shared" si="63"/>
        <v>1</v>
      </c>
      <c r="C612" s="2" t="str">
        <f t="shared" si="64"/>
        <v>7</v>
      </c>
      <c r="D612" s="2" t="str">
        <f t="shared" si="65"/>
        <v>1</v>
      </c>
      <c r="E612" s="2" t="str">
        <f t="shared" si="66"/>
        <v>8</v>
      </c>
      <c r="F612" s="2" t="str">
        <f t="shared" si="67"/>
        <v>99</v>
      </c>
      <c r="G612" s="2" t="str">
        <f t="shared" si="68"/>
        <v>0</v>
      </c>
      <c r="H612" s="2" t="str">
        <f t="shared" si="69"/>
        <v>0</v>
      </c>
      <c r="I612" s="2">
        <v>17189900</v>
      </c>
      <c r="J612" s="3" t="s">
        <v>130</v>
      </c>
      <c r="K612" s="3" t="s">
        <v>131</v>
      </c>
      <c r="L612" s="3"/>
    </row>
    <row r="613" spans="2:12" ht="74.25" customHeight="1" x14ac:dyDescent="0.25">
      <c r="B613" s="7" t="str">
        <f t="shared" si="63"/>
        <v>1</v>
      </c>
      <c r="C613" s="7" t="str">
        <f t="shared" si="64"/>
        <v>7</v>
      </c>
      <c r="D613" s="7" t="str">
        <f t="shared" si="65"/>
        <v>1</v>
      </c>
      <c r="E613" s="7" t="str">
        <f t="shared" si="66"/>
        <v>8</v>
      </c>
      <c r="F613" s="7" t="str">
        <f t="shared" si="67"/>
        <v>99</v>
      </c>
      <c r="G613" s="7" t="str">
        <f t="shared" si="68"/>
        <v>1</v>
      </c>
      <c r="H613" s="7" t="str">
        <f t="shared" si="69"/>
        <v>0</v>
      </c>
      <c r="I613" s="7">
        <v>17189910</v>
      </c>
      <c r="J613" s="8" t="s">
        <v>130</v>
      </c>
      <c r="K613" s="8" t="s">
        <v>131</v>
      </c>
      <c r="L613" s="8"/>
    </row>
    <row r="614" spans="2:12" ht="74.25" customHeight="1" x14ac:dyDescent="0.25">
      <c r="B614" s="27" t="str">
        <f t="shared" si="63"/>
        <v>1</v>
      </c>
      <c r="C614" s="27" t="str">
        <f t="shared" si="64"/>
        <v>7</v>
      </c>
      <c r="D614" s="27" t="str">
        <f t="shared" si="65"/>
        <v>2</v>
      </c>
      <c r="E614" s="27" t="str">
        <f t="shared" si="66"/>
        <v>0</v>
      </c>
      <c r="F614" s="27" t="str">
        <f t="shared" si="67"/>
        <v>00</v>
      </c>
      <c r="G614" s="27" t="str">
        <f t="shared" si="68"/>
        <v>0</v>
      </c>
      <c r="H614" s="27" t="str">
        <f t="shared" si="69"/>
        <v>0</v>
      </c>
      <c r="I614" s="27">
        <v>17200000</v>
      </c>
      <c r="J614" s="26" t="s">
        <v>670</v>
      </c>
      <c r="K614" s="26" t="s">
        <v>671</v>
      </c>
      <c r="L614" s="26"/>
    </row>
    <row r="615" spans="2:12" ht="60" x14ac:dyDescent="0.25">
      <c r="B615" s="7" t="str">
        <f t="shared" si="63"/>
        <v>1</v>
      </c>
      <c r="C615" s="7" t="str">
        <f t="shared" si="64"/>
        <v>7</v>
      </c>
      <c r="D615" s="7" t="str">
        <f t="shared" si="65"/>
        <v>2</v>
      </c>
      <c r="E615" s="7" t="str">
        <f t="shared" si="66"/>
        <v>0</v>
      </c>
      <c r="F615" s="7" t="str">
        <f t="shared" si="67"/>
        <v>00</v>
      </c>
      <c r="G615" s="7" t="str">
        <f t="shared" si="68"/>
        <v>1</v>
      </c>
      <c r="H615" s="7" t="str">
        <f t="shared" si="69"/>
        <v>0</v>
      </c>
      <c r="I615" s="7">
        <v>17200010</v>
      </c>
      <c r="J615" s="8" t="s">
        <v>670</v>
      </c>
      <c r="K615" s="8" t="s">
        <v>671</v>
      </c>
      <c r="L615" s="8"/>
    </row>
    <row r="616" spans="2:12" ht="45" x14ac:dyDescent="0.25">
      <c r="B616" s="17" t="str">
        <f t="shared" si="63"/>
        <v>1</v>
      </c>
      <c r="C616" s="17" t="str">
        <f t="shared" si="64"/>
        <v>7</v>
      </c>
      <c r="D616" s="17" t="str">
        <f t="shared" si="65"/>
        <v>2</v>
      </c>
      <c r="E616" s="17" t="str">
        <f t="shared" si="66"/>
        <v>8</v>
      </c>
      <c r="F616" s="17" t="str">
        <f t="shared" si="67"/>
        <v>00</v>
      </c>
      <c r="G616" s="17" t="str">
        <f t="shared" si="68"/>
        <v>0</v>
      </c>
      <c r="H616" s="17" t="str">
        <f t="shared" si="69"/>
        <v>0</v>
      </c>
      <c r="I616" s="17">
        <v>17280000</v>
      </c>
      <c r="J616" s="16" t="s">
        <v>900</v>
      </c>
      <c r="K616" s="16" t="s">
        <v>132</v>
      </c>
      <c r="L616" s="16"/>
    </row>
    <row r="617" spans="2:12" ht="120" x14ac:dyDescent="0.25">
      <c r="B617" s="2" t="str">
        <f t="shared" si="63"/>
        <v>1</v>
      </c>
      <c r="C617" s="2" t="str">
        <f t="shared" si="64"/>
        <v>7</v>
      </c>
      <c r="D617" s="2" t="str">
        <f t="shared" si="65"/>
        <v>2</v>
      </c>
      <c r="E617" s="2" t="str">
        <f t="shared" si="66"/>
        <v>8</v>
      </c>
      <c r="F617" s="2" t="str">
        <f t="shared" si="67"/>
        <v>01</v>
      </c>
      <c r="G617" s="2" t="str">
        <f t="shared" si="68"/>
        <v>0</v>
      </c>
      <c r="H617" s="2" t="str">
        <f t="shared" si="69"/>
        <v>0</v>
      </c>
      <c r="I617" s="2">
        <v>17280100</v>
      </c>
      <c r="J617" s="3" t="s">
        <v>133</v>
      </c>
      <c r="K617" s="3" t="s">
        <v>134</v>
      </c>
      <c r="L617" s="3"/>
    </row>
    <row r="618" spans="2:12" ht="45" x14ac:dyDescent="0.25">
      <c r="B618" s="7" t="str">
        <f t="shared" si="63"/>
        <v>1</v>
      </c>
      <c r="C618" s="7" t="str">
        <f t="shared" si="64"/>
        <v>7</v>
      </c>
      <c r="D618" s="7" t="str">
        <f t="shared" si="65"/>
        <v>2</v>
      </c>
      <c r="E618" s="7" t="str">
        <f t="shared" si="66"/>
        <v>8</v>
      </c>
      <c r="F618" s="7" t="str">
        <f t="shared" si="67"/>
        <v>01</v>
      </c>
      <c r="G618" s="7" t="str">
        <f t="shared" si="68"/>
        <v>1</v>
      </c>
      <c r="H618" s="7" t="str">
        <f t="shared" si="69"/>
        <v>0</v>
      </c>
      <c r="I618" s="7">
        <v>17280110</v>
      </c>
      <c r="J618" s="8" t="s">
        <v>135</v>
      </c>
      <c r="K618" s="8" t="s">
        <v>136</v>
      </c>
      <c r="L618" s="8"/>
    </row>
    <row r="619" spans="2:12" ht="45" x14ac:dyDescent="0.25">
      <c r="B619" s="7" t="str">
        <f t="shared" si="63"/>
        <v>1</v>
      </c>
      <c r="C619" s="7" t="str">
        <f t="shared" si="64"/>
        <v>7</v>
      </c>
      <c r="D619" s="7" t="str">
        <f t="shared" si="65"/>
        <v>2</v>
      </c>
      <c r="E619" s="7" t="str">
        <f t="shared" si="66"/>
        <v>8</v>
      </c>
      <c r="F619" s="7" t="str">
        <f t="shared" si="67"/>
        <v>01</v>
      </c>
      <c r="G619" s="7" t="str">
        <f t="shared" si="68"/>
        <v>2</v>
      </c>
      <c r="H619" s="7" t="str">
        <f t="shared" si="69"/>
        <v>0</v>
      </c>
      <c r="I619" s="7">
        <v>17280120</v>
      </c>
      <c r="J619" s="8" t="s">
        <v>137</v>
      </c>
      <c r="K619" s="8" t="s">
        <v>138</v>
      </c>
      <c r="L619" s="8"/>
    </row>
    <row r="620" spans="2:12" ht="45" x14ac:dyDescent="0.25">
      <c r="B620" s="7" t="str">
        <f t="shared" si="63"/>
        <v>1</v>
      </c>
      <c r="C620" s="7" t="str">
        <f t="shared" si="64"/>
        <v>7</v>
      </c>
      <c r="D620" s="7" t="str">
        <f t="shared" si="65"/>
        <v>2</v>
      </c>
      <c r="E620" s="7" t="str">
        <f t="shared" si="66"/>
        <v>8</v>
      </c>
      <c r="F620" s="7" t="str">
        <f t="shared" si="67"/>
        <v>01</v>
      </c>
      <c r="G620" s="7" t="str">
        <f t="shared" si="68"/>
        <v>3</v>
      </c>
      <c r="H620" s="7" t="str">
        <f t="shared" si="69"/>
        <v>0</v>
      </c>
      <c r="I620" s="7">
        <v>17280130</v>
      </c>
      <c r="J620" s="8" t="s">
        <v>139</v>
      </c>
      <c r="K620" s="8" t="s">
        <v>140</v>
      </c>
      <c r="L620" s="8"/>
    </row>
    <row r="621" spans="2:12" ht="45" x14ac:dyDescent="0.25">
      <c r="B621" s="7" t="str">
        <f t="shared" si="63"/>
        <v>1</v>
      </c>
      <c r="C621" s="7" t="str">
        <f t="shared" si="64"/>
        <v>7</v>
      </c>
      <c r="D621" s="7" t="str">
        <f t="shared" si="65"/>
        <v>2</v>
      </c>
      <c r="E621" s="7" t="str">
        <f t="shared" si="66"/>
        <v>8</v>
      </c>
      <c r="F621" s="7" t="str">
        <f t="shared" si="67"/>
        <v>01</v>
      </c>
      <c r="G621" s="7" t="str">
        <f t="shared" si="68"/>
        <v>4</v>
      </c>
      <c r="H621" s="7" t="str">
        <f t="shared" si="69"/>
        <v>0</v>
      </c>
      <c r="I621" s="7">
        <v>17280140</v>
      </c>
      <c r="J621" s="8" t="s">
        <v>103</v>
      </c>
      <c r="K621" s="8" t="s">
        <v>141</v>
      </c>
      <c r="L621" s="8"/>
    </row>
    <row r="622" spans="2:12" ht="30" x14ac:dyDescent="0.25">
      <c r="B622" s="7" t="str">
        <f t="shared" si="63"/>
        <v>1</v>
      </c>
      <c r="C622" s="7" t="str">
        <f t="shared" si="64"/>
        <v>7</v>
      </c>
      <c r="D622" s="7" t="str">
        <f t="shared" si="65"/>
        <v>2</v>
      </c>
      <c r="E622" s="7" t="str">
        <f t="shared" si="66"/>
        <v>8</v>
      </c>
      <c r="F622" s="7" t="str">
        <f t="shared" si="67"/>
        <v>01</v>
      </c>
      <c r="G622" s="7" t="str">
        <f t="shared" si="68"/>
        <v>5</v>
      </c>
      <c r="H622" s="7" t="str">
        <f t="shared" si="69"/>
        <v>0</v>
      </c>
      <c r="I622" s="7">
        <v>17280150</v>
      </c>
      <c r="J622" s="8" t="s">
        <v>142</v>
      </c>
      <c r="K622" s="8" t="s">
        <v>143</v>
      </c>
      <c r="L622" s="8"/>
    </row>
    <row r="623" spans="2:12" x14ac:dyDescent="0.25">
      <c r="B623" s="7" t="str">
        <f t="shared" si="63"/>
        <v>1</v>
      </c>
      <c r="C623" s="7" t="str">
        <f t="shared" si="64"/>
        <v>7</v>
      </c>
      <c r="D623" s="7" t="str">
        <f t="shared" si="65"/>
        <v>2</v>
      </c>
      <c r="E623" s="7" t="str">
        <f t="shared" si="66"/>
        <v>8</v>
      </c>
      <c r="F623" s="7" t="str">
        <f t="shared" si="67"/>
        <v>01</v>
      </c>
      <c r="G623" s="7" t="str">
        <f t="shared" si="68"/>
        <v>9</v>
      </c>
      <c r="H623" s="7" t="str">
        <f t="shared" si="69"/>
        <v>0</v>
      </c>
      <c r="I623" s="7">
        <v>17280190</v>
      </c>
      <c r="J623" s="8" t="s">
        <v>144</v>
      </c>
      <c r="K623" s="8" t="s">
        <v>145</v>
      </c>
      <c r="L623" s="8"/>
    </row>
    <row r="624" spans="2:12" ht="30" x14ac:dyDescent="0.25">
      <c r="B624" s="2" t="str">
        <f t="shared" si="63"/>
        <v>1</v>
      </c>
      <c r="C624" s="2" t="str">
        <f t="shared" si="64"/>
        <v>7</v>
      </c>
      <c r="D624" s="2" t="str">
        <f t="shared" si="65"/>
        <v>2</v>
      </c>
      <c r="E624" s="2" t="str">
        <f t="shared" si="66"/>
        <v>8</v>
      </c>
      <c r="F624" s="2" t="str">
        <f t="shared" si="67"/>
        <v>02</v>
      </c>
      <c r="G624" s="2" t="str">
        <f t="shared" si="68"/>
        <v>0</v>
      </c>
      <c r="H624" s="2" t="str">
        <f t="shared" si="69"/>
        <v>0</v>
      </c>
      <c r="I624" s="2">
        <v>17280200</v>
      </c>
      <c r="J624" s="3" t="s">
        <v>146</v>
      </c>
      <c r="K624" s="3" t="s">
        <v>147</v>
      </c>
      <c r="L624" s="3"/>
    </row>
    <row r="625" spans="2:12" ht="30" x14ac:dyDescent="0.25">
      <c r="B625" s="7" t="str">
        <f t="shared" si="63"/>
        <v>1</v>
      </c>
      <c r="C625" s="7" t="str">
        <f t="shared" si="64"/>
        <v>7</v>
      </c>
      <c r="D625" s="7" t="str">
        <f t="shared" si="65"/>
        <v>2</v>
      </c>
      <c r="E625" s="7" t="str">
        <f t="shared" si="66"/>
        <v>8</v>
      </c>
      <c r="F625" s="7" t="str">
        <f t="shared" si="67"/>
        <v>02</v>
      </c>
      <c r="G625" s="7" t="str">
        <f t="shared" si="68"/>
        <v>1</v>
      </c>
      <c r="H625" s="7" t="str">
        <f t="shared" si="69"/>
        <v>0</v>
      </c>
      <c r="I625" s="7">
        <v>17280210</v>
      </c>
      <c r="J625" s="8" t="s">
        <v>106</v>
      </c>
      <c r="K625" s="8" t="s">
        <v>148</v>
      </c>
      <c r="L625" s="8"/>
    </row>
    <row r="626" spans="2:12" ht="44.25" customHeight="1" x14ac:dyDescent="0.25">
      <c r="B626" s="7" t="str">
        <f t="shared" si="63"/>
        <v>1</v>
      </c>
      <c r="C626" s="7" t="str">
        <f t="shared" si="64"/>
        <v>7</v>
      </c>
      <c r="D626" s="7" t="str">
        <f t="shared" si="65"/>
        <v>2</v>
      </c>
      <c r="E626" s="7" t="str">
        <f t="shared" si="66"/>
        <v>8</v>
      </c>
      <c r="F626" s="7" t="str">
        <f t="shared" si="67"/>
        <v>02</v>
      </c>
      <c r="G626" s="7" t="str">
        <f t="shared" si="68"/>
        <v>2</v>
      </c>
      <c r="H626" s="7" t="str">
        <f t="shared" si="69"/>
        <v>0</v>
      </c>
      <c r="I626" s="7">
        <v>17280220</v>
      </c>
      <c r="J626" s="8" t="s">
        <v>107</v>
      </c>
      <c r="K626" s="8" t="s">
        <v>149</v>
      </c>
      <c r="L626" s="8"/>
    </row>
    <row r="627" spans="2:12" ht="30" x14ac:dyDescent="0.25">
      <c r="B627" s="7" t="str">
        <f t="shared" si="63"/>
        <v>1</v>
      </c>
      <c r="C627" s="7" t="str">
        <f t="shared" si="64"/>
        <v>7</v>
      </c>
      <c r="D627" s="7" t="str">
        <f t="shared" si="65"/>
        <v>2</v>
      </c>
      <c r="E627" s="7" t="str">
        <f t="shared" si="66"/>
        <v>8</v>
      </c>
      <c r="F627" s="7" t="str">
        <f t="shared" si="67"/>
        <v>02</v>
      </c>
      <c r="G627" s="7" t="str">
        <f t="shared" si="68"/>
        <v>3</v>
      </c>
      <c r="H627" s="7" t="str">
        <f t="shared" si="69"/>
        <v>0</v>
      </c>
      <c r="I627" s="7">
        <v>17280230</v>
      </c>
      <c r="J627" s="8" t="s">
        <v>150</v>
      </c>
      <c r="K627" s="8" t="s">
        <v>151</v>
      </c>
      <c r="L627" s="8"/>
    </row>
    <row r="628" spans="2:12" ht="30" x14ac:dyDescent="0.25">
      <c r="B628" s="7" t="str">
        <f t="shared" si="63"/>
        <v>1</v>
      </c>
      <c r="C628" s="7" t="str">
        <f t="shared" si="64"/>
        <v>7</v>
      </c>
      <c r="D628" s="7" t="str">
        <f t="shared" si="65"/>
        <v>2</v>
      </c>
      <c r="E628" s="7" t="str">
        <f t="shared" si="66"/>
        <v>8</v>
      </c>
      <c r="F628" s="7" t="str">
        <f t="shared" si="67"/>
        <v>02</v>
      </c>
      <c r="G628" s="7" t="str">
        <f t="shared" si="68"/>
        <v>9</v>
      </c>
      <c r="H628" s="7" t="str">
        <f t="shared" si="69"/>
        <v>0</v>
      </c>
      <c r="I628" s="7">
        <v>17280290</v>
      </c>
      <c r="J628" s="8" t="s">
        <v>152</v>
      </c>
      <c r="K628" s="8" t="s">
        <v>153</v>
      </c>
      <c r="L628" s="8"/>
    </row>
    <row r="629" spans="2:12" ht="90" x14ac:dyDescent="0.25">
      <c r="B629" s="2" t="str">
        <f t="shared" si="63"/>
        <v>1</v>
      </c>
      <c r="C629" s="2" t="str">
        <f t="shared" si="64"/>
        <v>7</v>
      </c>
      <c r="D629" s="2" t="str">
        <f t="shared" si="65"/>
        <v>2</v>
      </c>
      <c r="E629" s="2" t="str">
        <f t="shared" si="66"/>
        <v>8</v>
      </c>
      <c r="F629" s="2" t="str">
        <f t="shared" si="67"/>
        <v>03</v>
      </c>
      <c r="G629" s="2" t="str">
        <f t="shared" si="68"/>
        <v>0</v>
      </c>
      <c r="H629" s="2" t="str">
        <f t="shared" si="69"/>
        <v>0</v>
      </c>
      <c r="I629" s="2">
        <v>17280300</v>
      </c>
      <c r="J629" s="3" t="s">
        <v>154</v>
      </c>
      <c r="K629" s="3" t="s">
        <v>155</v>
      </c>
      <c r="L629" s="3"/>
    </row>
    <row r="630" spans="2:12" ht="90" x14ac:dyDescent="0.25">
      <c r="B630" s="7" t="str">
        <f t="shared" si="63"/>
        <v>1</v>
      </c>
      <c r="C630" s="7" t="str">
        <f t="shared" si="64"/>
        <v>7</v>
      </c>
      <c r="D630" s="7" t="str">
        <f t="shared" si="65"/>
        <v>2</v>
      </c>
      <c r="E630" s="7" t="str">
        <f t="shared" si="66"/>
        <v>8</v>
      </c>
      <c r="F630" s="7" t="str">
        <f t="shared" si="67"/>
        <v>03</v>
      </c>
      <c r="G630" s="7" t="str">
        <f t="shared" si="68"/>
        <v>1</v>
      </c>
      <c r="H630" s="7" t="str">
        <f t="shared" si="69"/>
        <v>0</v>
      </c>
      <c r="I630" s="7">
        <v>17280310</v>
      </c>
      <c r="J630" s="8" t="s">
        <v>154</v>
      </c>
      <c r="K630" s="8" t="s">
        <v>155</v>
      </c>
      <c r="L630" s="8"/>
    </row>
    <row r="631" spans="2:12" ht="30" x14ac:dyDescent="0.25">
      <c r="B631" s="2" t="str">
        <f t="shared" si="63"/>
        <v>1</v>
      </c>
      <c r="C631" s="2" t="str">
        <f t="shared" si="64"/>
        <v>7</v>
      </c>
      <c r="D631" s="2" t="str">
        <f t="shared" si="65"/>
        <v>2</v>
      </c>
      <c r="E631" s="2" t="str">
        <f t="shared" si="66"/>
        <v>8</v>
      </c>
      <c r="F631" s="2" t="str">
        <f t="shared" si="67"/>
        <v>04</v>
      </c>
      <c r="G631" s="2" t="str">
        <f t="shared" si="68"/>
        <v>0</v>
      </c>
      <c r="H631" s="2" t="str">
        <f t="shared" si="69"/>
        <v>0</v>
      </c>
      <c r="I631" s="2">
        <v>17280400</v>
      </c>
      <c r="J631" s="3" t="s">
        <v>157</v>
      </c>
      <c r="K631" s="3" t="s">
        <v>156</v>
      </c>
      <c r="L631" s="3"/>
    </row>
    <row r="632" spans="2:12" ht="30" x14ac:dyDescent="0.25">
      <c r="B632" s="7" t="str">
        <f t="shared" si="63"/>
        <v>1</v>
      </c>
      <c r="C632" s="7" t="str">
        <f t="shared" si="64"/>
        <v>7</v>
      </c>
      <c r="D632" s="7" t="str">
        <f t="shared" si="65"/>
        <v>2</v>
      </c>
      <c r="E632" s="7" t="str">
        <f t="shared" si="66"/>
        <v>8</v>
      </c>
      <c r="F632" s="7" t="str">
        <f t="shared" si="67"/>
        <v>04</v>
      </c>
      <c r="G632" s="7" t="str">
        <f t="shared" si="68"/>
        <v>1</v>
      </c>
      <c r="H632" s="7" t="str">
        <f t="shared" si="69"/>
        <v>0</v>
      </c>
      <c r="I632" s="7">
        <v>17280410</v>
      </c>
      <c r="J632" s="8" t="s">
        <v>157</v>
      </c>
      <c r="K632" s="8" t="s">
        <v>156</v>
      </c>
      <c r="L632" s="8"/>
    </row>
    <row r="633" spans="2:12" ht="30" x14ac:dyDescent="0.25">
      <c r="B633" s="2" t="str">
        <f t="shared" si="63"/>
        <v>1</v>
      </c>
      <c r="C633" s="2" t="str">
        <f t="shared" si="64"/>
        <v>7</v>
      </c>
      <c r="D633" s="2" t="str">
        <f t="shared" si="65"/>
        <v>2</v>
      </c>
      <c r="E633" s="2" t="str">
        <f t="shared" si="66"/>
        <v>8</v>
      </c>
      <c r="F633" s="2" t="str">
        <f t="shared" si="67"/>
        <v>07</v>
      </c>
      <c r="G633" s="2" t="str">
        <f t="shared" si="68"/>
        <v>0</v>
      </c>
      <c r="H633" s="2" t="str">
        <f t="shared" si="69"/>
        <v>0</v>
      </c>
      <c r="I633" s="2">
        <v>17280700</v>
      </c>
      <c r="J633" s="3" t="s">
        <v>942</v>
      </c>
      <c r="K633" s="3" t="s">
        <v>943</v>
      </c>
      <c r="L633" s="3"/>
    </row>
    <row r="634" spans="2:12" ht="30" x14ac:dyDescent="0.25">
      <c r="B634" s="7" t="str">
        <f t="shared" si="63"/>
        <v>1</v>
      </c>
      <c r="C634" s="7" t="str">
        <f t="shared" si="64"/>
        <v>7</v>
      </c>
      <c r="D634" s="7" t="str">
        <f t="shared" si="65"/>
        <v>2</v>
      </c>
      <c r="E634" s="7" t="str">
        <f t="shared" si="66"/>
        <v>8</v>
      </c>
      <c r="F634" s="7" t="str">
        <f t="shared" si="67"/>
        <v>07</v>
      </c>
      <c r="G634" s="7" t="str">
        <f t="shared" si="68"/>
        <v>1</v>
      </c>
      <c r="H634" s="7" t="str">
        <f t="shared" si="69"/>
        <v>0</v>
      </c>
      <c r="I634" s="7">
        <v>17280710</v>
      </c>
      <c r="J634" s="8" t="s">
        <v>942</v>
      </c>
      <c r="K634" s="8" t="s">
        <v>943</v>
      </c>
      <c r="L634" s="8"/>
    </row>
    <row r="635" spans="2:12" ht="60" x14ac:dyDescent="0.25">
      <c r="B635" s="2" t="str">
        <f t="shared" si="63"/>
        <v>1</v>
      </c>
      <c r="C635" s="2" t="str">
        <f t="shared" si="64"/>
        <v>7</v>
      </c>
      <c r="D635" s="2" t="str">
        <f t="shared" si="65"/>
        <v>2</v>
      </c>
      <c r="E635" s="2" t="str">
        <f t="shared" si="66"/>
        <v>8</v>
      </c>
      <c r="F635" s="2" t="str">
        <f t="shared" si="67"/>
        <v>10</v>
      </c>
      <c r="G635" s="2" t="str">
        <f t="shared" si="68"/>
        <v>0</v>
      </c>
      <c r="H635" s="2" t="str">
        <f t="shared" si="69"/>
        <v>0</v>
      </c>
      <c r="I635" s="2">
        <v>17281000</v>
      </c>
      <c r="J635" s="3" t="s">
        <v>186</v>
      </c>
      <c r="K635" s="3" t="s">
        <v>187</v>
      </c>
      <c r="L635" s="3"/>
    </row>
    <row r="636" spans="2:12" ht="60" x14ac:dyDescent="0.25">
      <c r="B636" s="7" t="str">
        <f t="shared" si="63"/>
        <v>1</v>
      </c>
      <c r="C636" s="7" t="str">
        <f t="shared" si="64"/>
        <v>7</v>
      </c>
      <c r="D636" s="7" t="str">
        <f t="shared" si="65"/>
        <v>2</v>
      </c>
      <c r="E636" s="7" t="str">
        <f t="shared" si="66"/>
        <v>8</v>
      </c>
      <c r="F636" s="7" t="str">
        <f t="shared" si="67"/>
        <v>10</v>
      </c>
      <c r="G636" s="7" t="str">
        <f t="shared" si="68"/>
        <v>1</v>
      </c>
      <c r="H636" s="7" t="str">
        <f t="shared" si="69"/>
        <v>0</v>
      </c>
      <c r="I636" s="7">
        <v>17281010</v>
      </c>
      <c r="J636" s="8" t="s">
        <v>188</v>
      </c>
      <c r="K636" s="8" t="s">
        <v>189</v>
      </c>
      <c r="L636" s="8"/>
    </row>
    <row r="637" spans="2:12" ht="60" x14ac:dyDescent="0.25">
      <c r="B637" s="7" t="str">
        <f t="shared" si="63"/>
        <v>1</v>
      </c>
      <c r="C637" s="7" t="str">
        <f t="shared" si="64"/>
        <v>7</v>
      </c>
      <c r="D637" s="7" t="str">
        <f t="shared" si="65"/>
        <v>2</v>
      </c>
      <c r="E637" s="7" t="str">
        <f t="shared" si="66"/>
        <v>8</v>
      </c>
      <c r="F637" s="7" t="str">
        <f t="shared" si="67"/>
        <v>10</v>
      </c>
      <c r="G637" s="7" t="str">
        <f t="shared" si="68"/>
        <v>2</v>
      </c>
      <c r="H637" s="7" t="str">
        <f t="shared" si="69"/>
        <v>0</v>
      </c>
      <c r="I637" s="7">
        <v>17281020</v>
      </c>
      <c r="J637" s="8" t="s">
        <v>190</v>
      </c>
      <c r="K637" s="8" t="s">
        <v>191</v>
      </c>
      <c r="L637" s="8"/>
    </row>
    <row r="638" spans="2:12" ht="75" x14ac:dyDescent="0.25">
      <c r="B638" s="7" t="str">
        <f t="shared" si="63"/>
        <v>1</v>
      </c>
      <c r="C638" s="7" t="str">
        <f t="shared" si="64"/>
        <v>7</v>
      </c>
      <c r="D638" s="7" t="str">
        <f t="shared" si="65"/>
        <v>2</v>
      </c>
      <c r="E638" s="7" t="str">
        <f t="shared" si="66"/>
        <v>8</v>
      </c>
      <c r="F638" s="7" t="str">
        <f t="shared" si="67"/>
        <v>10</v>
      </c>
      <c r="G638" s="7" t="str">
        <f t="shared" si="68"/>
        <v>9</v>
      </c>
      <c r="H638" s="7" t="str">
        <f t="shared" si="69"/>
        <v>0</v>
      </c>
      <c r="I638" s="7">
        <v>17281090</v>
      </c>
      <c r="J638" s="8" t="s">
        <v>192</v>
      </c>
      <c r="K638" s="8" t="s">
        <v>193</v>
      </c>
      <c r="L638" s="8"/>
    </row>
    <row r="639" spans="2:12" ht="45" x14ac:dyDescent="0.25">
      <c r="B639" s="2" t="str">
        <f t="shared" si="63"/>
        <v>1</v>
      </c>
      <c r="C639" s="2" t="str">
        <f t="shared" si="64"/>
        <v>7</v>
      </c>
      <c r="D639" s="2" t="str">
        <f t="shared" si="65"/>
        <v>2</v>
      </c>
      <c r="E639" s="2" t="str">
        <f t="shared" si="66"/>
        <v>8</v>
      </c>
      <c r="F639" s="2" t="str">
        <f t="shared" si="67"/>
        <v>99</v>
      </c>
      <c r="G639" s="2" t="str">
        <f t="shared" si="68"/>
        <v>0</v>
      </c>
      <c r="H639" s="2" t="str">
        <f t="shared" si="69"/>
        <v>0</v>
      </c>
      <c r="I639" s="2">
        <v>17289900</v>
      </c>
      <c r="J639" s="3" t="s">
        <v>144</v>
      </c>
      <c r="K639" s="3" t="s">
        <v>158</v>
      </c>
      <c r="L639" s="3"/>
    </row>
    <row r="640" spans="2:12" ht="45" x14ac:dyDescent="0.25">
      <c r="B640" s="7" t="str">
        <f t="shared" si="63"/>
        <v>1</v>
      </c>
      <c r="C640" s="7" t="str">
        <f t="shared" si="64"/>
        <v>7</v>
      </c>
      <c r="D640" s="7" t="str">
        <f t="shared" si="65"/>
        <v>2</v>
      </c>
      <c r="E640" s="7" t="str">
        <f t="shared" si="66"/>
        <v>8</v>
      </c>
      <c r="F640" s="7" t="str">
        <f t="shared" si="67"/>
        <v>99</v>
      </c>
      <c r="G640" s="7" t="str">
        <f t="shared" si="68"/>
        <v>1</v>
      </c>
      <c r="H640" s="7" t="str">
        <f t="shared" si="69"/>
        <v>0</v>
      </c>
      <c r="I640" s="7">
        <v>17289910</v>
      </c>
      <c r="J640" s="8" t="s">
        <v>144</v>
      </c>
      <c r="K640" s="8" t="s">
        <v>158</v>
      </c>
      <c r="L640" s="8"/>
    </row>
    <row r="641" spans="2:12" ht="60" x14ac:dyDescent="0.25">
      <c r="B641" s="27" t="str">
        <f t="shared" si="63"/>
        <v>1</v>
      </c>
      <c r="C641" s="27" t="str">
        <f t="shared" si="64"/>
        <v>7</v>
      </c>
      <c r="D641" s="27" t="str">
        <f t="shared" si="65"/>
        <v>3</v>
      </c>
      <c r="E641" s="27" t="str">
        <f t="shared" si="66"/>
        <v>0</v>
      </c>
      <c r="F641" s="27" t="str">
        <f t="shared" si="67"/>
        <v>00</v>
      </c>
      <c r="G641" s="27" t="str">
        <f t="shared" si="68"/>
        <v>0</v>
      </c>
      <c r="H641" s="27" t="str">
        <f t="shared" si="69"/>
        <v>0</v>
      </c>
      <c r="I641" s="27">
        <v>17300000</v>
      </c>
      <c r="J641" s="26" t="s">
        <v>672</v>
      </c>
      <c r="K641" s="26" t="s">
        <v>673</v>
      </c>
      <c r="L641" s="26"/>
    </row>
    <row r="642" spans="2:12" ht="60" x14ac:dyDescent="0.25">
      <c r="B642" s="7" t="str">
        <f t="shared" si="63"/>
        <v>1</v>
      </c>
      <c r="C642" s="7" t="str">
        <f t="shared" si="64"/>
        <v>7</v>
      </c>
      <c r="D642" s="7" t="str">
        <f t="shared" si="65"/>
        <v>3</v>
      </c>
      <c r="E642" s="7" t="str">
        <f t="shared" si="66"/>
        <v>0</v>
      </c>
      <c r="F642" s="7" t="str">
        <f t="shared" si="67"/>
        <v>00</v>
      </c>
      <c r="G642" s="7" t="str">
        <f t="shared" si="68"/>
        <v>1</v>
      </c>
      <c r="H642" s="7" t="str">
        <f t="shared" si="69"/>
        <v>0</v>
      </c>
      <c r="I642" s="7">
        <v>17300010</v>
      </c>
      <c r="J642" s="8" t="s">
        <v>672</v>
      </c>
      <c r="K642" s="8" t="s">
        <v>673</v>
      </c>
      <c r="L642" s="8"/>
    </row>
    <row r="643" spans="2:12" ht="60" x14ac:dyDescent="0.25">
      <c r="B643" s="17" t="str">
        <f t="shared" ref="B643:B706" si="70">MID($I643,1,1)</f>
        <v>1</v>
      </c>
      <c r="C643" s="17" t="str">
        <f t="shared" ref="C643:C706" si="71">MID($I643,2,1)</f>
        <v>7</v>
      </c>
      <c r="D643" s="17" t="str">
        <f t="shared" ref="D643:D706" si="72">MID($I643,3,1)</f>
        <v>3</v>
      </c>
      <c r="E643" s="17" t="str">
        <f t="shared" ref="E643:E706" si="73">MID($I643,4,1)</f>
        <v>8</v>
      </c>
      <c r="F643" s="17" t="str">
        <f t="shared" ref="F643:F706" si="74">MID($I643,5,2)</f>
        <v>00</v>
      </c>
      <c r="G643" s="17" t="str">
        <f t="shared" ref="G643:G706" si="75">MID($I643,7,1)</f>
        <v>0</v>
      </c>
      <c r="H643" s="17" t="str">
        <f t="shared" ref="H643:H706" si="76">MID($I643,8,1)</f>
        <v>0</v>
      </c>
      <c r="I643" s="17">
        <v>17380000</v>
      </c>
      <c r="J643" s="16" t="s">
        <v>901</v>
      </c>
      <c r="K643" s="16" t="s">
        <v>910</v>
      </c>
      <c r="L643" s="16"/>
    </row>
    <row r="644" spans="2:12" ht="45" x14ac:dyDescent="0.25">
      <c r="B644" s="2" t="str">
        <f t="shared" si="70"/>
        <v>1</v>
      </c>
      <c r="C644" s="2" t="str">
        <f t="shared" si="71"/>
        <v>7</v>
      </c>
      <c r="D644" s="2" t="str">
        <f t="shared" si="72"/>
        <v>3</v>
      </c>
      <c r="E644" s="2" t="str">
        <f t="shared" si="73"/>
        <v>8</v>
      </c>
      <c r="F644" s="2" t="str">
        <f t="shared" si="74"/>
        <v>01</v>
      </c>
      <c r="G644" s="2" t="str">
        <f t="shared" si="75"/>
        <v>0</v>
      </c>
      <c r="H644" s="2" t="str">
        <f t="shared" si="76"/>
        <v>0</v>
      </c>
      <c r="I644" s="2">
        <v>17380100</v>
      </c>
      <c r="J644" s="3" t="s">
        <v>159</v>
      </c>
      <c r="K644" s="3" t="s">
        <v>160</v>
      </c>
      <c r="L644" s="3"/>
    </row>
    <row r="645" spans="2:12" ht="45" x14ac:dyDescent="0.25">
      <c r="B645" s="7" t="str">
        <f t="shared" si="70"/>
        <v>1</v>
      </c>
      <c r="C645" s="7" t="str">
        <f t="shared" si="71"/>
        <v>7</v>
      </c>
      <c r="D645" s="7" t="str">
        <f t="shared" si="72"/>
        <v>3</v>
      </c>
      <c r="E645" s="7" t="str">
        <f t="shared" si="73"/>
        <v>8</v>
      </c>
      <c r="F645" s="7" t="str">
        <f t="shared" si="74"/>
        <v>01</v>
      </c>
      <c r="G645" s="7" t="str">
        <f t="shared" si="75"/>
        <v>1</v>
      </c>
      <c r="H645" s="7" t="str">
        <f t="shared" si="76"/>
        <v>0</v>
      </c>
      <c r="I645" s="7">
        <v>17380110</v>
      </c>
      <c r="J645" s="8" t="s">
        <v>159</v>
      </c>
      <c r="K645" s="8" t="s">
        <v>160</v>
      </c>
      <c r="L645" s="8"/>
    </row>
    <row r="646" spans="2:12" ht="30" x14ac:dyDescent="0.25">
      <c r="B646" s="2" t="str">
        <f t="shared" si="70"/>
        <v>1</v>
      </c>
      <c r="C646" s="2" t="str">
        <f t="shared" si="71"/>
        <v>7</v>
      </c>
      <c r="D646" s="2" t="str">
        <f t="shared" si="72"/>
        <v>3</v>
      </c>
      <c r="E646" s="2" t="str">
        <f t="shared" si="73"/>
        <v>8</v>
      </c>
      <c r="F646" s="2" t="str">
        <f t="shared" si="74"/>
        <v>02</v>
      </c>
      <c r="G646" s="2" t="str">
        <f t="shared" si="75"/>
        <v>0</v>
      </c>
      <c r="H646" s="2" t="str">
        <f t="shared" si="76"/>
        <v>0</v>
      </c>
      <c r="I646" s="2">
        <v>17380200</v>
      </c>
      <c r="J646" s="3" t="s">
        <v>162</v>
      </c>
      <c r="K646" s="3" t="s">
        <v>161</v>
      </c>
      <c r="L646" s="3"/>
    </row>
    <row r="647" spans="2:12" ht="30" x14ac:dyDescent="0.25">
      <c r="B647" s="7" t="str">
        <f t="shared" si="70"/>
        <v>1</v>
      </c>
      <c r="C647" s="7" t="str">
        <f t="shared" si="71"/>
        <v>7</v>
      </c>
      <c r="D647" s="7" t="str">
        <f t="shared" si="72"/>
        <v>3</v>
      </c>
      <c r="E647" s="7" t="str">
        <f t="shared" si="73"/>
        <v>8</v>
      </c>
      <c r="F647" s="7" t="str">
        <f t="shared" si="74"/>
        <v>02</v>
      </c>
      <c r="G647" s="7" t="str">
        <f t="shared" si="75"/>
        <v>1</v>
      </c>
      <c r="H647" s="7" t="str">
        <f t="shared" si="76"/>
        <v>0</v>
      </c>
      <c r="I647" s="7">
        <v>17380210</v>
      </c>
      <c r="J647" s="8" t="s">
        <v>162</v>
      </c>
      <c r="K647" s="8" t="s">
        <v>161</v>
      </c>
      <c r="L647" s="8"/>
    </row>
    <row r="648" spans="2:12" ht="60" x14ac:dyDescent="0.25">
      <c r="B648" s="2" t="str">
        <f t="shared" si="70"/>
        <v>1</v>
      </c>
      <c r="C648" s="2" t="str">
        <f t="shared" si="71"/>
        <v>7</v>
      </c>
      <c r="D648" s="2" t="str">
        <f t="shared" si="72"/>
        <v>3</v>
      </c>
      <c r="E648" s="2" t="str">
        <f t="shared" si="73"/>
        <v>8</v>
      </c>
      <c r="F648" s="2" t="str">
        <f t="shared" si="74"/>
        <v>10</v>
      </c>
      <c r="G648" s="2" t="str">
        <f t="shared" si="75"/>
        <v>0</v>
      </c>
      <c r="H648" s="2" t="str">
        <f t="shared" si="76"/>
        <v>0</v>
      </c>
      <c r="I648" s="2">
        <v>17381000</v>
      </c>
      <c r="J648" s="3" t="s">
        <v>194</v>
      </c>
      <c r="K648" s="3" t="s">
        <v>195</v>
      </c>
      <c r="L648" s="3"/>
    </row>
    <row r="649" spans="2:12" ht="60" x14ac:dyDescent="0.25">
      <c r="B649" s="7" t="str">
        <f t="shared" si="70"/>
        <v>1</v>
      </c>
      <c r="C649" s="7" t="str">
        <f t="shared" si="71"/>
        <v>7</v>
      </c>
      <c r="D649" s="7" t="str">
        <f t="shared" si="72"/>
        <v>3</v>
      </c>
      <c r="E649" s="7" t="str">
        <f t="shared" si="73"/>
        <v>8</v>
      </c>
      <c r="F649" s="7" t="str">
        <f t="shared" si="74"/>
        <v>10</v>
      </c>
      <c r="G649" s="7" t="str">
        <f t="shared" si="75"/>
        <v>1</v>
      </c>
      <c r="H649" s="7" t="str">
        <f t="shared" si="76"/>
        <v>0</v>
      </c>
      <c r="I649" s="7">
        <v>17381010</v>
      </c>
      <c r="J649" s="8" t="s">
        <v>196</v>
      </c>
      <c r="K649" s="8" t="s">
        <v>197</v>
      </c>
      <c r="L649" s="8"/>
    </row>
    <row r="650" spans="2:12" ht="60" x14ac:dyDescent="0.25">
      <c r="B650" s="7" t="str">
        <f t="shared" si="70"/>
        <v>1</v>
      </c>
      <c r="C650" s="7" t="str">
        <f t="shared" si="71"/>
        <v>7</v>
      </c>
      <c r="D650" s="7" t="str">
        <f t="shared" si="72"/>
        <v>3</v>
      </c>
      <c r="E650" s="7" t="str">
        <f t="shared" si="73"/>
        <v>8</v>
      </c>
      <c r="F650" s="7" t="str">
        <f t="shared" si="74"/>
        <v>10</v>
      </c>
      <c r="G650" s="7" t="str">
        <f t="shared" si="75"/>
        <v>2</v>
      </c>
      <c r="H650" s="7" t="str">
        <f t="shared" si="76"/>
        <v>0</v>
      </c>
      <c r="I650" s="7">
        <v>17381020</v>
      </c>
      <c r="J650" s="8" t="s">
        <v>198</v>
      </c>
      <c r="K650" s="8" t="s">
        <v>199</v>
      </c>
      <c r="L650" s="8"/>
    </row>
    <row r="651" spans="2:12" ht="60" x14ac:dyDescent="0.25">
      <c r="B651" s="7" t="str">
        <f t="shared" si="70"/>
        <v>1</v>
      </c>
      <c r="C651" s="7" t="str">
        <f t="shared" si="71"/>
        <v>7</v>
      </c>
      <c r="D651" s="7" t="str">
        <f t="shared" si="72"/>
        <v>3</v>
      </c>
      <c r="E651" s="7" t="str">
        <f t="shared" si="73"/>
        <v>8</v>
      </c>
      <c r="F651" s="7" t="str">
        <f t="shared" si="74"/>
        <v>10</v>
      </c>
      <c r="G651" s="7" t="str">
        <f t="shared" si="75"/>
        <v>9</v>
      </c>
      <c r="H651" s="7" t="str">
        <f t="shared" si="76"/>
        <v>0</v>
      </c>
      <c r="I651" s="7">
        <v>17381090</v>
      </c>
      <c r="J651" s="8" t="s">
        <v>200</v>
      </c>
      <c r="K651" s="8" t="s">
        <v>201</v>
      </c>
      <c r="L651" s="8"/>
    </row>
    <row r="652" spans="2:12" ht="60" x14ac:dyDescent="0.25">
      <c r="B652" s="2" t="str">
        <f t="shared" si="70"/>
        <v>1</v>
      </c>
      <c r="C652" s="2" t="str">
        <f t="shared" si="71"/>
        <v>7</v>
      </c>
      <c r="D652" s="2" t="str">
        <f t="shared" si="72"/>
        <v>3</v>
      </c>
      <c r="E652" s="2" t="str">
        <f t="shared" si="73"/>
        <v>8</v>
      </c>
      <c r="F652" s="2" t="str">
        <f t="shared" si="74"/>
        <v>99</v>
      </c>
      <c r="G652" s="2" t="str">
        <f t="shared" si="75"/>
        <v>0</v>
      </c>
      <c r="H652" s="2" t="str">
        <f t="shared" si="76"/>
        <v>0</v>
      </c>
      <c r="I652" s="2">
        <v>17389900</v>
      </c>
      <c r="J652" s="3" t="s">
        <v>163</v>
      </c>
      <c r="K652" s="3" t="s">
        <v>164</v>
      </c>
      <c r="L652" s="3"/>
    </row>
    <row r="653" spans="2:12" ht="60" x14ac:dyDescent="0.25">
      <c r="B653" s="7" t="str">
        <f t="shared" si="70"/>
        <v>1</v>
      </c>
      <c r="C653" s="7" t="str">
        <f t="shared" si="71"/>
        <v>7</v>
      </c>
      <c r="D653" s="7" t="str">
        <f t="shared" si="72"/>
        <v>3</v>
      </c>
      <c r="E653" s="7" t="str">
        <f t="shared" si="73"/>
        <v>8</v>
      </c>
      <c r="F653" s="7" t="str">
        <f t="shared" si="74"/>
        <v>99</v>
      </c>
      <c r="G653" s="7" t="str">
        <f t="shared" si="75"/>
        <v>1</v>
      </c>
      <c r="H653" s="7" t="str">
        <f t="shared" si="76"/>
        <v>0</v>
      </c>
      <c r="I653" s="7">
        <v>17389910</v>
      </c>
      <c r="J653" s="8" t="s">
        <v>163</v>
      </c>
      <c r="K653" s="8" t="s">
        <v>164</v>
      </c>
      <c r="L653" s="8"/>
    </row>
    <row r="654" spans="2:12" ht="75" x14ac:dyDescent="0.25">
      <c r="B654" s="27" t="str">
        <f t="shared" si="70"/>
        <v>1</v>
      </c>
      <c r="C654" s="27" t="str">
        <f t="shared" si="71"/>
        <v>7</v>
      </c>
      <c r="D654" s="27" t="str">
        <f t="shared" si="72"/>
        <v>4</v>
      </c>
      <c r="E654" s="27" t="str">
        <f t="shared" si="73"/>
        <v>0</v>
      </c>
      <c r="F654" s="27" t="str">
        <f t="shared" si="74"/>
        <v>00</v>
      </c>
      <c r="G654" s="27" t="str">
        <f t="shared" si="75"/>
        <v>0</v>
      </c>
      <c r="H654" s="27" t="str">
        <f t="shared" si="76"/>
        <v>0</v>
      </c>
      <c r="I654" s="27">
        <v>17400000</v>
      </c>
      <c r="J654" s="26" t="s">
        <v>170</v>
      </c>
      <c r="K654" s="26" t="s">
        <v>674</v>
      </c>
      <c r="L654" s="26"/>
    </row>
    <row r="655" spans="2:12" ht="75" x14ac:dyDescent="0.25">
      <c r="B655" s="7" t="str">
        <f t="shared" si="70"/>
        <v>1</v>
      </c>
      <c r="C655" s="7" t="str">
        <f t="shared" si="71"/>
        <v>7</v>
      </c>
      <c r="D655" s="7" t="str">
        <f t="shared" si="72"/>
        <v>4</v>
      </c>
      <c r="E655" s="7" t="str">
        <f t="shared" si="73"/>
        <v>1</v>
      </c>
      <c r="F655" s="7" t="str">
        <f t="shared" si="74"/>
        <v>01</v>
      </c>
      <c r="G655" s="7" t="str">
        <f t="shared" si="75"/>
        <v>0</v>
      </c>
      <c r="H655" s="7" t="str">
        <f t="shared" si="76"/>
        <v>0</v>
      </c>
      <c r="I655" s="7">
        <v>17410100</v>
      </c>
      <c r="J655" s="8" t="s">
        <v>1029</v>
      </c>
      <c r="K655" s="8" t="s">
        <v>674</v>
      </c>
      <c r="L655" s="8"/>
    </row>
    <row r="656" spans="2:12" ht="90" x14ac:dyDescent="0.25">
      <c r="B656" s="17" t="str">
        <f t="shared" si="70"/>
        <v>1</v>
      </c>
      <c r="C656" s="17" t="str">
        <f t="shared" si="71"/>
        <v>7</v>
      </c>
      <c r="D656" s="17" t="str">
        <f t="shared" si="72"/>
        <v>4</v>
      </c>
      <c r="E656" s="17" t="str">
        <f t="shared" si="73"/>
        <v>8</v>
      </c>
      <c r="F656" s="17" t="str">
        <f t="shared" si="74"/>
        <v>00</v>
      </c>
      <c r="G656" s="17" t="str">
        <f t="shared" si="75"/>
        <v>0</v>
      </c>
      <c r="H656" s="17" t="str">
        <f t="shared" si="76"/>
        <v>0</v>
      </c>
      <c r="I656" s="17">
        <v>17480000</v>
      </c>
      <c r="J656" s="16" t="s">
        <v>902</v>
      </c>
      <c r="K656" s="16" t="s">
        <v>911</v>
      </c>
      <c r="L656" s="16"/>
    </row>
    <row r="657" spans="2:12" ht="60" x14ac:dyDescent="0.25">
      <c r="B657" s="2" t="str">
        <f t="shared" si="70"/>
        <v>1</v>
      </c>
      <c r="C657" s="2" t="str">
        <f t="shared" si="71"/>
        <v>7</v>
      </c>
      <c r="D657" s="2" t="str">
        <f t="shared" si="72"/>
        <v>4</v>
      </c>
      <c r="E657" s="2" t="str">
        <f t="shared" si="73"/>
        <v>8</v>
      </c>
      <c r="F657" s="2" t="str">
        <f t="shared" si="74"/>
        <v>01</v>
      </c>
      <c r="G657" s="2" t="str">
        <f t="shared" si="75"/>
        <v>0</v>
      </c>
      <c r="H657" s="2" t="str">
        <f t="shared" si="76"/>
        <v>0</v>
      </c>
      <c r="I657" s="2">
        <v>17480100</v>
      </c>
      <c r="J657" s="3" t="s">
        <v>991</v>
      </c>
      <c r="K657" s="3" t="s">
        <v>993</v>
      </c>
      <c r="L657" s="3"/>
    </row>
    <row r="658" spans="2:12" ht="75" x14ac:dyDescent="0.25">
      <c r="B658" s="7" t="str">
        <f t="shared" si="70"/>
        <v>1</v>
      </c>
      <c r="C658" s="7" t="str">
        <f t="shared" si="71"/>
        <v>7</v>
      </c>
      <c r="D658" s="7" t="str">
        <f t="shared" si="72"/>
        <v>4</v>
      </c>
      <c r="E658" s="7" t="str">
        <f t="shared" si="73"/>
        <v>8</v>
      </c>
      <c r="F658" s="7" t="str">
        <f t="shared" si="74"/>
        <v>01</v>
      </c>
      <c r="G658" s="7" t="str">
        <f t="shared" si="75"/>
        <v>1</v>
      </c>
      <c r="H658" s="7" t="str">
        <f t="shared" si="76"/>
        <v>0</v>
      </c>
      <c r="I658" s="7">
        <v>17480110</v>
      </c>
      <c r="J658" s="8" t="s">
        <v>992</v>
      </c>
      <c r="K658" s="8" t="s">
        <v>994</v>
      </c>
      <c r="L658" s="8"/>
    </row>
    <row r="659" spans="2:12" ht="75" x14ac:dyDescent="0.25">
      <c r="B659" s="11" t="str">
        <f t="shared" si="70"/>
        <v>1</v>
      </c>
      <c r="C659" s="11" t="str">
        <f t="shared" si="71"/>
        <v>7</v>
      </c>
      <c r="D659" s="11" t="str">
        <f t="shared" si="72"/>
        <v>4</v>
      </c>
      <c r="E659" s="11" t="str">
        <f t="shared" si="73"/>
        <v>8</v>
      </c>
      <c r="F659" s="11" t="str">
        <f t="shared" si="74"/>
        <v>01</v>
      </c>
      <c r="G659" s="11" t="str">
        <f t="shared" si="75"/>
        <v>2</v>
      </c>
      <c r="H659" s="11" t="str">
        <f t="shared" si="76"/>
        <v>0</v>
      </c>
      <c r="I659" s="11">
        <v>17480120</v>
      </c>
      <c r="J659" s="14" t="s">
        <v>1415</v>
      </c>
      <c r="K659" s="14" t="s">
        <v>1416</v>
      </c>
      <c r="L659" s="14" t="s">
        <v>1459</v>
      </c>
    </row>
    <row r="660" spans="2:12" ht="60" x14ac:dyDescent="0.25">
      <c r="B660" s="11" t="str">
        <f t="shared" si="70"/>
        <v>1</v>
      </c>
      <c r="C660" s="11" t="str">
        <f t="shared" si="71"/>
        <v>7</v>
      </c>
      <c r="D660" s="11" t="str">
        <f t="shared" si="72"/>
        <v>4</v>
      </c>
      <c r="E660" s="11" t="str">
        <f t="shared" si="73"/>
        <v>8</v>
      </c>
      <c r="F660" s="11" t="str">
        <f t="shared" si="74"/>
        <v>01</v>
      </c>
      <c r="G660" s="11" t="str">
        <f t="shared" si="75"/>
        <v>9</v>
      </c>
      <c r="H660" s="11" t="str">
        <f t="shared" si="76"/>
        <v>0</v>
      </c>
      <c r="I660" s="11">
        <v>17480190</v>
      </c>
      <c r="J660" s="14" t="s">
        <v>1431</v>
      </c>
      <c r="K660" s="14" t="s">
        <v>1434</v>
      </c>
      <c r="L660" s="14" t="s">
        <v>1459</v>
      </c>
    </row>
    <row r="661" spans="2:12" ht="45" x14ac:dyDescent="0.25">
      <c r="B661" s="2" t="str">
        <f t="shared" si="70"/>
        <v>1</v>
      </c>
      <c r="C661" s="2" t="str">
        <f t="shared" si="71"/>
        <v>7</v>
      </c>
      <c r="D661" s="2" t="str">
        <f t="shared" si="72"/>
        <v>4</v>
      </c>
      <c r="E661" s="2" t="str">
        <f t="shared" si="73"/>
        <v>8</v>
      </c>
      <c r="F661" s="2" t="str">
        <f t="shared" si="74"/>
        <v>10</v>
      </c>
      <c r="G661" s="2" t="str">
        <f t="shared" si="75"/>
        <v>0</v>
      </c>
      <c r="H661" s="2" t="str">
        <f t="shared" si="76"/>
        <v>0</v>
      </c>
      <c r="I661" s="2">
        <v>17481000</v>
      </c>
      <c r="J661" s="3" t="s">
        <v>989</v>
      </c>
      <c r="K661" s="3" t="s">
        <v>990</v>
      </c>
      <c r="L661" s="3"/>
    </row>
    <row r="662" spans="2:12" ht="45" x14ac:dyDescent="0.25">
      <c r="B662" s="7" t="str">
        <f t="shared" si="70"/>
        <v>1</v>
      </c>
      <c r="C662" s="7" t="str">
        <f t="shared" si="71"/>
        <v>7</v>
      </c>
      <c r="D662" s="7" t="str">
        <f t="shared" si="72"/>
        <v>4</v>
      </c>
      <c r="E662" s="7" t="str">
        <f t="shared" si="73"/>
        <v>8</v>
      </c>
      <c r="F662" s="7" t="str">
        <f t="shared" si="74"/>
        <v>10</v>
      </c>
      <c r="G662" s="7" t="str">
        <f t="shared" si="75"/>
        <v>1</v>
      </c>
      <c r="H662" s="7" t="str">
        <f t="shared" si="76"/>
        <v>0</v>
      </c>
      <c r="I662" s="7">
        <v>17481010</v>
      </c>
      <c r="J662" s="8" t="s">
        <v>989</v>
      </c>
      <c r="K662" s="8" t="s">
        <v>990</v>
      </c>
      <c r="L662" s="8"/>
    </row>
    <row r="663" spans="2:12" ht="75" x14ac:dyDescent="0.25">
      <c r="B663" s="27" t="str">
        <f t="shared" si="70"/>
        <v>1</v>
      </c>
      <c r="C663" s="27" t="str">
        <f t="shared" si="71"/>
        <v>7</v>
      </c>
      <c r="D663" s="27" t="str">
        <f t="shared" si="72"/>
        <v>5</v>
      </c>
      <c r="E663" s="27" t="str">
        <f t="shared" si="73"/>
        <v>0</v>
      </c>
      <c r="F663" s="27" t="str">
        <f t="shared" si="74"/>
        <v>00</v>
      </c>
      <c r="G663" s="27" t="str">
        <f t="shared" si="75"/>
        <v>0</v>
      </c>
      <c r="H663" s="27" t="str">
        <f t="shared" si="76"/>
        <v>0</v>
      </c>
      <c r="I663" s="27">
        <v>17500000</v>
      </c>
      <c r="J663" s="26" t="s">
        <v>675</v>
      </c>
      <c r="K663" s="26" t="s">
        <v>676</v>
      </c>
      <c r="L663" s="26"/>
    </row>
    <row r="664" spans="2:12" ht="75" x14ac:dyDescent="0.25">
      <c r="B664" s="7" t="str">
        <f t="shared" si="70"/>
        <v>1</v>
      </c>
      <c r="C664" s="7" t="str">
        <f t="shared" si="71"/>
        <v>7</v>
      </c>
      <c r="D664" s="7" t="str">
        <f t="shared" si="72"/>
        <v>5</v>
      </c>
      <c r="E664" s="7" t="str">
        <f t="shared" si="73"/>
        <v>0</v>
      </c>
      <c r="F664" s="7" t="str">
        <f t="shared" si="74"/>
        <v>00</v>
      </c>
      <c r="G664" s="7" t="str">
        <f t="shared" si="75"/>
        <v>1</v>
      </c>
      <c r="H664" s="7" t="str">
        <f t="shared" si="76"/>
        <v>0</v>
      </c>
      <c r="I664" s="7">
        <v>17500010</v>
      </c>
      <c r="J664" s="8" t="s">
        <v>675</v>
      </c>
      <c r="K664" s="8" t="s">
        <v>676</v>
      </c>
      <c r="L664" s="8"/>
    </row>
    <row r="665" spans="2:12" ht="90" x14ac:dyDescent="0.25">
      <c r="B665" s="17" t="str">
        <f t="shared" si="70"/>
        <v>1</v>
      </c>
      <c r="C665" s="17" t="str">
        <f t="shared" si="71"/>
        <v>7</v>
      </c>
      <c r="D665" s="17" t="str">
        <f t="shared" si="72"/>
        <v>5</v>
      </c>
      <c r="E665" s="17" t="str">
        <f t="shared" si="73"/>
        <v>8</v>
      </c>
      <c r="F665" s="17" t="str">
        <f t="shared" si="74"/>
        <v>00</v>
      </c>
      <c r="G665" s="17" t="str">
        <f t="shared" si="75"/>
        <v>0</v>
      </c>
      <c r="H665" s="17" t="str">
        <f t="shared" si="76"/>
        <v>0</v>
      </c>
      <c r="I665" s="17">
        <v>17580000</v>
      </c>
      <c r="J665" s="16" t="s">
        <v>903</v>
      </c>
      <c r="K665" s="16" t="s">
        <v>912</v>
      </c>
      <c r="L665" s="16"/>
    </row>
    <row r="666" spans="2:12" ht="45" x14ac:dyDescent="0.25">
      <c r="B666" s="2" t="str">
        <f t="shared" si="70"/>
        <v>1</v>
      </c>
      <c r="C666" s="2" t="str">
        <f t="shared" si="71"/>
        <v>7</v>
      </c>
      <c r="D666" s="2" t="str">
        <f t="shared" si="72"/>
        <v>5</v>
      </c>
      <c r="E666" s="2" t="str">
        <f t="shared" si="73"/>
        <v>8</v>
      </c>
      <c r="F666" s="2" t="str">
        <f t="shared" si="74"/>
        <v>01</v>
      </c>
      <c r="G666" s="2" t="str">
        <f t="shared" si="75"/>
        <v>0</v>
      </c>
      <c r="H666" s="2" t="str">
        <f t="shared" si="76"/>
        <v>0</v>
      </c>
      <c r="I666" s="2">
        <v>17580100</v>
      </c>
      <c r="J666" s="3" t="s">
        <v>165</v>
      </c>
      <c r="K666" s="3" t="s">
        <v>166</v>
      </c>
      <c r="L666" s="3"/>
    </row>
    <row r="667" spans="2:12" s="28" customFormat="1" ht="45" x14ac:dyDescent="0.25">
      <c r="B667" s="7" t="str">
        <f t="shared" si="70"/>
        <v>1</v>
      </c>
      <c r="C667" s="7" t="str">
        <f t="shared" si="71"/>
        <v>7</v>
      </c>
      <c r="D667" s="7" t="str">
        <f t="shared" si="72"/>
        <v>5</v>
      </c>
      <c r="E667" s="7" t="str">
        <f t="shared" si="73"/>
        <v>8</v>
      </c>
      <c r="F667" s="7" t="str">
        <f t="shared" si="74"/>
        <v>01</v>
      </c>
      <c r="G667" s="7" t="str">
        <f t="shared" si="75"/>
        <v>1</v>
      </c>
      <c r="H667" s="7" t="str">
        <f t="shared" si="76"/>
        <v>0</v>
      </c>
      <c r="I667" s="7">
        <v>17580110</v>
      </c>
      <c r="J667" s="8" t="s">
        <v>165</v>
      </c>
      <c r="K667" s="8" t="s">
        <v>166</v>
      </c>
      <c r="L667" s="8"/>
    </row>
    <row r="668" spans="2:12" ht="30" x14ac:dyDescent="0.25">
      <c r="B668" s="2" t="str">
        <f t="shared" si="70"/>
        <v>1</v>
      </c>
      <c r="C668" s="2" t="str">
        <f t="shared" si="71"/>
        <v>7</v>
      </c>
      <c r="D668" s="2" t="str">
        <f t="shared" si="72"/>
        <v>5</v>
      </c>
      <c r="E668" s="2" t="str">
        <f t="shared" si="73"/>
        <v>8</v>
      </c>
      <c r="F668" s="2" t="str">
        <f t="shared" si="74"/>
        <v>99</v>
      </c>
      <c r="G668" s="2" t="str">
        <f t="shared" si="75"/>
        <v>0</v>
      </c>
      <c r="H668" s="2" t="str">
        <f t="shared" si="76"/>
        <v>0</v>
      </c>
      <c r="I668" s="2">
        <v>17589900</v>
      </c>
      <c r="J668" s="3" t="s">
        <v>168</v>
      </c>
      <c r="K668" s="3" t="s">
        <v>169</v>
      </c>
      <c r="L668" s="3"/>
    </row>
    <row r="669" spans="2:12" ht="61.5" customHeight="1" x14ac:dyDescent="0.25">
      <c r="B669" s="7" t="str">
        <f t="shared" si="70"/>
        <v>1</v>
      </c>
      <c r="C669" s="7" t="str">
        <f t="shared" si="71"/>
        <v>7</v>
      </c>
      <c r="D669" s="7" t="str">
        <f t="shared" si="72"/>
        <v>5</v>
      </c>
      <c r="E669" s="7" t="str">
        <f t="shared" si="73"/>
        <v>8</v>
      </c>
      <c r="F669" s="7" t="str">
        <f t="shared" si="74"/>
        <v>99</v>
      </c>
      <c r="G669" s="7" t="str">
        <f t="shared" si="75"/>
        <v>1</v>
      </c>
      <c r="H669" s="7" t="str">
        <f t="shared" si="76"/>
        <v>0</v>
      </c>
      <c r="I669" s="7">
        <v>17589910</v>
      </c>
      <c r="J669" s="8" t="s">
        <v>168</v>
      </c>
      <c r="K669" s="8" t="s">
        <v>169</v>
      </c>
      <c r="L669" s="8"/>
    </row>
    <row r="670" spans="2:12" ht="45" x14ac:dyDescent="0.25">
      <c r="B670" s="27" t="str">
        <f t="shared" si="70"/>
        <v>1</v>
      </c>
      <c r="C670" s="27" t="str">
        <f t="shared" si="71"/>
        <v>7</v>
      </c>
      <c r="D670" s="27" t="str">
        <f t="shared" si="72"/>
        <v>6</v>
      </c>
      <c r="E670" s="27" t="str">
        <f t="shared" si="73"/>
        <v>0</v>
      </c>
      <c r="F670" s="27" t="str">
        <f t="shared" si="74"/>
        <v>00</v>
      </c>
      <c r="G670" s="27" t="str">
        <f t="shared" si="75"/>
        <v>0</v>
      </c>
      <c r="H670" s="27" t="str">
        <f t="shared" si="76"/>
        <v>0</v>
      </c>
      <c r="I670" s="27">
        <v>17600000</v>
      </c>
      <c r="J670" s="26" t="s">
        <v>171</v>
      </c>
      <c r="K670" s="26" t="s">
        <v>677</v>
      </c>
      <c r="L670" s="26"/>
    </row>
    <row r="671" spans="2:12" ht="45" x14ac:dyDescent="0.25">
      <c r="B671" s="7" t="str">
        <f t="shared" si="70"/>
        <v>1</v>
      </c>
      <c r="C671" s="7" t="str">
        <f t="shared" si="71"/>
        <v>7</v>
      </c>
      <c r="D671" s="7" t="str">
        <f t="shared" si="72"/>
        <v>6</v>
      </c>
      <c r="E671" s="7" t="str">
        <f t="shared" si="73"/>
        <v>0</v>
      </c>
      <c r="F671" s="7" t="str">
        <f t="shared" si="74"/>
        <v>00</v>
      </c>
      <c r="G671" s="7" t="str">
        <f t="shared" si="75"/>
        <v>1</v>
      </c>
      <c r="H671" s="7" t="str">
        <f t="shared" si="76"/>
        <v>0</v>
      </c>
      <c r="I671" s="7">
        <v>17600010</v>
      </c>
      <c r="J671" s="8" t="s">
        <v>171</v>
      </c>
      <c r="K671" s="8" t="s">
        <v>677</v>
      </c>
      <c r="L671" s="8"/>
    </row>
    <row r="672" spans="2:12" ht="60" x14ac:dyDescent="0.25">
      <c r="B672" s="17" t="str">
        <f t="shared" si="70"/>
        <v>1</v>
      </c>
      <c r="C672" s="17" t="str">
        <f t="shared" si="71"/>
        <v>7</v>
      </c>
      <c r="D672" s="17" t="str">
        <f t="shared" si="72"/>
        <v>6</v>
      </c>
      <c r="E672" s="17" t="str">
        <f t="shared" si="73"/>
        <v>8</v>
      </c>
      <c r="F672" s="17" t="str">
        <f t="shared" si="74"/>
        <v>00</v>
      </c>
      <c r="G672" s="17" t="str">
        <f t="shared" si="75"/>
        <v>0</v>
      </c>
      <c r="H672" s="17" t="str">
        <f t="shared" si="76"/>
        <v>0</v>
      </c>
      <c r="I672" s="17">
        <v>17680000</v>
      </c>
      <c r="J672" s="16" t="s">
        <v>904</v>
      </c>
      <c r="K672" s="16" t="s">
        <v>913</v>
      </c>
      <c r="L672" s="16"/>
    </row>
    <row r="673" spans="2:12" ht="45" x14ac:dyDescent="0.25">
      <c r="B673" s="2" t="str">
        <f t="shared" si="70"/>
        <v>1</v>
      </c>
      <c r="C673" s="2" t="str">
        <f t="shared" si="71"/>
        <v>7</v>
      </c>
      <c r="D673" s="2" t="str">
        <f t="shared" si="72"/>
        <v>6</v>
      </c>
      <c r="E673" s="2" t="str">
        <f t="shared" si="73"/>
        <v>8</v>
      </c>
      <c r="F673" s="2" t="str">
        <f t="shared" si="74"/>
        <v>01</v>
      </c>
      <c r="G673" s="2" t="str">
        <f t="shared" si="75"/>
        <v>0</v>
      </c>
      <c r="H673" s="2" t="str">
        <f t="shared" si="76"/>
        <v>0</v>
      </c>
      <c r="I673" s="2">
        <v>17680100</v>
      </c>
      <c r="J673" s="3" t="s">
        <v>202</v>
      </c>
      <c r="K673" s="3" t="s">
        <v>1000</v>
      </c>
      <c r="L673" s="3"/>
    </row>
    <row r="674" spans="2:12" ht="45" x14ac:dyDescent="0.25">
      <c r="B674" s="7" t="str">
        <f t="shared" si="70"/>
        <v>1</v>
      </c>
      <c r="C674" s="7" t="str">
        <f t="shared" si="71"/>
        <v>7</v>
      </c>
      <c r="D674" s="7" t="str">
        <f t="shared" si="72"/>
        <v>6</v>
      </c>
      <c r="E674" s="7" t="str">
        <f t="shared" si="73"/>
        <v>8</v>
      </c>
      <c r="F674" s="7" t="str">
        <f t="shared" si="74"/>
        <v>01</v>
      </c>
      <c r="G674" s="7" t="str">
        <f t="shared" si="75"/>
        <v>1</v>
      </c>
      <c r="H674" s="7" t="str">
        <f t="shared" si="76"/>
        <v>0</v>
      </c>
      <c r="I674" s="7">
        <v>17680110</v>
      </c>
      <c r="J674" s="8" t="s">
        <v>999</v>
      </c>
      <c r="K674" s="8" t="s">
        <v>1001</v>
      </c>
      <c r="L674" s="8"/>
    </row>
    <row r="675" spans="2:12" ht="45" x14ac:dyDescent="0.25">
      <c r="B675" s="11" t="str">
        <f t="shared" si="70"/>
        <v>1</v>
      </c>
      <c r="C675" s="11" t="str">
        <f t="shared" si="71"/>
        <v>7</v>
      </c>
      <c r="D675" s="11" t="str">
        <f t="shared" si="72"/>
        <v>6</v>
      </c>
      <c r="E675" s="11" t="str">
        <f t="shared" si="73"/>
        <v>8</v>
      </c>
      <c r="F675" s="11" t="str">
        <f t="shared" si="74"/>
        <v>01</v>
      </c>
      <c r="G675" s="11" t="str">
        <f t="shared" si="75"/>
        <v>2</v>
      </c>
      <c r="H675" s="11" t="str">
        <f t="shared" si="76"/>
        <v>0</v>
      </c>
      <c r="I675" s="11">
        <v>17680120</v>
      </c>
      <c r="J675" s="14" t="s">
        <v>1417</v>
      </c>
      <c r="K675" s="14" t="s">
        <v>1418</v>
      </c>
      <c r="L675" s="14" t="s">
        <v>1459</v>
      </c>
    </row>
    <row r="676" spans="2:12" ht="30" x14ac:dyDescent="0.25">
      <c r="B676" s="11" t="str">
        <f t="shared" si="70"/>
        <v>1</v>
      </c>
      <c r="C676" s="11" t="str">
        <f t="shared" si="71"/>
        <v>7</v>
      </c>
      <c r="D676" s="11" t="str">
        <f t="shared" si="72"/>
        <v>6</v>
      </c>
      <c r="E676" s="11" t="str">
        <f t="shared" si="73"/>
        <v>8</v>
      </c>
      <c r="F676" s="11" t="str">
        <f t="shared" si="74"/>
        <v>01</v>
      </c>
      <c r="G676" s="11" t="str">
        <f t="shared" si="75"/>
        <v>9</v>
      </c>
      <c r="H676" s="11" t="str">
        <f t="shared" si="76"/>
        <v>0</v>
      </c>
      <c r="I676" s="11">
        <v>17680190</v>
      </c>
      <c r="J676" s="14" t="s">
        <v>997</v>
      </c>
      <c r="K676" s="14" t="s">
        <v>997</v>
      </c>
      <c r="L676" s="14" t="s">
        <v>1459</v>
      </c>
    </row>
    <row r="677" spans="2:12" ht="45" x14ac:dyDescent="0.25">
      <c r="B677" s="19" t="str">
        <f t="shared" si="70"/>
        <v>1</v>
      </c>
      <c r="C677" s="19" t="str">
        <f t="shared" si="71"/>
        <v>7</v>
      </c>
      <c r="D677" s="19" t="str">
        <f t="shared" si="72"/>
        <v>6</v>
      </c>
      <c r="E677" s="19" t="str">
        <f t="shared" si="73"/>
        <v>8</v>
      </c>
      <c r="F677" s="19" t="str">
        <f t="shared" si="74"/>
        <v>10</v>
      </c>
      <c r="G677" s="19" t="str">
        <f t="shared" si="75"/>
        <v>1</v>
      </c>
      <c r="H677" s="19" t="str">
        <f t="shared" si="76"/>
        <v>0</v>
      </c>
      <c r="I677" s="19">
        <v>17681010</v>
      </c>
      <c r="J677" s="18" t="s">
        <v>997</v>
      </c>
      <c r="K677" s="18" t="s">
        <v>998</v>
      </c>
      <c r="L677" s="21" t="s">
        <v>1504</v>
      </c>
    </row>
    <row r="678" spans="2:12" ht="60" x14ac:dyDescent="0.25">
      <c r="B678" s="27" t="str">
        <f t="shared" si="70"/>
        <v>1</v>
      </c>
      <c r="C678" s="27" t="str">
        <f t="shared" si="71"/>
        <v>7</v>
      </c>
      <c r="D678" s="27" t="str">
        <f t="shared" si="72"/>
        <v>7</v>
      </c>
      <c r="E678" s="27" t="str">
        <f t="shared" si="73"/>
        <v>0</v>
      </c>
      <c r="F678" s="27" t="str">
        <f t="shared" si="74"/>
        <v>00</v>
      </c>
      <c r="G678" s="27" t="str">
        <f t="shared" si="75"/>
        <v>0</v>
      </c>
      <c r="H678" s="27" t="str">
        <f t="shared" si="76"/>
        <v>0</v>
      </c>
      <c r="I678" s="27">
        <v>17700000</v>
      </c>
      <c r="J678" s="26" t="s">
        <v>678</v>
      </c>
      <c r="K678" s="26" t="s">
        <v>679</v>
      </c>
      <c r="L678" s="26"/>
    </row>
    <row r="679" spans="2:12" ht="60" x14ac:dyDescent="0.25">
      <c r="B679" s="7" t="str">
        <f t="shared" si="70"/>
        <v>1</v>
      </c>
      <c r="C679" s="7" t="str">
        <f t="shared" si="71"/>
        <v>7</v>
      </c>
      <c r="D679" s="7" t="str">
        <f t="shared" si="72"/>
        <v>7</v>
      </c>
      <c r="E679" s="7" t="str">
        <f t="shared" si="73"/>
        <v>0</v>
      </c>
      <c r="F679" s="7" t="str">
        <f t="shared" si="74"/>
        <v>00</v>
      </c>
      <c r="G679" s="7" t="str">
        <f t="shared" si="75"/>
        <v>1</v>
      </c>
      <c r="H679" s="7" t="str">
        <f t="shared" si="76"/>
        <v>0</v>
      </c>
      <c r="I679" s="7">
        <v>17700010</v>
      </c>
      <c r="J679" s="8" t="s">
        <v>678</v>
      </c>
      <c r="K679" s="8" t="s">
        <v>679</v>
      </c>
      <c r="L679" s="8"/>
    </row>
    <row r="680" spans="2:12" ht="75" x14ac:dyDescent="0.25">
      <c r="B680" s="17" t="str">
        <f t="shared" si="70"/>
        <v>1</v>
      </c>
      <c r="C680" s="17" t="str">
        <f t="shared" si="71"/>
        <v>7</v>
      </c>
      <c r="D680" s="17" t="str">
        <f t="shared" si="72"/>
        <v>7</v>
      </c>
      <c r="E680" s="17" t="str">
        <f t="shared" si="73"/>
        <v>8</v>
      </c>
      <c r="F680" s="17" t="str">
        <f t="shared" si="74"/>
        <v>00</v>
      </c>
      <c r="G680" s="17" t="str">
        <f t="shared" si="75"/>
        <v>0</v>
      </c>
      <c r="H680" s="17" t="str">
        <f t="shared" si="76"/>
        <v>0</v>
      </c>
      <c r="I680" s="17">
        <v>17780000</v>
      </c>
      <c r="J680" s="16" t="s">
        <v>905</v>
      </c>
      <c r="K680" s="16" t="s">
        <v>1004</v>
      </c>
      <c r="L680" s="16"/>
    </row>
    <row r="681" spans="2:12" ht="75" x14ac:dyDescent="0.25">
      <c r="B681" s="2" t="str">
        <f t="shared" si="70"/>
        <v>1</v>
      </c>
      <c r="C681" s="2" t="str">
        <f t="shared" si="71"/>
        <v>7</v>
      </c>
      <c r="D681" s="2" t="str">
        <f t="shared" si="72"/>
        <v>7</v>
      </c>
      <c r="E681" s="2" t="str">
        <f t="shared" si="73"/>
        <v>8</v>
      </c>
      <c r="F681" s="2" t="str">
        <f t="shared" si="74"/>
        <v>01</v>
      </c>
      <c r="G681" s="2" t="str">
        <f t="shared" si="75"/>
        <v>0</v>
      </c>
      <c r="H681" s="2" t="str">
        <f t="shared" si="76"/>
        <v>0</v>
      </c>
      <c r="I681" s="2">
        <v>17780100</v>
      </c>
      <c r="J681" s="3" t="s">
        <v>1003</v>
      </c>
      <c r="K681" s="3" t="s">
        <v>1004</v>
      </c>
      <c r="L681" s="3"/>
    </row>
    <row r="682" spans="2:12" s="13" customFormat="1" ht="60" x14ac:dyDescent="0.25">
      <c r="B682" s="7" t="str">
        <f t="shared" si="70"/>
        <v>1</v>
      </c>
      <c r="C682" s="7" t="str">
        <f t="shared" si="71"/>
        <v>7</v>
      </c>
      <c r="D682" s="7" t="str">
        <f t="shared" si="72"/>
        <v>7</v>
      </c>
      <c r="E682" s="7" t="str">
        <f t="shared" si="73"/>
        <v>8</v>
      </c>
      <c r="F682" s="7" t="str">
        <f t="shared" si="74"/>
        <v>01</v>
      </c>
      <c r="G682" s="7" t="str">
        <f t="shared" si="75"/>
        <v>1</v>
      </c>
      <c r="H682" s="7" t="str">
        <f t="shared" si="76"/>
        <v>0</v>
      </c>
      <c r="I682" s="7">
        <v>17780110</v>
      </c>
      <c r="J682" s="8" t="s">
        <v>1002</v>
      </c>
      <c r="K682" s="8" t="s">
        <v>1422</v>
      </c>
      <c r="L682" s="8"/>
    </row>
    <row r="683" spans="2:12" s="13" customFormat="1" ht="60" x14ac:dyDescent="0.25">
      <c r="B683" s="7" t="str">
        <f t="shared" si="70"/>
        <v>1</v>
      </c>
      <c r="C683" s="7" t="str">
        <f t="shared" si="71"/>
        <v>7</v>
      </c>
      <c r="D683" s="7" t="str">
        <f t="shared" si="72"/>
        <v>7</v>
      </c>
      <c r="E683" s="7" t="str">
        <f t="shared" si="73"/>
        <v>8</v>
      </c>
      <c r="F683" s="7" t="str">
        <f t="shared" si="74"/>
        <v>01</v>
      </c>
      <c r="G683" s="7" t="str">
        <f t="shared" si="75"/>
        <v>2</v>
      </c>
      <c r="H683" s="7" t="str">
        <f t="shared" si="76"/>
        <v>0</v>
      </c>
      <c r="I683" s="7">
        <v>17780120</v>
      </c>
      <c r="J683" s="8" t="s">
        <v>1421</v>
      </c>
      <c r="K683" s="8" t="s">
        <v>1423</v>
      </c>
      <c r="L683" s="14"/>
    </row>
    <row r="684" spans="2:12" s="13" customFormat="1" ht="75" x14ac:dyDescent="0.25">
      <c r="B684" s="7" t="str">
        <f t="shared" si="70"/>
        <v>1</v>
      </c>
      <c r="C684" s="7" t="str">
        <f t="shared" si="71"/>
        <v>7</v>
      </c>
      <c r="D684" s="7" t="str">
        <f t="shared" si="72"/>
        <v>7</v>
      </c>
      <c r="E684" s="7" t="str">
        <f t="shared" si="73"/>
        <v>8</v>
      </c>
      <c r="F684" s="7" t="str">
        <f t="shared" si="74"/>
        <v>01</v>
      </c>
      <c r="G684" s="7" t="str">
        <f t="shared" si="75"/>
        <v>9</v>
      </c>
      <c r="H684" s="7" t="str">
        <f t="shared" si="76"/>
        <v>0</v>
      </c>
      <c r="I684" s="7">
        <v>17780190</v>
      </c>
      <c r="J684" s="8" t="s">
        <v>1335</v>
      </c>
      <c r="K684" s="8" t="s">
        <v>1005</v>
      </c>
      <c r="L684" s="8"/>
    </row>
    <row r="685" spans="2:12" ht="75" x14ac:dyDescent="0.25">
      <c r="B685" s="19" t="str">
        <f t="shared" si="70"/>
        <v>1</v>
      </c>
      <c r="C685" s="19" t="str">
        <f t="shared" si="71"/>
        <v>7</v>
      </c>
      <c r="D685" s="19" t="str">
        <f t="shared" si="72"/>
        <v>7</v>
      </c>
      <c r="E685" s="19" t="str">
        <f t="shared" si="73"/>
        <v>8</v>
      </c>
      <c r="F685" s="19" t="str">
        <f t="shared" si="74"/>
        <v>10</v>
      </c>
      <c r="G685" s="19" t="str">
        <f t="shared" si="75"/>
        <v>1</v>
      </c>
      <c r="H685" s="19" t="str">
        <f t="shared" si="76"/>
        <v>0</v>
      </c>
      <c r="I685" s="19">
        <v>17781010</v>
      </c>
      <c r="J685" s="18" t="s">
        <v>1335</v>
      </c>
      <c r="K685" s="18" t="s">
        <v>1005</v>
      </c>
      <c r="L685" s="21" t="s">
        <v>1504</v>
      </c>
    </row>
    <row r="686" spans="2:12" ht="30" x14ac:dyDescent="0.25">
      <c r="B686" s="27" t="str">
        <f t="shared" si="70"/>
        <v>1</v>
      </c>
      <c r="C686" s="27" t="str">
        <f t="shared" si="71"/>
        <v>7</v>
      </c>
      <c r="D686" s="27" t="str">
        <f t="shared" si="72"/>
        <v>8</v>
      </c>
      <c r="E686" s="27" t="str">
        <f t="shared" si="73"/>
        <v>0</v>
      </c>
      <c r="F686" s="27" t="str">
        <f t="shared" si="74"/>
        <v>00</v>
      </c>
      <c r="G686" s="27" t="str">
        <f t="shared" si="75"/>
        <v>0</v>
      </c>
      <c r="H686" s="27" t="str">
        <f t="shared" si="76"/>
        <v>0</v>
      </c>
      <c r="I686" s="27">
        <v>17800000</v>
      </c>
      <c r="J686" s="26" t="s">
        <v>680</v>
      </c>
      <c r="K686" s="26" t="s">
        <v>681</v>
      </c>
      <c r="L686" s="26"/>
    </row>
    <row r="687" spans="2:12" ht="30" x14ac:dyDescent="0.25">
      <c r="B687" s="7" t="str">
        <f t="shared" si="70"/>
        <v>1</v>
      </c>
      <c r="C687" s="7" t="str">
        <f t="shared" si="71"/>
        <v>7</v>
      </c>
      <c r="D687" s="7" t="str">
        <f t="shared" si="72"/>
        <v>8</v>
      </c>
      <c r="E687" s="7" t="str">
        <f t="shared" si="73"/>
        <v>0</v>
      </c>
      <c r="F687" s="7" t="str">
        <f t="shared" si="74"/>
        <v>00</v>
      </c>
      <c r="G687" s="7" t="str">
        <f t="shared" si="75"/>
        <v>1</v>
      </c>
      <c r="H687" s="7" t="str">
        <f t="shared" si="76"/>
        <v>0</v>
      </c>
      <c r="I687" s="7">
        <v>17800010</v>
      </c>
      <c r="J687" s="8" t="s">
        <v>680</v>
      </c>
      <c r="K687" s="8" t="s">
        <v>681</v>
      </c>
      <c r="L687" s="8"/>
    </row>
    <row r="688" spans="2:12" x14ac:dyDescent="0.25">
      <c r="B688" s="6" t="str">
        <f t="shared" si="70"/>
        <v>1</v>
      </c>
      <c r="C688" s="6" t="str">
        <f t="shared" si="71"/>
        <v>9</v>
      </c>
      <c r="D688" s="6" t="str">
        <f t="shared" si="72"/>
        <v>0</v>
      </c>
      <c r="E688" s="6" t="str">
        <f t="shared" si="73"/>
        <v>0</v>
      </c>
      <c r="F688" s="6" t="str">
        <f t="shared" si="74"/>
        <v>00</v>
      </c>
      <c r="G688" s="6" t="str">
        <f t="shared" si="75"/>
        <v>0</v>
      </c>
      <c r="H688" s="6" t="str">
        <f t="shared" si="76"/>
        <v>0</v>
      </c>
      <c r="I688" s="6">
        <v>19000000</v>
      </c>
      <c r="J688" s="5" t="s">
        <v>203</v>
      </c>
      <c r="K688" s="5" t="s">
        <v>682</v>
      </c>
      <c r="L688" s="5"/>
    </row>
    <row r="689" spans="2:12" ht="126.75" customHeight="1" x14ac:dyDescent="0.25">
      <c r="B689" s="27" t="str">
        <f t="shared" si="70"/>
        <v>1</v>
      </c>
      <c r="C689" s="27" t="str">
        <f t="shared" si="71"/>
        <v>9</v>
      </c>
      <c r="D689" s="27" t="str">
        <f t="shared" si="72"/>
        <v>1</v>
      </c>
      <c r="E689" s="27" t="str">
        <f t="shared" si="73"/>
        <v>0</v>
      </c>
      <c r="F689" s="27" t="str">
        <f t="shared" si="74"/>
        <v>00</v>
      </c>
      <c r="G689" s="27" t="str">
        <f t="shared" si="75"/>
        <v>0</v>
      </c>
      <c r="H689" s="27" t="str">
        <f t="shared" si="76"/>
        <v>0</v>
      </c>
      <c r="I689" s="27">
        <v>19100000</v>
      </c>
      <c r="J689" s="26" t="s">
        <v>683</v>
      </c>
      <c r="K689" s="26" t="s">
        <v>684</v>
      </c>
      <c r="L689" s="26"/>
    </row>
    <row r="690" spans="2:12" ht="90.75" customHeight="1" x14ac:dyDescent="0.25">
      <c r="B690" s="2" t="str">
        <f t="shared" si="70"/>
        <v>1</v>
      </c>
      <c r="C690" s="2" t="str">
        <f t="shared" si="71"/>
        <v>9</v>
      </c>
      <c r="D690" s="2" t="str">
        <f t="shared" si="72"/>
        <v>1</v>
      </c>
      <c r="E690" s="2" t="str">
        <f t="shared" si="73"/>
        <v>0</v>
      </c>
      <c r="F690" s="2" t="str">
        <f t="shared" si="74"/>
        <v>01</v>
      </c>
      <c r="G690" s="2" t="str">
        <f t="shared" si="75"/>
        <v>0</v>
      </c>
      <c r="H690" s="2" t="str">
        <f t="shared" si="76"/>
        <v>0</v>
      </c>
      <c r="I690" s="2">
        <v>19100100</v>
      </c>
      <c r="J690" s="3" t="s">
        <v>685</v>
      </c>
      <c r="K690" s="3" t="s">
        <v>686</v>
      </c>
      <c r="L690" s="3"/>
    </row>
    <row r="691" spans="2:12" ht="75" x14ac:dyDescent="0.25">
      <c r="B691" s="7" t="str">
        <f t="shared" si="70"/>
        <v>1</v>
      </c>
      <c r="C691" s="7" t="str">
        <f t="shared" si="71"/>
        <v>9</v>
      </c>
      <c r="D691" s="7" t="str">
        <f t="shared" si="72"/>
        <v>1</v>
      </c>
      <c r="E691" s="7" t="str">
        <f t="shared" si="73"/>
        <v>0</v>
      </c>
      <c r="F691" s="7" t="str">
        <f t="shared" si="74"/>
        <v>01</v>
      </c>
      <c r="G691" s="7" t="str">
        <f t="shared" si="75"/>
        <v>1</v>
      </c>
      <c r="H691" s="7" t="str">
        <f t="shared" si="76"/>
        <v>0</v>
      </c>
      <c r="I691" s="7">
        <v>19100110</v>
      </c>
      <c r="J691" s="8" t="s">
        <v>685</v>
      </c>
      <c r="K691" s="8" t="s">
        <v>686</v>
      </c>
      <c r="L691" s="8"/>
    </row>
    <row r="692" spans="2:12" ht="45" x14ac:dyDescent="0.25">
      <c r="B692" s="2" t="str">
        <f t="shared" si="70"/>
        <v>1</v>
      </c>
      <c r="C692" s="2" t="str">
        <f t="shared" si="71"/>
        <v>9</v>
      </c>
      <c r="D692" s="2" t="str">
        <f t="shared" si="72"/>
        <v>1</v>
      </c>
      <c r="E692" s="2" t="str">
        <f t="shared" si="73"/>
        <v>0</v>
      </c>
      <c r="F692" s="2" t="str">
        <f t="shared" si="74"/>
        <v>02</v>
      </c>
      <c r="G692" s="2" t="str">
        <f t="shared" si="75"/>
        <v>0</v>
      </c>
      <c r="H692" s="2" t="str">
        <f t="shared" si="76"/>
        <v>0</v>
      </c>
      <c r="I692" s="2">
        <v>19100200</v>
      </c>
      <c r="J692" s="3" t="s">
        <v>204</v>
      </c>
      <c r="K692" s="3" t="s">
        <v>687</v>
      </c>
      <c r="L692" s="3"/>
    </row>
    <row r="693" spans="2:12" ht="45" x14ac:dyDescent="0.25">
      <c r="B693" s="37" t="str">
        <f t="shared" si="70"/>
        <v>1</v>
      </c>
      <c r="C693" s="37" t="str">
        <f t="shared" si="71"/>
        <v>9</v>
      </c>
      <c r="D693" s="37" t="str">
        <f t="shared" si="72"/>
        <v>1</v>
      </c>
      <c r="E693" s="37" t="str">
        <f t="shared" si="73"/>
        <v>0</v>
      </c>
      <c r="F693" s="37" t="str">
        <f t="shared" si="74"/>
        <v>02</v>
      </c>
      <c r="G693" s="37" t="str">
        <f t="shared" si="75"/>
        <v>1</v>
      </c>
      <c r="H693" s="37" t="str">
        <f t="shared" si="76"/>
        <v>0</v>
      </c>
      <c r="I693" s="37">
        <v>19100210</v>
      </c>
      <c r="J693" s="38" t="s">
        <v>204</v>
      </c>
      <c r="K693" s="38" t="s">
        <v>687</v>
      </c>
      <c r="L693" s="38" t="s">
        <v>1454</v>
      </c>
    </row>
    <row r="694" spans="2:12" ht="45" x14ac:dyDescent="0.25">
      <c r="B694" s="37" t="str">
        <f t="shared" si="70"/>
        <v>1</v>
      </c>
      <c r="C694" s="37" t="str">
        <f t="shared" si="71"/>
        <v>9</v>
      </c>
      <c r="D694" s="37" t="str">
        <f t="shared" si="72"/>
        <v>1</v>
      </c>
      <c r="E694" s="37" t="str">
        <f t="shared" si="73"/>
        <v>0</v>
      </c>
      <c r="F694" s="37" t="str">
        <f t="shared" si="74"/>
        <v>02</v>
      </c>
      <c r="G694" s="37" t="str">
        <f t="shared" si="75"/>
        <v>2</v>
      </c>
      <c r="H694" s="37" t="str">
        <f t="shared" si="76"/>
        <v>0</v>
      </c>
      <c r="I694" s="37">
        <v>19100220</v>
      </c>
      <c r="J694" s="38" t="s">
        <v>1391</v>
      </c>
      <c r="K694" s="38" t="s">
        <v>687</v>
      </c>
      <c r="L694" s="38" t="s">
        <v>1454</v>
      </c>
    </row>
    <row r="695" spans="2:12" ht="30" x14ac:dyDescent="0.25">
      <c r="B695" s="2" t="str">
        <f t="shared" si="70"/>
        <v>1</v>
      </c>
      <c r="C695" s="2" t="str">
        <f t="shared" si="71"/>
        <v>9</v>
      </c>
      <c r="D695" s="2" t="str">
        <f t="shared" si="72"/>
        <v>1</v>
      </c>
      <c r="E695" s="2" t="str">
        <f t="shared" si="73"/>
        <v>0</v>
      </c>
      <c r="F695" s="2" t="str">
        <f t="shared" si="74"/>
        <v>03</v>
      </c>
      <c r="G695" s="2" t="str">
        <f t="shared" si="75"/>
        <v>0</v>
      </c>
      <c r="H695" s="2" t="str">
        <f t="shared" si="76"/>
        <v>0</v>
      </c>
      <c r="I695" s="2">
        <v>19100300</v>
      </c>
      <c r="J695" s="3" t="s">
        <v>205</v>
      </c>
      <c r="K695" s="3" t="s">
        <v>688</v>
      </c>
      <c r="L695" s="3"/>
    </row>
    <row r="696" spans="2:12" ht="30" x14ac:dyDescent="0.25">
      <c r="B696" s="7" t="str">
        <f t="shared" si="70"/>
        <v>1</v>
      </c>
      <c r="C696" s="7" t="str">
        <f t="shared" si="71"/>
        <v>9</v>
      </c>
      <c r="D696" s="7" t="str">
        <f t="shared" si="72"/>
        <v>1</v>
      </c>
      <c r="E696" s="7" t="str">
        <f t="shared" si="73"/>
        <v>0</v>
      </c>
      <c r="F696" s="7" t="str">
        <f t="shared" si="74"/>
        <v>03</v>
      </c>
      <c r="G696" s="7" t="str">
        <f t="shared" si="75"/>
        <v>1</v>
      </c>
      <c r="H696" s="7" t="str">
        <f t="shared" si="76"/>
        <v>0</v>
      </c>
      <c r="I696" s="7">
        <v>19100310</v>
      </c>
      <c r="J696" s="8" t="s">
        <v>205</v>
      </c>
      <c r="K696" s="8" t="s">
        <v>688</v>
      </c>
      <c r="L696" s="8"/>
    </row>
    <row r="697" spans="2:12" ht="30" x14ac:dyDescent="0.25">
      <c r="B697" s="2" t="str">
        <f t="shared" si="70"/>
        <v>1</v>
      </c>
      <c r="C697" s="2" t="str">
        <f t="shared" si="71"/>
        <v>9</v>
      </c>
      <c r="D697" s="2" t="str">
        <f t="shared" si="72"/>
        <v>1</v>
      </c>
      <c r="E697" s="2" t="str">
        <f t="shared" si="73"/>
        <v>0</v>
      </c>
      <c r="F697" s="2" t="str">
        <f t="shared" si="74"/>
        <v>04</v>
      </c>
      <c r="G697" s="2" t="str">
        <f t="shared" si="75"/>
        <v>0</v>
      </c>
      <c r="H697" s="2" t="str">
        <f t="shared" si="76"/>
        <v>0</v>
      </c>
      <c r="I697" s="2">
        <v>19100400</v>
      </c>
      <c r="J697" s="3" t="s">
        <v>206</v>
      </c>
      <c r="K697" s="3" t="s">
        <v>689</v>
      </c>
      <c r="L697" s="3"/>
    </row>
    <row r="698" spans="2:12" ht="30" x14ac:dyDescent="0.25">
      <c r="B698" s="7" t="str">
        <f t="shared" si="70"/>
        <v>1</v>
      </c>
      <c r="C698" s="7" t="str">
        <f t="shared" si="71"/>
        <v>9</v>
      </c>
      <c r="D698" s="7" t="str">
        <f t="shared" si="72"/>
        <v>1</v>
      </c>
      <c r="E698" s="7" t="str">
        <f t="shared" si="73"/>
        <v>0</v>
      </c>
      <c r="F698" s="7" t="str">
        <f t="shared" si="74"/>
        <v>04</v>
      </c>
      <c r="G698" s="7" t="str">
        <f t="shared" si="75"/>
        <v>1</v>
      </c>
      <c r="H698" s="7" t="str">
        <f t="shared" si="76"/>
        <v>0</v>
      </c>
      <c r="I698" s="7">
        <v>19100410</v>
      </c>
      <c r="J698" s="8" t="s">
        <v>206</v>
      </c>
      <c r="K698" s="8" t="s">
        <v>689</v>
      </c>
      <c r="L698" s="8"/>
    </row>
    <row r="699" spans="2:12" ht="30" x14ac:dyDescent="0.25">
      <c r="B699" s="2" t="str">
        <f t="shared" si="70"/>
        <v>1</v>
      </c>
      <c r="C699" s="2" t="str">
        <f t="shared" si="71"/>
        <v>9</v>
      </c>
      <c r="D699" s="2" t="str">
        <f t="shared" si="72"/>
        <v>1</v>
      </c>
      <c r="E699" s="2" t="str">
        <f t="shared" si="73"/>
        <v>0</v>
      </c>
      <c r="F699" s="2" t="str">
        <f t="shared" si="74"/>
        <v>05</v>
      </c>
      <c r="G699" s="2" t="str">
        <f t="shared" si="75"/>
        <v>0</v>
      </c>
      <c r="H699" s="2" t="str">
        <f t="shared" si="76"/>
        <v>0</v>
      </c>
      <c r="I699" s="2">
        <v>19100500</v>
      </c>
      <c r="J699" s="3" t="s">
        <v>690</v>
      </c>
      <c r="K699" s="3" t="s">
        <v>691</v>
      </c>
      <c r="L699" s="3"/>
    </row>
    <row r="700" spans="2:12" ht="30" x14ac:dyDescent="0.25">
      <c r="B700" s="7" t="str">
        <f t="shared" si="70"/>
        <v>1</v>
      </c>
      <c r="C700" s="7" t="str">
        <f t="shared" si="71"/>
        <v>9</v>
      </c>
      <c r="D700" s="7" t="str">
        <f t="shared" si="72"/>
        <v>1</v>
      </c>
      <c r="E700" s="7" t="str">
        <f t="shared" si="73"/>
        <v>0</v>
      </c>
      <c r="F700" s="7" t="str">
        <f t="shared" si="74"/>
        <v>05</v>
      </c>
      <c r="G700" s="7" t="str">
        <f t="shared" si="75"/>
        <v>1</v>
      </c>
      <c r="H700" s="7" t="str">
        <f t="shared" si="76"/>
        <v>0</v>
      </c>
      <c r="I700" s="7">
        <v>19100510</v>
      </c>
      <c r="J700" s="8" t="s">
        <v>690</v>
      </c>
      <c r="K700" s="8" t="s">
        <v>691</v>
      </c>
      <c r="L700" s="8"/>
    </row>
    <row r="701" spans="2:12" ht="30" x14ac:dyDescent="0.25">
      <c r="B701" s="2" t="str">
        <f t="shared" si="70"/>
        <v>1</v>
      </c>
      <c r="C701" s="2" t="str">
        <f t="shared" si="71"/>
        <v>9</v>
      </c>
      <c r="D701" s="2" t="str">
        <f t="shared" si="72"/>
        <v>1</v>
      </c>
      <c r="E701" s="2" t="str">
        <f t="shared" si="73"/>
        <v>0</v>
      </c>
      <c r="F701" s="2" t="str">
        <f t="shared" si="74"/>
        <v>06</v>
      </c>
      <c r="G701" s="2" t="str">
        <f t="shared" si="75"/>
        <v>0</v>
      </c>
      <c r="H701" s="2" t="str">
        <f t="shared" si="76"/>
        <v>0</v>
      </c>
      <c r="I701" s="2">
        <v>19100600</v>
      </c>
      <c r="J701" s="3" t="s">
        <v>209</v>
      </c>
      <c r="K701" s="3" t="s">
        <v>692</v>
      </c>
      <c r="L701" s="3"/>
    </row>
    <row r="702" spans="2:12" ht="30" x14ac:dyDescent="0.25">
      <c r="B702" s="7" t="str">
        <f t="shared" si="70"/>
        <v>1</v>
      </c>
      <c r="C702" s="7" t="str">
        <f t="shared" si="71"/>
        <v>9</v>
      </c>
      <c r="D702" s="7" t="str">
        <f t="shared" si="72"/>
        <v>1</v>
      </c>
      <c r="E702" s="7" t="str">
        <f t="shared" si="73"/>
        <v>0</v>
      </c>
      <c r="F702" s="7" t="str">
        <f t="shared" si="74"/>
        <v>06</v>
      </c>
      <c r="G702" s="7" t="str">
        <f t="shared" si="75"/>
        <v>1</v>
      </c>
      <c r="H702" s="7" t="str">
        <f t="shared" si="76"/>
        <v>0</v>
      </c>
      <c r="I702" s="7">
        <v>19100610</v>
      </c>
      <c r="J702" s="8" t="s">
        <v>210</v>
      </c>
      <c r="K702" s="8" t="s">
        <v>693</v>
      </c>
      <c r="L702" s="8"/>
    </row>
    <row r="703" spans="2:12" ht="30" x14ac:dyDescent="0.25">
      <c r="B703" s="7" t="str">
        <f t="shared" si="70"/>
        <v>1</v>
      </c>
      <c r="C703" s="7" t="str">
        <f t="shared" si="71"/>
        <v>9</v>
      </c>
      <c r="D703" s="7" t="str">
        <f t="shared" si="72"/>
        <v>1</v>
      </c>
      <c r="E703" s="7" t="str">
        <f t="shared" si="73"/>
        <v>0</v>
      </c>
      <c r="F703" s="7" t="str">
        <f t="shared" si="74"/>
        <v>06</v>
      </c>
      <c r="G703" s="7" t="str">
        <f t="shared" si="75"/>
        <v>2</v>
      </c>
      <c r="H703" s="7" t="str">
        <f t="shared" si="76"/>
        <v>0</v>
      </c>
      <c r="I703" s="7">
        <v>19100620</v>
      </c>
      <c r="J703" s="8" t="s">
        <v>211</v>
      </c>
      <c r="K703" s="8" t="s">
        <v>694</v>
      </c>
      <c r="L703" s="8"/>
    </row>
    <row r="704" spans="2:12" ht="30" x14ac:dyDescent="0.25">
      <c r="B704" s="2" t="str">
        <f t="shared" si="70"/>
        <v>1</v>
      </c>
      <c r="C704" s="2" t="str">
        <f t="shared" si="71"/>
        <v>9</v>
      </c>
      <c r="D704" s="2" t="str">
        <f t="shared" si="72"/>
        <v>1</v>
      </c>
      <c r="E704" s="2" t="str">
        <f t="shared" si="73"/>
        <v>0</v>
      </c>
      <c r="F704" s="2" t="str">
        <f t="shared" si="74"/>
        <v>07</v>
      </c>
      <c r="G704" s="2" t="str">
        <f t="shared" si="75"/>
        <v>0</v>
      </c>
      <c r="H704" s="2" t="str">
        <f t="shared" si="76"/>
        <v>0</v>
      </c>
      <c r="I704" s="2">
        <v>19100700</v>
      </c>
      <c r="J704" s="3" t="s">
        <v>212</v>
      </c>
      <c r="K704" s="3" t="s">
        <v>695</v>
      </c>
      <c r="L704" s="3"/>
    </row>
    <row r="705" spans="2:12" ht="30" x14ac:dyDescent="0.25">
      <c r="B705" s="7" t="str">
        <f t="shared" si="70"/>
        <v>1</v>
      </c>
      <c r="C705" s="7" t="str">
        <f t="shared" si="71"/>
        <v>9</v>
      </c>
      <c r="D705" s="7" t="str">
        <f t="shared" si="72"/>
        <v>1</v>
      </c>
      <c r="E705" s="7" t="str">
        <f t="shared" si="73"/>
        <v>0</v>
      </c>
      <c r="F705" s="7" t="str">
        <f t="shared" si="74"/>
        <v>07</v>
      </c>
      <c r="G705" s="7" t="str">
        <f t="shared" si="75"/>
        <v>1</v>
      </c>
      <c r="H705" s="7" t="str">
        <f t="shared" si="76"/>
        <v>0</v>
      </c>
      <c r="I705" s="7">
        <v>19100710</v>
      </c>
      <c r="J705" s="8" t="s">
        <v>212</v>
      </c>
      <c r="K705" s="8" t="s">
        <v>695</v>
      </c>
      <c r="L705" s="8"/>
    </row>
    <row r="706" spans="2:12" x14ac:dyDescent="0.25">
      <c r="B706" s="2" t="str">
        <f t="shared" si="70"/>
        <v>1</v>
      </c>
      <c r="C706" s="2" t="str">
        <f t="shared" si="71"/>
        <v>9</v>
      </c>
      <c r="D706" s="2" t="str">
        <f t="shared" si="72"/>
        <v>1</v>
      </c>
      <c r="E706" s="2" t="str">
        <f t="shared" si="73"/>
        <v>0</v>
      </c>
      <c r="F706" s="2" t="str">
        <f t="shared" si="74"/>
        <v>08</v>
      </c>
      <c r="G706" s="2" t="str">
        <f t="shared" si="75"/>
        <v>0</v>
      </c>
      <c r="H706" s="2" t="str">
        <f t="shared" si="76"/>
        <v>0</v>
      </c>
      <c r="I706" s="2">
        <v>19100800</v>
      </c>
      <c r="J706" s="3" t="s">
        <v>208</v>
      </c>
      <c r="K706" s="3" t="s">
        <v>696</v>
      </c>
      <c r="L706" s="3"/>
    </row>
    <row r="707" spans="2:12" x14ac:dyDescent="0.25">
      <c r="B707" s="7" t="str">
        <f t="shared" ref="B707:B770" si="77">MID($I707,1,1)</f>
        <v>1</v>
      </c>
      <c r="C707" s="7" t="str">
        <f t="shared" ref="C707:C770" si="78">MID($I707,2,1)</f>
        <v>9</v>
      </c>
      <c r="D707" s="7" t="str">
        <f t="shared" ref="D707:D770" si="79">MID($I707,3,1)</f>
        <v>1</v>
      </c>
      <c r="E707" s="7" t="str">
        <f t="shared" ref="E707:E770" si="80">MID($I707,4,1)</f>
        <v>0</v>
      </c>
      <c r="F707" s="7" t="str">
        <f t="shared" ref="F707:F770" si="81">MID($I707,5,2)</f>
        <v>08</v>
      </c>
      <c r="G707" s="7" t="str">
        <f t="shared" ref="G707:G770" si="82">MID($I707,7,1)</f>
        <v>1</v>
      </c>
      <c r="H707" s="7" t="str">
        <f t="shared" ref="H707:H770" si="83">MID($I707,8,1)</f>
        <v>0</v>
      </c>
      <c r="I707" s="7">
        <v>19100810</v>
      </c>
      <c r="J707" s="8" t="s">
        <v>208</v>
      </c>
      <c r="K707" s="8" t="s">
        <v>696</v>
      </c>
      <c r="L707" s="8"/>
    </row>
    <row r="708" spans="2:12" ht="45" x14ac:dyDescent="0.25">
      <c r="B708" s="2" t="str">
        <f t="shared" si="77"/>
        <v>1</v>
      </c>
      <c r="C708" s="2" t="str">
        <f t="shared" si="78"/>
        <v>9</v>
      </c>
      <c r="D708" s="2" t="str">
        <f t="shared" si="79"/>
        <v>1</v>
      </c>
      <c r="E708" s="2" t="str">
        <f t="shared" si="80"/>
        <v>0</v>
      </c>
      <c r="F708" s="2" t="str">
        <f t="shared" si="81"/>
        <v>09</v>
      </c>
      <c r="G708" s="2" t="str">
        <f t="shared" si="82"/>
        <v>0</v>
      </c>
      <c r="H708" s="2" t="str">
        <f t="shared" si="83"/>
        <v>0</v>
      </c>
      <c r="I708" s="2">
        <v>19100900</v>
      </c>
      <c r="J708" s="3" t="s">
        <v>207</v>
      </c>
      <c r="K708" s="3" t="s">
        <v>697</v>
      </c>
      <c r="L708" s="3"/>
    </row>
    <row r="709" spans="2:12" ht="45" x14ac:dyDescent="0.25">
      <c r="B709" s="7" t="str">
        <f t="shared" si="77"/>
        <v>1</v>
      </c>
      <c r="C709" s="7" t="str">
        <f t="shared" si="78"/>
        <v>9</v>
      </c>
      <c r="D709" s="7" t="str">
        <f t="shared" si="79"/>
        <v>1</v>
      </c>
      <c r="E709" s="7" t="str">
        <f t="shared" si="80"/>
        <v>0</v>
      </c>
      <c r="F709" s="7" t="str">
        <f t="shared" si="81"/>
        <v>09</v>
      </c>
      <c r="G709" s="7" t="str">
        <f t="shared" si="82"/>
        <v>1</v>
      </c>
      <c r="H709" s="7" t="str">
        <f t="shared" si="83"/>
        <v>0</v>
      </c>
      <c r="I709" s="7">
        <v>19100910</v>
      </c>
      <c r="J709" s="8" t="s">
        <v>207</v>
      </c>
      <c r="K709" s="8" t="s">
        <v>697</v>
      </c>
      <c r="L709" s="8"/>
    </row>
    <row r="710" spans="2:12" ht="45" x14ac:dyDescent="0.25">
      <c r="B710" s="2" t="str">
        <f t="shared" si="77"/>
        <v>1</v>
      </c>
      <c r="C710" s="2" t="str">
        <f t="shared" si="78"/>
        <v>9</v>
      </c>
      <c r="D710" s="2" t="str">
        <f t="shared" si="79"/>
        <v>1</v>
      </c>
      <c r="E710" s="2" t="str">
        <f t="shared" si="80"/>
        <v>0</v>
      </c>
      <c r="F710" s="2" t="str">
        <f t="shared" si="81"/>
        <v>10</v>
      </c>
      <c r="G710" s="2" t="str">
        <f t="shared" si="82"/>
        <v>0</v>
      </c>
      <c r="H710" s="2" t="str">
        <f t="shared" si="83"/>
        <v>0</v>
      </c>
      <c r="I710" s="2">
        <v>19101000</v>
      </c>
      <c r="J710" s="3" t="s">
        <v>213</v>
      </c>
      <c r="K710" s="3" t="s">
        <v>698</v>
      </c>
      <c r="L710" s="3"/>
    </row>
    <row r="711" spans="2:12" ht="45" x14ac:dyDescent="0.25">
      <c r="B711" s="7" t="str">
        <f t="shared" si="77"/>
        <v>1</v>
      </c>
      <c r="C711" s="7" t="str">
        <f t="shared" si="78"/>
        <v>9</v>
      </c>
      <c r="D711" s="7" t="str">
        <f t="shared" si="79"/>
        <v>1</v>
      </c>
      <c r="E711" s="7" t="str">
        <f t="shared" si="80"/>
        <v>0</v>
      </c>
      <c r="F711" s="7" t="str">
        <f t="shared" si="81"/>
        <v>10</v>
      </c>
      <c r="G711" s="7" t="str">
        <f t="shared" si="82"/>
        <v>1</v>
      </c>
      <c r="H711" s="7" t="str">
        <f t="shared" si="83"/>
        <v>0</v>
      </c>
      <c r="I711" s="7">
        <v>19101010</v>
      </c>
      <c r="J711" s="8" t="s">
        <v>213</v>
      </c>
      <c r="K711" s="8" t="s">
        <v>698</v>
      </c>
      <c r="L711" s="8"/>
    </row>
    <row r="712" spans="2:12" ht="210" x14ac:dyDescent="0.25">
      <c r="B712" s="2" t="str">
        <f t="shared" si="77"/>
        <v>1</v>
      </c>
      <c r="C712" s="2" t="str">
        <f t="shared" si="78"/>
        <v>9</v>
      </c>
      <c r="D712" s="2" t="str">
        <f t="shared" si="79"/>
        <v>1</v>
      </c>
      <c r="E712" s="2" t="str">
        <f t="shared" si="80"/>
        <v>0</v>
      </c>
      <c r="F712" s="2" t="str">
        <f t="shared" si="81"/>
        <v>11</v>
      </c>
      <c r="G712" s="2" t="str">
        <f t="shared" si="82"/>
        <v>0</v>
      </c>
      <c r="H712" s="2" t="str">
        <f t="shared" si="83"/>
        <v>0</v>
      </c>
      <c r="I712" s="2">
        <v>19101100</v>
      </c>
      <c r="J712" s="3" t="s">
        <v>699</v>
      </c>
      <c r="K712" s="3" t="s">
        <v>700</v>
      </c>
      <c r="L712" s="3"/>
    </row>
    <row r="713" spans="2:12" ht="210" x14ac:dyDescent="0.25">
      <c r="B713" s="7" t="str">
        <f t="shared" si="77"/>
        <v>1</v>
      </c>
      <c r="C713" s="7" t="str">
        <f t="shared" si="78"/>
        <v>9</v>
      </c>
      <c r="D713" s="7" t="str">
        <f t="shared" si="79"/>
        <v>1</v>
      </c>
      <c r="E713" s="7" t="str">
        <f t="shared" si="80"/>
        <v>0</v>
      </c>
      <c r="F713" s="7" t="str">
        <f t="shared" si="81"/>
        <v>11</v>
      </c>
      <c r="G713" s="7" t="str">
        <f t="shared" si="82"/>
        <v>1</v>
      </c>
      <c r="H713" s="7" t="str">
        <f t="shared" si="83"/>
        <v>0</v>
      </c>
      <c r="I713" s="7">
        <v>19101110</v>
      </c>
      <c r="J713" s="8" t="s">
        <v>699</v>
      </c>
      <c r="K713" s="8" t="s">
        <v>700</v>
      </c>
      <c r="L713" s="8"/>
    </row>
    <row r="714" spans="2:12" ht="60" x14ac:dyDescent="0.25">
      <c r="B714" s="2" t="str">
        <f t="shared" si="77"/>
        <v>1</v>
      </c>
      <c r="C714" s="2" t="str">
        <f t="shared" si="78"/>
        <v>9</v>
      </c>
      <c r="D714" s="2" t="str">
        <f t="shared" si="79"/>
        <v>1</v>
      </c>
      <c r="E714" s="2" t="str">
        <f t="shared" si="80"/>
        <v>0</v>
      </c>
      <c r="F714" s="2" t="str">
        <f t="shared" si="81"/>
        <v>12</v>
      </c>
      <c r="G714" s="2" t="str">
        <f t="shared" si="82"/>
        <v>0</v>
      </c>
      <c r="H714" s="2" t="str">
        <f t="shared" si="83"/>
        <v>0</v>
      </c>
      <c r="I714" s="2">
        <v>19101200</v>
      </c>
      <c r="J714" s="3" t="s">
        <v>1295</v>
      </c>
      <c r="K714" s="3" t="s">
        <v>1296</v>
      </c>
      <c r="L714" s="3"/>
    </row>
    <row r="715" spans="2:12" ht="60" x14ac:dyDescent="0.25">
      <c r="B715" s="7" t="str">
        <f t="shared" si="77"/>
        <v>1</v>
      </c>
      <c r="C715" s="7" t="str">
        <f t="shared" si="78"/>
        <v>9</v>
      </c>
      <c r="D715" s="7" t="str">
        <f t="shared" si="79"/>
        <v>1</v>
      </c>
      <c r="E715" s="7" t="str">
        <f t="shared" si="80"/>
        <v>0</v>
      </c>
      <c r="F715" s="7" t="str">
        <f t="shared" si="81"/>
        <v>12</v>
      </c>
      <c r="G715" s="7" t="str">
        <f t="shared" si="82"/>
        <v>1</v>
      </c>
      <c r="H715" s="7" t="str">
        <f t="shared" si="83"/>
        <v>0</v>
      </c>
      <c r="I715" s="7">
        <v>19101210</v>
      </c>
      <c r="J715" s="8" t="s">
        <v>1295</v>
      </c>
      <c r="K715" s="8" t="s">
        <v>1296</v>
      </c>
      <c r="L715" s="8"/>
    </row>
    <row r="716" spans="2:12" ht="45" x14ac:dyDescent="0.25">
      <c r="B716" s="2" t="str">
        <f t="shared" si="77"/>
        <v>1</v>
      </c>
      <c r="C716" s="2" t="str">
        <f t="shared" si="78"/>
        <v>9</v>
      </c>
      <c r="D716" s="2" t="str">
        <f t="shared" si="79"/>
        <v>1</v>
      </c>
      <c r="E716" s="2" t="str">
        <f t="shared" si="80"/>
        <v>0</v>
      </c>
      <c r="F716" s="2" t="str">
        <f t="shared" si="81"/>
        <v>13</v>
      </c>
      <c r="G716" s="2" t="str">
        <f t="shared" si="82"/>
        <v>0</v>
      </c>
      <c r="H716" s="2" t="str">
        <f t="shared" si="83"/>
        <v>0</v>
      </c>
      <c r="I716" s="2">
        <v>19101300</v>
      </c>
      <c r="J716" s="3" t="s">
        <v>1297</v>
      </c>
      <c r="K716" s="3" t="s">
        <v>1300</v>
      </c>
      <c r="L716" s="3"/>
    </row>
    <row r="717" spans="2:12" customFormat="1" ht="60" x14ac:dyDescent="0.25">
      <c r="B717" s="7" t="str">
        <f t="shared" si="77"/>
        <v>1</v>
      </c>
      <c r="C717" s="7" t="str">
        <f t="shared" si="78"/>
        <v>9</v>
      </c>
      <c r="D717" s="7" t="str">
        <f t="shared" si="79"/>
        <v>1</v>
      </c>
      <c r="E717" s="7" t="str">
        <f t="shared" si="80"/>
        <v>0</v>
      </c>
      <c r="F717" s="7" t="str">
        <f t="shared" si="81"/>
        <v>13</v>
      </c>
      <c r="G717" s="7" t="str">
        <f t="shared" si="82"/>
        <v>1</v>
      </c>
      <c r="H717" s="7" t="str">
        <f t="shared" si="83"/>
        <v>0</v>
      </c>
      <c r="I717" s="7">
        <v>19101310</v>
      </c>
      <c r="J717" s="8" t="s">
        <v>1298</v>
      </c>
      <c r="K717" s="8" t="s">
        <v>1299</v>
      </c>
      <c r="L717" s="8"/>
    </row>
    <row r="718" spans="2:12" ht="60" x14ac:dyDescent="0.25">
      <c r="B718" s="7" t="str">
        <f t="shared" si="77"/>
        <v>1</v>
      </c>
      <c r="C718" s="7" t="str">
        <f t="shared" si="78"/>
        <v>9</v>
      </c>
      <c r="D718" s="7" t="str">
        <f t="shared" si="79"/>
        <v>1</v>
      </c>
      <c r="E718" s="7" t="str">
        <f t="shared" si="80"/>
        <v>0</v>
      </c>
      <c r="F718" s="7" t="str">
        <f t="shared" si="81"/>
        <v>13</v>
      </c>
      <c r="G718" s="7" t="str">
        <f t="shared" si="82"/>
        <v>2</v>
      </c>
      <c r="H718" s="7" t="str">
        <f t="shared" si="83"/>
        <v>0</v>
      </c>
      <c r="I718" s="7">
        <v>19101320</v>
      </c>
      <c r="J718" s="8" t="s">
        <v>1336</v>
      </c>
      <c r="K718" s="8" t="s">
        <v>1301</v>
      </c>
      <c r="L718" s="4"/>
    </row>
    <row r="719" spans="2:12" ht="30" x14ac:dyDescent="0.25">
      <c r="B719" s="27" t="str">
        <f t="shared" si="77"/>
        <v>1</v>
      </c>
      <c r="C719" s="27" t="str">
        <f t="shared" si="78"/>
        <v>9</v>
      </c>
      <c r="D719" s="27" t="str">
        <f t="shared" si="79"/>
        <v>2</v>
      </c>
      <c r="E719" s="27" t="str">
        <f t="shared" si="80"/>
        <v>0</v>
      </c>
      <c r="F719" s="27" t="str">
        <f t="shared" si="81"/>
        <v>00</v>
      </c>
      <c r="G719" s="27" t="str">
        <f t="shared" si="82"/>
        <v>0</v>
      </c>
      <c r="H719" s="27" t="str">
        <f t="shared" si="83"/>
        <v>0</v>
      </c>
      <c r="I719" s="27">
        <v>19200000</v>
      </c>
      <c r="J719" s="26" t="s">
        <v>701</v>
      </c>
      <c r="K719" s="26" t="s">
        <v>702</v>
      </c>
      <c r="L719" s="26"/>
    </row>
    <row r="720" spans="2:12" ht="30" x14ac:dyDescent="0.25">
      <c r="B720" s="17" t="str">
        <f t="shared" si="77"/>
        <v>1</v>
      </c>
      <c r="C720" s="17" t="str">
        <f t="shared" si="78"/>
        <v>9</v>
      </c>
      <c r="D720" s="17" t="str">
        <f t="shared" si="79"/>
        <v>2</v>
      </c>
      <c r="E720" s="17" t="str">
        <f t="shared" si="80"/>
        <v>1</v>
      </c>
      <c r="F720" s="17" t="str">
        <f t="shared" si="81"/>
        <v>00</v>
      </c>
      <c r="G720" s="17" t="str">
        <f t="shared" si="82"/>
        <v>0</v>
      </c>
      <c r="H720" s="17" t="str">
        <f t="shared" si="83"/>
        <v>0</v>
      </c>
      <c r="I720" s="17">
        <v>19210000</v>
      </c>
      <c r="J720" s="16" t="s">
        <v>214</v>
      </c>
      <c r="K720" s="16" t="s">
        <v>703</v>
      </c>
      <c r="L720" s="16"/>
    </row>
    <row r="721" spans="2:12" ht="30" x14ac:dyDescent="0.25">
      <c r="B721" s="2" t="str">
        <f t="shared" si="77"/>
        <v>1</v>
      </c>
      <c r="C721" s="2" t="str">
        <f t="shared" si="78"/>
        <v>9</v>
      </c>
      <c r="D721" s="2" t="str">
        <f t="shared" si="79"/>
        <v>2</v>
      </c>
      <c r="E721" s="2" t="str">
        <f t="shared" si="80"/>
        <v>1</v>
      </c>
      <c r="F721" s="2" t="str">
        <f t="shared" si="81"/>
        <v>01</v>
      </c>
      <c r="G721" s="2" t="str">
        <f t="shared" si="82"/>
        <v>0</v>
      </c>
      <c r="H721" s="2" t="str">
        <f t="shared" si="83"/>
        <v>0</v>
      </c>
      <c r="I721" s="2">
        <v>19210100</v>
      </c>
      <c r="J721" s="3" t="s">
        <v>215</v>
      </c>
      <c r="K721" s="3" t="s">
        <v>704</v>
      </c>
      <c r="L721" s="3"/>
    </row>
    <row r="722" spans="2:12" ht="30" x14ac:dyDescent="0.25">
      <c r="B722" s="7" t="str">
        <f t="shared" si="77"/>
        <v>1</v>
      </c>
      <c r="C722" s="7" t="str">
        <f t="shared" si="78"/>
        <v>9</v>
      </c>
      <c r="D722" s="7" t="str">
        <f t="shared" si="79"/>
        <v>2</v>
      </c>
      <c r="E722" s="7" t="str">
        <f t="shared" si="80"/>
        <v>1</v>
      </c>
      <c r="F722" s="7" t="str">
        <f t="shared" si="81"/>
        <v>01</v>
      </c>
      <c r="G722" s="7" t="str">
        <f t="shared" si="82"/>
        <v>1</v>
      </c>
      <c r="H722" s="7" t="str">
        <f t="shared" si="83"/>
        <v>0</v>
      </c>
      <c r="I722" s="7">
        <v>19210110</v>
      </c>
      <c r="J722" s="8" t="s">
        <v>215</v>
      </c>
      <c r="K722" s="8" t="s">
        <v>704</v>
      </c>
      <c r="L722" s="8"/>
    </row>
    <row r="723" spans="2:12" ht="30" x14ac:dyDescent="0.25">
      <c r="B723" s="2" t="str">
        <f t="shared" si="77"/>
        <v>1</v>
      </c>
      <c r="C723" s="2" t="str">
        <f t="shared" si="78"/>
        <v>9</v>
      </c>
      <c r="D723" s="2" t="str">
        <f t="shared" si="79"/>
        <v>2</v>
      </c>
      <c r="E723" s="2" t="str">
        <f t="shared" si="80"/>
        <v>1</v>
      </c>
      <c r="F723" s="2" t="str">
        <f t="shared" si="81"/>
        <v>02</v>
      </c>
      <c r="G723" s="2" t="str">
        <f t="shared" si="82"/>
        <v>0</v>
      </c>
      <c r="H723" s="2" t="str">
        <f t="shared" si="83"/>
        <v>0</v>
      </c>
      <c r="I723" s="2">
        <v>19210200</v>
      </c>
      <c r="J723" s="3" t="s">
        <v>705</v>
      </c>
      <c r="K723" s="3" t="s">
        <v>706</v>
      </c>
      <c r="L723" s="3"/>
    </row>
    <row r="724" spans="2:12" ht="30" x14ac:dyDescent="0.25">
      <c r="B724" s="7" t="str">
        <f t="shared" si="77"/>
        <v>1</v>
      </c>
      <c r="C724" s="7" t="str">
        <f t="shared" si="78"/>
        <v>9</v>
      </c>
      <c r="D724" s="7" t="str">
        <f t="shared" si="79"/>
        <v>2</v>
      </c>
      <c r="E724" s="7" t="str">
        <f t="shared" si="80"/>
        <v>1</v>
      </c>
      <c r="F724" s="7" t="str">
        <f t="shared" si="81"/>
        <v>02</v>
      </c>
      <c r="G724" s="7" t="str">
        <f t="shared" si="82"/>
        <v>1</v>
      </c>
      <c r="H724" s="7" t="str">
        <f t="shared" si="83"/>
        <v>0</v>
      </c>
      <c r="I724" s="7">
        <v>19210210</v>
      </c>
      <c r="J724" s="8" t="s">
        <v>705</v>
      </c>
      <c r="K724" s="8" t="s">
        <v>706</v>
      </c>
      <c r="L724" s="8"/>
    </row>
    <row r="725" spans="2:12" ht="75" x14ac:dyDescent="0.25">
      <c r="B725" s="2" t="str">
        <f t="shared" si="77"/>
        <v>1</v>
      </c>
      <c r="C725" s="2" t="str">
        <f t="shared" si="78"/>
        <v>9</v>
      </c>
      <c r="D725" s="2" t="str">
        <f t="shared" si="79"/>
        <v>2</v>
      </c>
      <c r="E725" s="2" t="str">
        <f t="shared" si="80"/>
        <v>1</v>
      </c>
      <c r="F725" s="2" t="str">
        <f t="shared" si="81"/>
        <v>03</v>
      </c>
      <c r="G725" s="2" t="str">
        <f t="shared" si="82"/>
        <v>0</v>
      </c>
      <c r="H725" s="2" t="str">
        <f t="shared" si="83"/>
        <v>0</v>
      </c>
      <c r="I725" s="2">
        <v>19210300</v>
      </c>
      <c r="J725" s="3" t="s">
        <v>707</v>
      </c>
      <c r="K725" s="3" t="s">
        <v>708</v>
      </c>
      <c r="L725" s="3"/>
    </row>
    <row r="726" spans="2:12" ht="75" x14ac:dyDescent="0.25">
      <c r="B726" s="7" t="str">
        <f t="shared" si="77"/>
        <v>1</v>
      </c>
      <c r="C726" s="7" t="str">
        <f t="shared" si="78"/>
        <v>9</v>
      </c>
      <c r="D726" s="7" t="str">
        <f t="shared" si="79"/>
        <v>2</v>
      </c>
      <c r="E726" s="7" t="str">
        <f t="shared" si="80"/>
        <v>1</v>
      </c>
      <c r="F726" s="7" t="str">
        <f t="shared" si="81"/>
        <v>03</v>
      </c>
      <c r="G726" s="7" t="str">
        <f t="shared" si="82"/>
        <v>1</v>
      </c>
      <c r="H726" s="7" t="str">
        <f t="shared" si="83"/>
        <v>0</v>
      </c>
      <c r="I726" s="7">
        <v>19210310</v>
      </c>
      <c r="J726" s="8" t="s">
        <v>707</v>
      </c>
      <c r="K726" s="8" t="s">
        <v>708</v>
      </c>
      <c r="L726" s="8"/>
    </row>
    <row r="727" spans="2:12" ht="30" x14ac:dyDescent="0.25">
      <c r="B727" s="2" t="str">
        <f t="shared" si="77"/>
        <v>1</v>
      </c>
      <c r="C727" s="2" t="str">
        <f t="shared" si="78"/>
        <v>9</v>
      </c>
      <c r="D727" s="2" t="str">
        <f t="shared" si="79"/>
        <v>2</v>
      </c>
      <c r="E727" s="2" t="str">
        <f t="shared" si="80"/>
        <v>1</v>
      </c>
      <c r="F727" s="2" t="str">
        <f t="shared" si="81"/>
        <v>99</v>
      </c>
      <c r="G727" s="2" t="str">
        <f t="shared" si="82"/>
        <v>0</v>
      </c>
      <c r="H727" s="2" t="str">
        <f t="shared" si="83"/>
        <v>0</v>
      </c>
      <c r="I727" s="2">
        <v>19219900</v>
      </c>
      <c r="J727" s="3" t="s">
        <v>216</v>
      </c>
      <c r="K727" s="3" t="s">
        <v>709</v>
      </c>
      <c r="L727" s="3"/>
    </row>
    <row r="728" spans="2:12" ht="30" x14ac:dyDescent="0.25">
      <c r="B728" s="7" t="str">
        <f t="shared" si="77"/>
        <v>1</v>
      </c>
      <c r="C728" s="7" t="str">
        <f t="shared" si="78"/>
        <v>9</v>
      </c>
      <c r="D728" s="7" t="str">
        <f t="shared" si="79"/>
        <v>2</v>
      </c>
      <c r="E728" s="7" t="str">
        <f t="shared" si="80"/>
        <v>1</v>
      </c>
      <c r="F728" s="7" t="str">
        <f t="shared" si="81"/>
        <v>99</v>
      </c>
      <c r="G728" s="7" t="str">
        <f t="shared" si="82"/>
        <v>1</v>
      </c>
      <c r="H728" s="7" t="str">
        <f t="shared" si="83"/>
        <v>0</v>
      </c>
      <c r="I728" s="7">
        <v>19219910</v>
      </c>
      <c r="J728" s="8" t="s">
        <v>216</v>
      </c>
      <c r="K728" s="8" t="s">
        <v>709</v>
      </c>
      <c r="L728" s="8"/>
    </row>
    <row r="729" spans="2:12" ht="45" x14ac:dyDescent="0.25">
      <c r="B729" s="17" t="str">
        <f t="shared" si="77"/>
        <v>1</v>
      </c>
      <c r="C729" s="17" t="str">
        <f t="shared" si="78"/>
        <v>9</v>
      </c>
      <c r="D729" s="17" t="str">
        <f t="shared" si="79"/>
        <v>2</v>
      </c>
      <c r="E729" s="17" t="str">
        <f t="shared" si="80"/>
        <v>2</v>
      </c>
      <c r="F729" s="17" t="str">
        <f t="shared" si="81"/>
        <v>00</v>
      </c>
      <c r="G729" s="17" t="str">
        <f t="shared" si="82"/>
        <v>0</v>
      </c>
      <c r="H729" s="17" t="str">
        <f t="shared" si="83"/>
        <v>0</v>
      </c>
      <c r="I729" s="17">
        <v>19220000</v>
      </c>
      <c r="J729" s="16" t="s">
        <v>217</v>
      </c>
      <c r="K729" s="16" t="s">
        <v>710</v>
      </c>
      <c r="L729" s="16"/>
    </row>
    <row r="730" spans="2:12" ht="60" x14ac:dyDescent="0.25">
      <c r="B730" s="2" t="str">
        <f t="shared" si="77"/>
        <v>1</v>
      </c>
      <c r="C730" s="2" t="str">
        <f t="shared" si="78"/>
        <v>9</v>
      </c>
      <c r="D730" s="2" t="str">
        <f t="shared" si="79"/>
        <v>2</v>
      </c>
      <c r="E730" s="2" t="str">
        <f t="shared" si="80"/>
        <v>2</v>
      </c>
      <c r="F730" s="2" t="str">
        <f t="shared" si="81"/>
        <v>01</v>
      </c>
      <c r="G730" s="2" t="str">
        <f t="shared" si="82"/>
        <v>0</v>
      </c>
      <c r="H730" s="2" t="str">
        <f t="shared" si="83"/>
        <v>0</v>
      </c>
      <c r="I730" s="2">
        <v>19220100</v>
      </c>
      <c r="J730" s="3" t="s">
        <v>711</v>
      </c>
      <c r="K730" s="3" t="s">
        <v>1373</v>
      </c>
      <c r="L730" s="12"/>
    </row>
    <row r="731" spans="2:12" ht="60" x14ac:dyDescent="0.25">
      <c r="B731" s="7" t="str">
        <f t="shared" si="77"/>
        <v>1</v>
      </c>
      <c r="C731" s="7" t="str">
        <f t="shared" si="78"/>
        <v>9</v>
      </c>
      <c r="D731" s="7" t="str">
        <f t="shared" si="79"/>
        <v>2</v>
      </c>
      <c r="E731" s="7" t="str">
        <f t="shared" si="80"/>
        <v>2</v>
      </c>
      <c r="F731" s="7" t="str">
        <f t="shared" si="81"/>
        <v>01</v>
      </c>
      <c r="G731" s="7" t="str">
        <f t="shared" si="82"/>
        <v>1</v>
      </c>
      <c r="H731" s="7" t="str">
        <f t="shared" si="83"/>
        <v>0</v>
      </c>
      <c r="I731" s="7">
        <v>19220110</v>
      </c>
      <c r="J731" s="8" t="s">
        <v>712</v>
      </c>
      <c r="K731" s="8" t="s">
        <v>713</v>
      </c>
      <c r="L731" s="8"/>
    </row>
    <row r="732" spans="2:12" ht="60" x14ac:dyDescent="0.25">
      <c r="B732" s="7" t="str">
        <f t="shared" si="77"/>
        <v>1</v>
      </c>
      <c r="C732" s="7" t="str">
        <f t="shared" si="78"/>
        <v>9</v>
      </c>
      <c r="D732" s="7" t="str">
        <f t="shared" si="79"/>
        <v>2</v>
      </c>
      <c r="E732" s="7" t="str">
        <f t="shared" si="80"/>
        <v>2</v>
      </c>
      <c r="F732" s="7" t="str">
        <f t="shared" si="81"/>
        <v>01</v>
      </c>
      <c r="G732" s="7" t="str">
        <f t="shared" si="82"/>
        <v>2</v>
      </c>
      <c r="H732" s="7" t="str">
        <f t="shared" si="83"/>
        <v>0</v>
      </c>
      <c r="I732" s="7">
        <v>19220120</v>
      </c>
      <c r="J732" s="8" t="s">
        <v>714</v>
      </c>
      <c r="K732" s="8" t="s">
        <v>713</v>
      </c>
      <c r="L732" s="8"/>
    </row>
    <row r="733" spans="2:12" ht="45" x14ac:dyDescent="0.25">
      <c r="B733" s="2" t="str">
        <f t="shared" si="77"/>
        <v>1</v>
      </c>
      <c r="C733" s="2" t="str">
        <f t="shared" si="78"/>
        <v>9</v>
      </c>
      <c r="D733" s="2" t="str">
        <f t="shared" si="79"/>
        <v>2</v>
      </c>
      <c r="E733" s="2" t="str">
        <f t="shared" si="80"/>
        <v>2</v>
      </c>
      <c r="F733" s="2" t="str">
        <f t="shared" si="81"/>
        <v>02</v>
      </c>
      <c r="G733" s="2" t="str">
        <f t="shared" si="82"/>
        <v>0</v>
      </c>
      <c r="H733" s="2" t="str">
        <f t="shared" si="83"/>
        <v>0</v>
      </c>
      <c r="I733" s="2">
        <v>19220200</v>
      </c>
      <c r="J733" s="3" t="s">
        <v>715</v>
      </c>
      <c r="K733" s="3" t="s">
        <v>716</v>
      </c>
      <c r="L733" s="3"/>
    </row>
    <row r="734" spans="2:12" ht="45" x14ac:dyDescent="0.25">
      <c r="B734" s="7" t="str">
        <f t="shared" si="77"/>
        <v>1</v>
      </c>
      <c r="C734" s="7" t="str">
        <f t="shared" si="78"/>
        <v>9</v>
      </c>
      <c r="D734" s="7" t="str">
        <f t="shared" si="79"/>
        <v>2</v>
      </c>
      <c r="E734" s="7" t="str">
        <f t="shared" si="80"/>
        <v>2</v>
      </c>
      <c r="F734" s="7" t="str">
        <f t="shared" si="81"/>
        <v>02</v>
      </c>
      <c r="G734" s="7" t="str">
        <f t="shared" si="82"/>
        <v>1</v>
      </c>
      <c r="H734" s="7" t="str">
        <f t="shared" si="83"/>
        <v>0</v>
      </c>
      <c r="I734" s="7">
        <v>19220210</v>
      </c>
      <c r="J734" s="8" t="s">
        <v>715</v>
      </c>
      <c r="K734" s="8" t="s">
        <v>716</v>
      </c>
      <c r="L734" s="8"/>
    </row>
    <row r="735" spans="2:12" x14ac:dyDescent="0.25">
      <c r="B735" s="2" t="str">
        <f t="shared" si="77"/>
        <v>1</v>
      </c>
      <c r="C735" s="2" t="str">
        <f t="shared" si="78"/>
        <v>9</v>
      </c>
      <c r="D735" s="2" t="str">
        <f t="shared" si="79"/>
        <v>2</v>
      </c>
      <c r="E735" s="2" t="str">
        <f t="shared" si="80"/>
        <v>2</v>
      </c>
      <c r="F735" s="2" t="str">
        <f t="shared" si="81"/>
        <v>03</v>
      </c>
      <c r="G735" s="2" t="str">
        <f t="shared" si="82"/>
        <v>0</v>
      </c>
      <c r="H735" s="2" t="str">
        <f t="shared" si="83"/>
        <v>0</v>
      </c>
      <c r="I735" s="2">
        <v>19220300</v>
      </c>
      <c r="J735" s="3" t="s">
        <v>717</v>
      </c>
      <c r="K735" s="3" t="s">
        <v>718</v>
      </c>
      <c r="L735" s="3"/>
    </row>
    <row r="736" spans="2:12" x14ac:dyDescent="0.25">
      <c r="B736" s="7" t="str">
        <f t="shared" si="77"/>
        <v>1</v>
      </c>
      <c r="C736" s="7" t="str">
        <f t="shared" si="78"/>
        <v>9</v>
      </c>
      <c r="D736" s="7" t="str">
        <f t="shared" si="79"/>
        <v>2</v>
      </c>
      <c r="E736" s="7" t="str">
        <f t="shared" si="80"/>
        <v>2</v>
      </c>
      <c r="F736" s="7" t="str">
        <f t="shared" si="81"/>
        <v>03</v>
      </c>
      <c r="G736" s="7" t="str">
        <f t="shared" si="82"/>
        <v>1</v>
      </c>
      <c r="H736" s="7" t="str">
        <f t="shared" si="83"/>
        <v>0</v>
      </c>
      <c r="I736" s="7">
        <v>19220310</v>
      </c>
      <c r="J736" s="8" t="s">
        <v>717</v>
      </c>
      <c r="K736" s="8" t="s">
        <v>718</v>
      </c>
      <c r="L736" s="8"/>
    </row>
    <row r="737" spans="2:12" ht="60" x14ac:dyDescent="0.25">
      <c r="B737" s="2" t="str">
        <f t="shared" si="77"/>
        <v>1</v>
      </c>
      <c r="C737" s="2" t="str">
        <f t="shared" si="78"/>
        <v>9</v>
      </c>
      <c r="D737" s="2" t="str">
        <f t="shared" si="79"/>
        <v>2</v>
      </c>
      <c r="E737" s="2" t="str">
        <f t="shared" si="80"/>
        <v>2</v>
      </c>
      <c r="F737" s="2" t="str">
        <f t="shared" si="81"/>
        <v>04</v>
      </c>
      <c r="G737" s="2" t="str">
        <f t="shared" si="82"/>
        <v>0</v>
      </c>
      <c r="H737" s="2" t="str">
        <f t="shared" si="83"/>
        <v>0</v>
      </c>
      <c r="I737" s="2">
        <v>19220400</v>
      </c>
      <c r="J737" s="3" t="s">
        <v>719</v>
      </c>
      <c r="K737" s="3" t="s">
        <v>720</v>
      </c>
      <c r="L737" s="3"/>
    </row>
    <row r="738" spans="2:12" ht="60" x14ac:dyDescent="0.25">
      <c r="B738" s="7" t="str">
        <f t="shared" si="77"/>
        <v>1</v>
      </c>
      <c r="C738" s="7" t="str">
        <f t="shared" si="78"/>
        <v>9</v>
      </c>
      <c r="D738" s="7" t="str">
        <f t="shared" si="79"/>
        <v>2</v>
      </c>
      <c r="E738" s="7" t="str">
        <f t="shared" si="80"/>
        <v>2</v>
      </c>
      <c r="F738" s="7" t="str">
        <f t="shared" si="81"/>
        <v>04</v>
      </c>
      <c r="G738" s="7" t="str">
        <f t="shared" si="82"/>
        <v>1</v>
      </c>
      <c r="H738" s="7" t="str">
        <f t="shared" si="83"/>
        <v>0</v>
      </c>
      <c r="I738" s="7">
        <v>19220410</v>
      </c>
      <c r="J738" s="8" t="s">
        <v>719</v>
      </c>
      <c r="K738" s="8" t="s">
        <v>720</v>
      </c>
      <c r="L738" s="8"/>
    </row>
    <row r="739" spans="2:12" ht="45" x14ac:dyDescent="0.25">
      <c r="B739" s="2" t="str">
        <f t="shared" si="77"/>
        <v>1</v>
      </c>
      <c r="C739" s="2" t="str">
        <f t="shared" si="78"/>
        <v>9</v>
      </c>
      <c r="D739" s="2" t="str">
        <f t="shared" si="79"/>
        <v>2</v>
      </c>
      <c r="E739" s="2" t="str">
        <f t="shared" si="80"/>
        <v>2</v>
      </c>
      <c r="F739" s="2" t="str">
        <f t="shared" si="81"/>
        <v>05</v>
      </c>
      <c r="G739" s="2" t="str">
        <f t="shared" si="82"/>
        <v>0</v>
      </c>
      <c r="H739" s="2" t="str">
        <f t="shared" si="83"/>
        <v>0</v>
      </c>
      <c r="I739" s="2">
        <v>19220500</v>
      </c>
      <c r="J739" s="3" t="s">
        <v>218</v>
      </c>
      <c r="K739" s="3" t="s">
        <v>721</v>
      </c>
      <c r="L739" s="3"/>
    </row>
    <row r="740" spans="2:12" ht="45" x14ac:dyDescent="0.25">
      <c r="B740" s="7" t="str">
        <f t="shared" si="77"/>
        <v>1</v>
      </c>
      <c r="C740" s="7" t="str">
        <f t="shared" si="78"/>
        <v>9</v>
      </c>
      <c r="D740" s="7" t="str">
        <f t="shared" si="79"/>
        <v>2</v>
      </c>
      <c r="E740" s="7" t="str">
        <f t="shared" si="80"/>
        <v>2</v>
      </c>
      <c r="F740" s="7" t="str">
        <f t="shared" si="81"/>
        <v>05</v>
      </c>
      <c r="G740" s="7" t="str">
        <f t="shared" si="82"/>
        <v>1</v>
      </c>
      <c r="H740" s="7" t="str">
        <f t="shared" si="83"/>
        <v>0</v>
      </c>
      <c r="I740" s="7">
        <v>19220510</v>
      </c>
      <c r="J740" s="8" t="s">
        <v>218</v>
      </c>
      <c r="K740" s="8" t="s">
        <v>721</v>
      </c>
      <c r="L740" s="8"/>
    </row>
    <row r="741" spans="2:12" ht="60" x14ac:dyDescent="0.25">
      <c r="B741" s="2" t="str">
        <f t="shared" si="77"/>
        <v>1</v>
      </c>
      <c r="C741" s="2" t="str">
        <f t="shared" si="78"/>
        <v>9</v>
      </c>
      <c r="D741" s="2" t="str">
        <f t="shared" si="79"/>
        <v>2</v>
      </c>
      <c r="E741" s="2" t="str">
        <f t="shared" si="80"/>
        <v>2</v>
      </c>
      <c r="F741" s="2" t="str">
        <f t="shared" si="81"/>
        <v>06</v>
      </c>
      <c r="G741" s="2" t="str">
        <f t="shared" si="82"/>
        <v>0</v>
      </c>
      <c r="H741" s="2" t="str">
        <f t="shared" si="83"/>
        <v>0</v>
      </c>
      <c r="I741" s="2">
        <v>19220600</v>
      </c>
      <c r="J741" s="3" t="s">
        <v>722</v>
      </c>
      <c r="K741" s="3" t="s">
        <v>723</v>
      </c>
      <c r="L741" s="3"/>
    </row>
    <row r="742" spans="2:12" ht="60" x14ac:dyDescent="0.25">
      <c r="B742" s="7" t="str">
        <f t="shared" si="77"/>
        <v>1</v>
      </c>
      <c r="C742" s="7" t="str">
        <f t="shared" si="78"/>
        <v>9</v>
      </c>
      <c r="D742" s="7" t="str">
        <f t="shared" si="79"/>
        <v>2</v>
      </c>
      <c r="E742" s="7" t="str">
        <f t="shared" si="80"/>
        <v>2</v>
      </c>
      <c r="F742" s="7" t="str">
        <f t="shared" si="81"/>
        <v>06</v>
      </c>
      <c r="G742" s="7" t="str">
        <f t="shared" si="82"/>
        <v>1</v>
      </c>
      <c r="H742" s="7" t="str">
        <f t="shared" si="83"/>
        <v>0</v>
      </c>
      <c r="I742" s="7">
        <v>19220610</v>
      </c>
      <c r="J742" s="8" t="s">
        <v>722</v>
      </c>
      <c r="K742" s="8" t="s">
        <v>723</v>
      </c>
      <c r="L742" s="8"/>
    </row>
    <row r="743" spans="2:12" ht="90" x14ac:dyDescent="0.25">
      <c r="B743" s="2" t="str">
        <f t="shared" si="77"/>
        <v>1</v>
      </c>
      <c r="C743" s="2" t="str">
        <f t="shared" si="78"/>
        <v>9</v>
      </c>
      <c r="D743" s="2" t="str">
        <f t="shared" si="79"/>
        <v>2</v>
      </c>
      <c r="E743" s="2" t="str">
        <f t="shared" si="80"/>
        <v>2</v>
      </c>
      <c r="F743" s="2" t="str">
        <f t="shared" si="81"/>
        <v>07</v>
      </c>
      <c r="G743" s="2" t="str">
        <f t="shared" si="82"/>
        <v>0</v>
      </c>
      <c r="H743" s="2" t="str">
        <f t="shared" si="83"/>
        <v>0</v>
      </c>
      <c r="I743" s="2">
        <v>19220700</v>
      </c>
      <c r="J743" s="3" t="s">
        <v>220</v>
      </c>
      <c r="K743" s="3" t="s">
        <v>724</v>
      </c>
      <c r="L743" s="3"/>
    </row>
    <row r="744" spans="2:12" ht="90" x14ac:dyDescent="0.25">
      <c r="B744" s="7" t="str">
        <f t="shared" si="77"/>
        <v>1</v>
      </c>
      <c r="C744" s="7" t="str">
        <f t="shared" si="78"/>
        <v>9</v>
      </c>
      <c r="D744" s="7" t="str">
        <f t="shared" si="79"/>
        <v>2</v>
      </c>
      <c r="E744" s="7" t="str">
        <f t="shared" si="80"/>
        <v>2</v>
      </c>
      <c r="F744" s="7" t="str">
        <f t="shared" si="81"/>
        <v>07</v>
      </c>
      <c r="G744" s="7" t="str">
        <f t="shared" si="82"/>
        <v>1</v>
      </c>
      <c r="H744" s="7" t="str">
        <f t="shared" si="83"/>
        <v>0</v>
      </c>
      <c r="I744" s="7">
        <v>19220710</v>
      </c>
      <c r="J744" s="8" t="s">
        <v>220</v>
      </c>
      <c r="K744" s="8" t="s">
        <v>724</v>
      </c>
      <c r="L744" s="8"/>
    </row>
    <row r="745" spans="2:12" ht="75" x14ac:dyDescent="0.25">
      <c r="B745" s="2" t="str">
        <f t="shared" si="77"/>
        <v>1</v>
      </c>
      <c r="C745" s="2" t="str">
        <f t="shared" si="78"/>
        <v>9</v>
      </c>
      <c r="D745" s="2" t="str">
        <f t="shared" si="79"/>
        <v>2</v>
      </c>
      <c r="E745" s="2" t="str">
        <f t="shared" si="80"/>
        <v>2</v>
      </c>
      <c r="F745" s="2" t="str">
        <f t="shared" si="81"/>
        <v>08</v>
      </c>
      <c r="G745" s="2" t="str">
        <f t="shared" si="82"/>
        <v>0</v>
      </c>
      <c r="H745" s="2" t="str">
        <f t="shared" si="83"/>
        <v>0</v>
      </c>
      <c r="I745" s="2">
        <v>19220800</v>
      </c>
      <c r="J745" s="3" t="s">
        <v>725</v>
      </c>
      <c r="K745" s="3" t="s">
        <v>726</v>
      </c>
      <c r="L745" s="3"/>
    </row>
    <row r="746" spans="2:12" ht="75" x14ac:dyDescent="0.25">
      <c r="B746" s="7" t="str">
        <f t="shared" si="77"/>
        <v>1</v>
      </c>
      <c r="C746" s="7" t="str">
        <f t="shared" si="78"/>
        <v>9</v>
      </c>
      <c r="D746" s="7" t="str">
        <f t="shared" si="79"/>
        <v>2</v>
      </c>
      <c r="E746" s="7" t="str">
        <f t="shared" si="80"/>
        <v>2</v>
      </c>
      <c r="F746" s="7" t="str">
        <f t="shared" si="81"/>
        <v>08</v>
      </c>
      <c r="G746" s="7" t="str">
        <f t="shared" si="82"/>
        <v>1</v>
      </c>
      <c r="H746" s="7" t="str">
        <f t="shared" si="83"/>
        <v>0</v>
      </c>
      <c r="I746" s="7">
        <v>19220810</v>
      </c>
      <c r="J746" s="8" t="s">
        <v>725</v>
      </c>
      <c r="K746" s="8" t="s">
        <v>726</v>
      </c>
      <c r="L746" s="8"/>
    </row>
    <row r="747" spans="2:12" ht="75" x14ac:dyDescent="0.25">
      <c r="B747" s="2" t="str">
        <f t="shared" si="77"/>
        <v>1</v>
      </c>
      <c r="C747" s="2" t="str">
        <f t="shared" si="78"/>
        <v>9</v>
      </c>
      <c r="D747" s="2" t="str">
        <f t="shared" si="79"/>
        <v>2</v>
      </c>
      <c r="E747" s="2" t="str">
        <f t="shared" si="80"/>
        <v>2</v>
      </c>
      <c r="F747" s="2" t="str">
        <f t="shared" si="81"/>
        <v>09</v>
      </c>
      <c r="G747" s="2" t="str">
        <f t="shared" si="82"/>
        <v>0</v>
      </c>
      <c r="H747" s="2" t="str">
        <f t="shared" si="83"/>
        <v>0</v>
      </c>
      <c r="I747" s="2">
        <v>19220900</v>
      </c>
      <c r="J747" s="3" t="s">
        <v>221</v>
      </c>
      <c r="K747" s="3" t="s">
        <v>727</v>
      </c>
      <c r="L747" s="3"/>
    </row>
    <row r="748" spans="2:12" ht="75" x14ac:dyDescent="0.25">
      <c r="B748" s="7" t="str">
        <f t="shared" si="77"/>
        <v>1</v>
      </c>
      <c r="C748" s="7" t="str">
        <f t="shared" si="78"/>
        <v>9</v>
      </c>
      <c r="D748" s="7" t="str">
        <f t="shared" si="79"/>
        <v>2</v>
      </c>
      <c r="E748" s="7" t="str">
        <f t="shared" si="80"/>
        <v>2</v>
      </c>
      <c r="F748" s="7" t="str">
        <f t="shared" si="81"/>
        <v>09</v>
      </c>
      <c r="G748" s="7" t="str">
        <f t="shared" si="82"/>
        <v>1</v>
      </c>
      <c r="H748" s="7" t="str">
        <f t="shared" si="83"/>
        <v>0</v>
      </c>
      <c r="I748" s="7">
        <v>19220910</v>
      </c>
      <c r="J748" s="8" t="s">
        <v>221</v>
      </c>
      <c r="K748" s="8" t="s">
        <v>727</v>
      </c>
      <c r="L748" s="8"/>
    </row>
    <row r="749" spans="2:12" ht="75" x14ac:dyDescent="0.25">
      <c r="B749" s="2" t="str">
        <f t="shared" si="77"/>
        <v>1</v>
      </c>
      <c r="C749" s="2" t="str">
        <f t="shared" si="78"/>
        <v>9</v>
      </c>
      <c r="D749" s="2" t="str">
        <f t="shared" si="79"/>
        <v>2</v>
      </c>
      <c r="E749" s="2" t="str">
        <f t="shared" si="80"/>
        <v>2</v>
      </c>
      <c r="F749" s="2" t="str">
        <f t="shared" si="81"/>
        <v>10</v>
      </c>
      <c r="G749" s="2" t="str">
        <f t="shared" si="82"/>
        <v>0</v>
      </c>
      <c r="H749" s="2" t="str">
        <f t="shared" si="83"/>
        <v>0</v>
      </c>
      <c r="I749" s="2">
        <v>19221000</v>
      </c>
      <c r="J749" s="3" t="s">
        <v>728</v>
      </c>
      <c r="K749" s="3" t="s">
        <v>729</v>
      </c>
      <c r="L749" s="3"/>
    </row>
    <row r="750" spans="2:12" ht="75" x14ac:dyDescent="0.25">
      <c r="B750" s="7" t="str">
        <f t="shared" si="77"/>
        <v>1</v>
      </c>
      <c r="C750" s="7" t="str">
        <f t="shared" si="78"/>
        <v>9</v>
      </c>
      <c r="D750" s="7" t="str">
        <f t="shared" si="79"/>
        <v>2</v>
      </c>
      <c r="E750" s="7" t="str">
        <f t="shared" si="80"/>
        <v>2</v>
      </c>
      <c r="F750" s="7" t="str">
        <f t="shared" si="81"/>
        <v>10</v>
      </c>
      <c r="G750" s="7" t="str">
        <f t="shared" si="82"/>
        <v>1</v>
      </c>
      <c r="H750" s="7" t="str">
        <f t="shared" si="83"/>
        <v>0</v>
      </c>
      <c r="I750" s="7">
        <v>19221010</v>
      </c>
      <c r="J750" s="8" t="s">
        <v>730</v>
      </c>
      <c r="K750" s="8" t="s">
        <v>729</v>
      </c>
      <c r="L750" s="8"/>
    </row>
    <row r="751" spans="2:12" ht="75" x14ac:dyDescent="0.25">
      <c r="B751" s="7" t="str">
        <f t="shared" si="77"/>
        <v>1</v>
      </c>
      <c r="C751" s="7" t="str">
        <f t="shared" si="78"/>
        <v>9</v>
      </c>
      <c r="D751" s="7" t="str">
        <f t="shared" si="79"/>
        <v>2</v>
      </c>
      <c r="E751" s="7" t="str">
        <f t="shared" si="80"/>
        <v>2</v>
      </c>
      <c r="F751" s="7" t="str">
        <f t="shared" si="81"/>
        <v>10</v>
      </c>
      <c r="G751" s="7" t="str">
        <f t="shared" si="82"/>
        <v>2</v>
      </c>
      <c r="H751" s="7" t="str">
        <f t="shared" si="83"/>
        <v>0</v>
      </c>
      <c r="I751" s="7">
        <v>19221020</v>
      </c>
      <c r="J751" s="8" t="s">
        <v>731</v>
      </c>
      <c r="K751" s="8" t="s">
        <v>732</v>
      </c>
      <c r="L751" s="8"/>
    </row>
    <row r="752" spans="2:12" ht="60" x14ac:dyDescent="0.25">
      <c r="B752" s="2" t="str">
        <f t="shared" si="77"/>
        <v>1</v>
      </c>
      <c r="C752" s="2" t="str">
        <f t="shared" si="78"/>
        <v>9</v>
      </c>
      <c r="D752" s="2" t="str">
        <f t="shared" si="79"/>
        <v>2</v>
      </c>
      <c r="E752" s="2" t="str">
        <f t="shared" si="80"/>
        <v>2</v>
      </c>
      <c r="F752" s="2" t="str">
        <f t="shared" si="81"/>
        <v>11</v>
      </c>
      <c r="G752" s="2" t="str">
        <f t="shared" si="82"/>
        <v>0</v>
      </c>
      <c r="H752" s="2" t="str">
        <f t="shared" si="83"/>
        <v>0</v>
      </c>
      <c r="I752" s="2">
        <v>19221100</v>
      </c>
      <c r="J752" s="3" t="s">
        <v>733</v>
      </c>
      <c r="K752" s="3" t="s">
        <v>734</v>
      </c>
      <c r="L752" s="3"/>
    </row>
    <row r="753" spans="2:12" ht="30" customHeight="1" x14ac:dyDescent="0.25">
      <c r="B753" s="7" t="str">
        <f t="shared" si="77"/>
        <v>1</v>
      </c>
      <c r="C753" s="7" t="str">
        <f t="shared" si="78"/>
        <v>9</v>
      </c>
      <c r="D753" s="7" t="str">
        <f t="shared" si="79"/>
        <v>2</v>
      </c>
      <c r="E753" s="7" t="str">
        <f t="shared" si="80"/>
        <v>2</v>
      </c>
      <c r="F753" s="7" t="str">
        <f t="shared" si="81"/>
        <v>11</v>
      </c>
      <c r="G753" s="7" t="str">
        <f t="shared" si="82"/>
        <v>1</v>
      </c>
      <c r="H753" s="7" t="str">
        <f t="shared" si="83"/>
        <v>0</v>
      </c>
      <c r="I753" s="7">
        <v>19221110</v>
      </c>
      <c r="J753" s="8" t="s">
        <v>733</v>
      </c>
      <c r="K753" s="8" t="s">
        <v>734</v>
      </c>
      <c r="L753" s="8"/>
    </row>
    <row r="754" spans="2:12" ht="48.75" customHeight="1" x14ac:dyDescent="0.25">
      <c r="B754" s="2" t="str">
        <f t="shared" si="77"/>
        <v>1</v>
      </c>
      <c r="C754" s="2" t="str">
        <f t="shared" si="78"/>
        <v>9</v>
      </c>
      <c r="D754" s="2" t="str">
        <f t="shared" si="79"/>
        <v>2</v>
      </c>
      <c r="E754" s="2" t="str">
        <f t="shared" si="80"/>
        <v>2</v>
      </c>
      <c r="F754" s="2" t="str">
        <f t="shared" si="81"/>
        <v>12</v>
      </c>
      <c r="G754" s="2" t="str">
        <f t="shared" si="82"/>
        <v>0</v>
      </c>
      <c r="H754" s="2" t="str">
        <f t="shared" si="83"/>
        <v>0</v>
      </c>
      <c r="I754" s="2">
        <v>19221200</v>
      </c>
      <c r="J754" s="3" t="s">
        <v>944</v>
      </c>
      <c r="K754" s="3" t="s">
        <v>1372</v>
      </c>
      <c r="L754" s="12"/>
    </row>
    <row r="755" spans="2:12" ht="48.75" customHeight="1" x14ac:dyDescent="0.25">
      <c r="B755" s="7" t="str">
        <f t="shared" si="77"/>
        <v>1</v>
      </c>
      <c r="C755" s="7" t="str">
        <f t="shared" si="78"/>
        <v>9</v>
      </c>
      <c r="D755" s="7" t="str">
        <f t="shared" si="79"/>
        <v>2</v>
      </c>
      <c r="E755" s="7" t="str">
        <f t="shared" si="80"/>
        <v>2</v>
      </c>
      <c r="F755" s="7" t="str">
        <f t="shared" si="81"/>
        <v>12</v>
      </c>
      <c r="G755" s="7" t="str">
        <f t="shared" si="82"/>
        <v>1</v>
      </c>
      <c r="H755" s="7" t="str">
        <f t="shared" si="83"/>
        <v>0</v>
      </c>
      <c r="I755" s="7">
        <v>19221210</v>
      </c>
      <c r="J755" s="8" t="s">
        <v>944</v>
      </c>
      <c r="K755" s="8" t="s">
        <v>1372</v>
      </c>
      <c r="L755" s="14"/>
    </row>
    <row r="756" spans="2:12" ht="48.75" customHeight="1" x14ac:dyDescent="0.25">
      <c r="B756" s="35" t="str">
        <f t="shared" si="77"/>
        <v>1</v>
      </c>
      <c r="C756" s="35" t="str">
        <f t="shared" si="78"/>
        <v>9</v>
      </c>
      <c r="D756" s="35" t="str">
        <f t="shared" si="79"/>
        <v>2</v>
      </c>
      <c r="E756" s="35" t="str">
        <f t="shared" si="80"/>
        <v>2</v>
      </c>
      <c r="F756" s="35" t="str">
        <f t="shared" si="81"/>
        <v>13</v>
      </c>
      <c r="G756" s="35" t="str">
        <f t="shared" si="82"/>
        <v>0</v>
      </c>
      <c r="H756" s="35" t="str">
        <f t="shared" si="83"/>
        <v>0</v>
      </c>
      <c r="I756" s="35">
        <v>19221300</v>
      </c>
      <c r="J756" s="36" t="s">
        <v>1396</v>
      </c>
      <c r="K756" s="36" t="s">
        <v>1483</v>
      </c>
      <c r="L756" s="36" t="s">
        <v>1484</v>
      </c>
    </row>
    <row r="757" spans="2:12" ht="48.75" customHeight="1" x14ac:dyDescent="0.25">
      <c r="B757" s="37" t="str">
        <f t="shared" si="77"/>
        <v>1</v>
      </c>
      <c r="C757" s="37" t="str">
        <f t="shared" si="78"/>
        <v>9</v>
      </c>
      <c r="D757" s="37" t="str">
        <f t="shared" si="79"/>
        <v>2</v>
      </c>
      <c r="E757" s="37" t="str">
        <f t="shared" si="80"/>
        <v>2</v>
      </c>
      <c r="F757" s="37" t="str">
        <f t="shared" si="81"/>
        <v>13</v>
      </c>
      <c r="G757" s="37" t="str">
        <f t="shared" si="82"/>
        <v>1</v>
      </c>
      <c r="H757" s="37" t="str">
        <f t="shared" si="83"/>
        <v>0</v>
      </c>
      <c r="I757" s="37">
        <v>19221310</v>
      </c>
      <c r="J757" s="38" t="s">
        <v>1396</v>
      </c>
      <c r="K757" s="38" t="s">
        <v>1483</v>
      </c>
      <c r="L757" s="38" t="s">
        <v>1484</v>
      </c>
    </row>
    <row r="758" spans="2:12" x14ac:dyDescent="0.25">
      <c r="B758" s="2" t="str">
        <f t="shared" si="77"/>
        <v>1</v>
      </c>
      <c r="C758" s="2" t="str">
        <f t="shared" si="78"/>
        <v>9</v>
      </c>
      <c r="D758" s="2" t="str">
        <f t="shared" si="79"/>
        <v>2</v>
      </c>
      <c r="E758" s="2" t="str">
        <f t="shared" si="80"/>
        <v>2</v>
      </c>
      <c r="F758" s="2" t="str">
        <f t="shared" si="81"/>
        <v>99</v>
      </c>
      <c r="G758" s="2" t="str">
        <f t="shared" si="82"/>
        <v>0</v>
      </c>
      <c r="H758" s="2" t="str">
        <f t="shared" si="83"/>
        <v>0</v>
      </c>
      <c r="I758" s="2">
        <v>19229900</v>
      </c>
      <c r="J758" s="3" t="s">
        <v>222</v>
      </c>
      <c r="K758" s="3"/>
      <c r="L758" s="3"/>
    </row>
    <row r="759" spans="2:12" x14ac:dyDescent="0.25">
      <c r="B759" s="7" t="str">
        <f t="shared" si="77"/>
        <v>1</v>
      </c>
      <c r="C759" s="7" t="str">
        <f t="shared" si="78"/>
        <v>9</v>
      </c>
      <c r="D759" s="7" t="str">
        <f t="shared" si="79"/>
        <v>2</v>
      </c>
      <c r="E759" s="7" t="str">
        <f t="shared" si="80"/>
        <v>2</v>
      </c>
      <c r="F759" s="7" t="str">
        <f t="shared" si="81"/>
        <v>99</v>
      </c>
      <c r="G759" s="7" t="str">
        <f t="shared" si="82"/>
        <v>1</v>
      </c>
      <c r="H759" s="7" t="str">
        <f t="shared" si="83"/>
        <v>0</v>
      </c>
      <c r="I759" s="7">
        <v>19229910</v>
      </c>
      <c r="J759" s="8" t="s">
        <v>222</v>
      </c>
      <c r="K759" s="8" t="s">
        <v>735</v>
      </c>
      <c r="L759" s="8"/>
    </row>
    <row r="760" spans="2:12" x14ac:dyDescent="0.25">
      <c r="B760" s="17" t="str">
        <f t="shared" si="77"/>
        <v>1</v>
      </c>
      <c r="C760" s="17" t="str">
        <f t="shared" si="78"/>
        <v>9</v>
      </c>
      <c r="D760" s="17" t="str">
        <f t="shared" si="79"/>
        <v>2</v>
      </c>
      <c r="E760" s="17" t="str">
        <f t="shared" si="80"/>
        <v>3</v>
      </c>
      <c r="F760" s="17" t="str">
        <f t="shared" si="81"/>
        <v>00</v>
      </c>
      <c r="G760" s="17" t="str">
        <f t="shared" si="82"/>
        <v>0</v>
      </c>
      <c r="H760" s="17" t="str">
        <f t="shared" si="83"/>
        <v>0</v>
      </c>
      <c r="I760" s="17">
        <v>19230000</v>
      </c>
      <c r="J760" s="16" t="s">
        <v>736</v>
      </c>
      <c r="K760" s="16" t="s">
        <v>737</v>
      </c>
      <c r="L760" s="16"/>
    </row>
    <row r="761" spans="2:12" ht="30" x14ac:dyDescent="0.25">
      <c r="B761" s="2" t="str">
        <f t="shared" si="77"/>
        <v>1</v>
      </c>
      <c r="C761" s="2" t="str">
        <f t="shared" si="78"/>
        <v>9</v>
      </c>
      <c r="D761" s="2" t="str">
        <f t="shared" si="79"/>
        <v>2</v>
      </c>
      <c r="E761" s="2" t="str">
        <f t="shared" si="80"/>
        <v>3</v>
      </c>
      <c r="F761" s="2" t="str">
        <f t="shared" si="81"/>
        <v>01</v>
      </c>
      <c r="G761" s="2" t="str">
        <f t="shared" si="82"/>
        <v>0</v>
      </c>
      <c r="H761" s="2" t="str">
        <f t="shared" si="83"/>
        <v>0</v>
      </c>
      <c r="I761" s="2">
        <v>19230100</v>
      </c>
      <c r="J761" s="3" t="s">
        <v>738</v>
      </c>
      <c r="K761" s="3" t="s">
        <v>739</v>
      </c>
      <c r="L761" s="3"/>
    </row>
    <row r="762" spans="2:12" ht="30" x14ac:dyDescent="0.25">
      <c r="B762" s="7" t="str">
        <f t="shared" si="77"/>
        <v>1</v>
      </c>
      <c r="C762" s="7" t="str">
        <f t="shared" si="78"/>
        <v>9</v>
      </c>
      <c r="D762" s="7" t="str">
        <f t="shared" si="79"/>
        <v>2</v>
      </c>
      <c r="E762" s="7" t="str">
        <f t="shared" si="80"/>
        <v>3</v>
      </c>
      <c r="F762" s="7" t="str">
        <f t="shared" si="81"/>
        <v>01</v>
      </c>
      <c r="G762" s="7" t="str">
        <f t="shared" si="82"/>
        <v>1</v>
      </c>
      <c r="H762" s="7" t="str">
        <f t="shared" si="83"/>
        <v>0</v>
      </c>
      <c r="I762" s="7">
        <v>19230110</v>
      </c>
      <c r="J762" s="8" t="s">
        <v>738</v>
      </c>
      <c r="K762" s="8" t="s">
        <v>739</v>
      </c>
      <c r="L762" s="8"/>
    </row>
    <row r="763" spans="2:12" x14ac:dyDescent="0.25">
      <c r="B763" s="2" t="str">
        <f t="shared" si="77"/>
        <v>1</v>
      </c>
      <c r="C763" s="2" t="str">
        <f t="shared" si="78"/>
        <v>9</v>
      </c>
      <c r="D763" s="2" t="str">
        <f t="shared" si="79"/>
        <v>2</v>
      </c>
      <c r="E763" s="2" t="str">
        <f t="shared" si="80"/>
        <v>3</v>
      </c>
      <c r="F763" s="2" t="str">
        <f t="shared" si="81"/>
        <v>02</v>
      </c>
      <c r="G763" s="2" t="str">
        <f t="shared" si="82"/>
        <v>0</v>
      </c>
      <c r="H763" s="2" t="str">
        <f t="shared" si="83"/>
        <v>0</v>
      </c>
      <c r="I763" s="2">
        <v>19230200</v>
      </c>
      <c r="J763" s="3" t="s">
        <v>740</v>
      </c>
      <c r="K763" s="3" t="s">
        <v>741</v>
      </c>
      <c r="L763" s="3"/>
    </row>
    <row r="764" spans="2:12" x14ac:dyDescent="0.25">
      <c r="B764" s="7" t="str">
        <f t="shared" si="77"/>
        <v>1</v>
      </c>
      <c r="C764" s="7" t="str">
        <f t="shared" si="78"/>
        <v>9</v>
      </c>
      <c r="D764" s="7" t="str">
        <f t="shared" si="79"/>
        <v>2</v>
      </c>
      <c r="E764" s="7" t="str">
        <f t="shared" si="80"/>
        <v>3</v>
      </c>
      <c r="F764" s="7" t="str">
        <f t="shared" si="81"/>
        <v>02</v>
      </c>
      <c r="G764" s="7" t="str">
        <f t="shared" si="82"/>
        <v>1</v>
      </c>
      <c r="H764" s="7" t="str">
        <f t="shared" si="83"/>
        <v>0</v>
      </c>
      <c r="I764" s="7">
        <v>19230210</v>
      </c>
      <c r="J764" s="8" t="s">
        <v>740</v>
      </c>
      <c r="K764" s="8" t="s">
        <v>741</v>
      </c>
      <c r="L764" s="8"/>
    </row>
    <row r="765" spans="2:12" ht="45" x14ac:dyDescent="0.25">
      <c r="B765" s="2" t="str">
        <f t="shared" si="77"/>
        <v>1</v>
      </c>
      <c r="C765" s="2" t="str">
        <f t="shared" si="78"/>
        <v>9</v>
      </c>
      <c r="D765" s="2" t="str">
        <f t="shared" si="79"/>
        <v>2</v>
      </c>
      <c r="E765" s="2" t="str">
        <f t="shared" si="80"/>
        <v>3</v>
      </c>
      <c r="F765" s="2" t="str">
        <f t="shared" si="81"/>
        <v>03</v>
      </c>
      <c r="G765" s="2" t="str">
        <f t="shared" si="82"/>
        <v>0</v>
      </c>
      <c r="H765" s="2" t="str">
        <f t="shared" si="83"/>
        <v>0</v>
      </c>
      <c r="I765" s="2">
        <v>19230300</v>
      </c>
      <c r="J765" s="3" t="s">
        <v>742</v>
      </c>
      <c r="K765" s="3" t="s">
        <v>743</v>
      </c>
      <c r="L765" s="3"/>
    </row>
    <row r="766" spans="2:12" ht="45" x14ac:dyDescent="0.25">
      <c r="B766" s="7" t="str">
        <f t="shared" si="77"/>
        <v>1</v>
      </c>
      <c r="C766" s="7" t="str">
        <f t="shared" si="78"/>
        <v>9</v>
      </c>
      <c r="D766" s="7" t="str">
        <f t="shared" si="79"/>
        <v>2</v>
      </c>
      <c r="E766" s="7" t="str">
        <f t="shared" si="80"/>
        <v>3</v>
      </c>
      <c r="F766" s="7" t="str">
        <f t="shared" si="81"/>
        <v>03</v>
      </c>
      <c r="G766" s="7" t="str">
        <f t="shared" si="82"/>
        <v>1</v>
      </c>
      <c r="H766" s="7" t="str">
        <f t="shared" si="83"/>
        <v>0</v>
      </c>
      <c r="I766" s="7">
        <v>19230310</v>
      </c>
      <c r="J766" s="8" t="s">
        <v>742</v>
      </c>
      <c r="K766" s="8" t="s">
        <v>743</v>
      </c>
      <c r="L766" s="8"/>
    </row>
    <row r="767" spans="2:12" ht="30" x14ac:dyDescent="0.25">
      <c r="B767" s="2" t="str">
        <f t="shared" si="77"/>
        <v>1</v>
      </c>
      <c r="C767" s="2" t="str">
        <f t="shared" si="78"/>
        <v>9</v>
      </c>
      <c r="D767" s="2" t="str">
        <f t="shared" si="79"/>
        <v>2</v>
      </c>
      <c r="E767" s="2" t="str">
        <f t="shared" si="80"/>
        <v>3</v>
      </c>
      <c r="F767" s="2" t="str">
        <f t="shared" si="81"/>
        <v>04</v>
      </c>
      <c r="G767" s="2" t="str">
        <f t="shared" si="82"/>
        <v>0</v>
      </c>
      <c r="H767" s="2" t="str">
        <f t="shared" si="83"/>
        <v>0</v>
      </c>
      <c r="I767" s="2">
        <v>19230400</v>
      </c>
      <c r="J767" s="3" t="s">
        <v>744</v>
      </c>
      <c r="K767" s="3" t="s">
        <v>745</v>
      </c>
      <c r="L767" s="3"/>
    </row>
    <row r="768" spans="2:12" ht="30" x14ac:dyDescent="0.25">
      <c r="B768" s="7" t="str">
        <f t="shared" si="77"/>
        <v>1</v>
      </c>
      <c r="C768" s="7" t="str">
        <f t="shared" si="78"/>
        <v>9</v>
      </c>
      <c r="D768" s="7" t="str">
        <f t="shared" si="79"/>
        <v>2</v>
      </c>
      <c r="E768" s="7" t="str">
        <f t="shared" si="80"/>
        <v>3</v>
      </c>
      <c r="F768" s="7" t="str">
        <f t="shared" si="81"/>
        <v>04</v>
      </c>
      <c r="G768" s="7" t="str">
        <f t="shared" si="82"/>
        <v>1</v>
      </c>
      <c r="H768" s="7" t="str">
        <f t="shared" si="83"/>
        <v>0</v>
      </c>
      <c r="I768" s="7">
        <v>19230410</v>
      </c>
      <c r="J768" s="8" t="s">
        <v>744</v>
      </c>
      <c r="K768" s="8" t="s">
        <v>745</v>
      </c>
      <c r="L768" s="8"/>
    </row>
    <row r="769" spans="2:12" x14ac:dyDescent="0.25">
      <c r="B769" s="2" t="str">
        <f t="shared" si="77"/>
        <v>1</v>
      </c>
      <c r="C769" s="2" t="str">
        <f t="shared" si="78"/>
        <v>9</v>
      </c>
      <c r="D769" s="2" t="str">
        <f t="shared" si="79"/>
        <v>2</v>
      </c>
      <c r="E769" s="2" t="str">
        <f t="shared" si="80"/>
        <v>3</v>
      </c>
      <c r="F769" s="2" t="str">
        <f t="shared" si="81"/>
        <v>99</v>
      </c>
      <c r="G769" s="2" t="str">
        <f t="shared" si="82"/>
        <v>0</v>
      </c>
      <c r="H769" s="2" t="str">
        <f t="shared" si="83"/>
        <v>0</v>
      </c>
      <c r="I769" s="2">
        <v>19239900</v>
      </c>
      <c r="J769" s="3" t="s">
        <v>746</v>
      </c>
      <c r="K769" s="3" t="s">
        <v>747</v>
      </c>
      <c r="L769" s="3"/>
    </row>
    <row r="770" spans="2:12" x14ac:dyDescent="0.25">
      <c r="B770" s="7" t="str">
        <f t="shared" si="77"/>
        <v>1</v>
      </c>
      <c r="C770" s="7" t="str">
        <f t="shared" si="78"/>
        <v>9</v>
      </c>
      <c r="D770" s="7" t="str">
        <f t="shared" si="79"/>
        <v>2</v>
      </c>
      <c r="E770" s="7" t="str">
        <f t="shared" si="80"/>
        <v>3</v>
      </c>
      <c r="F770" s="7" t="str">
        <f t="shared" si="81"/>
        <v>99</v>
      </c>
      <c r="G770" s="7" t="str">
        <f t="shared" si="82"/>
        <v>1</v>
      </c>
      <c r="H770" s="7" t="str">
        <f t="shared" si="83"/>
        <v>0</v>
      </c>
      <c r="I770" s="7">
        <v>19239910</v>
      </c>
      <c r="J770" s="8" t="s">
        <v>746</v>
      </c>
      <c r="K770" s="8" t="s">
        <v>747</v>
      </c>
      <c r="L770" s="8"/>
    </row>
    <row r="771" spans="2:12" ht="30" x14ac:dyDescent="0.25">
      <c r="B771" s="17" t="str">
        <f t="shared" ref="B771:B817" si="84">MID($I771,1,1)</f>
        <v>1</v>
      </c>
      <c r="C771" s="17" t="str">
        <f t="shared" ref="C771:C817" si="85">MID($I771,2,1)</f>
        <v>9</v>
      </c>
      <c r="D771" s="17" t="str">
        <f t="shared" ref="D771:D817" si="86">MID($I771,3,1)</f>
        <v>2</v>
      </c>
      <c r="E771" s="17" t="str">
        <f t="shared" ref="E771:E817" si="87">MID($I771,4,1)</f>
        <v>8</v>
      </c>
      <c r="F771" s="17" t="str">
        <f t="shared" ref="F771:F817" si="88">MID($I771,5,2)</f>
        <v>00</v>
      </c>
      <c r="G771" s="17" t="str">
        <f t="shared" ref="G771:G817" si="89">MID($I771,7,1)</f>
        <v>0</v>
      </c>
      <c r="H771" s="17" t="str">
        <f t="shared" ref="H771:H817" si="90">MID($I771,8,1)</f>
        <v>0</v>
      </c>
      <c r="I771" s="17">
        <v>19280000</v>
      </c>
      <c r="J771" s="16" t="s">
        <v>1006</v>
      </c>
      <c r="K771" s="16" t="s">
        <v>1007</v>
      </c>
      <c r="L771" s="16"/>
    </row>
    <row r="772" spans="2:12" ht="30" x14ac:dyDescent="0.25">
      <c r="B772" s="2" t="str">
        <f t="shared" si="84"/>
        <v>1</v>
      </c>
      <c r="C772" s="2" t="str">
        <f t="shared" si="85"/>
        <v>9</v>
      </c>
      <c r="D772" s="2" t="str">
        <f t="shared" si="86"/>
        <v>2</v>
      </c>
      <c r="E772" s="2" t="str">
        <f t="shared" si="87"/>
        <v>8</v>
      </c>
      <c r="F772" s="2" t="str">
        <f t="shared" si="88"/>
        <v>01</v>
      </c>
      <c r="G772" s="2" t="str">
        <f t="shared" si="89"/>
        <v>0</v>
      </c>
      <c r="H772" s="2" t="str">
        <f t="shared" si="90"/>
        <v>0</v>
      </c>
      <c r="I772" s="2">
        <v>19280100</v>
      </c>
      <c r="J772" s="3" t="s">
        <v>1008</v>
      </c>
      <c r="K772" s="3" t="s">
        <v>1015</v>
      </c>
      <c r="L772" s="3"/>
    </row>
    <row r="773" spans="2:12" ht="30" x14ac:dyDescent="0.25">
      <c r="B773" s="7" t="str">
        <f t="shared" si="84"/>
        <v>1</v>
      </c>
      <c r="C773" s="7" t="str">
        <f t="shared" si="85"/>
        <v>9</v>
      </c>
      <c r="D773" s="7" t="str">
        <f t="shared" si="86"/>
        <v>2</v>
      </c>
      <c r="E773" s="7" t="str">
        <f t="shared" si="87"/>
        <v>8</v>
      </c>
      <c r="F773" s="7" t="str">
        <f t="shared" si="88"/>
        <v>01</v>
      </c>
      <c r="G773" s="7" t="str">
        <f t="shared" si="89"/>
        <v>1</v>
      </c>
      <c r="H773" s="7" t="str">
        <f t="shared" si="90"/>
        <v>0</v>
      </c>
      <c r="I773" s="7">
        <v>19280110</v>
      </c>
      <c r="J773" s="8" t="s">
        <v>1009</v>
      </c>
      <c r="K773" s="8" t="s">
        <v>1015</v>
      </c>
      <c r="L773" s="8"/>
    </row>
    <row r="774" spans="2:12" ht="30" x14ac:dyDescent="0.25">
      <c r="B774" s="2" t="str">
        <f t="shared" si="84"/>
        <v>1</v>
      </c>
      <c r="C774" s="2" t="str">
        <f t="shared" si="85"/>
        <v>9</v>
      </c>
      <c r="D774" s="2" t="str">
        <f t="shared" si="86"/>
        <v>2</v>
      </c>
      <c r="E774" s="2" t="str">
        <f t="shared" si="87"/>
        <v>8</v>
      </c>
      <c r="F774" s="2" t="str">
        <f t="shared" si="88"/>
        <v>02</v>
      </c>
      <c r="G774" s="2" t="str">
        <f t="shared" si="89"/>
        <v>0</v>
      </c>
      <c r="H774" s="2" t="str">
        <f t="shared" si="90"/>
        <v>0</v>
      </c>
      <c r="I774" s="2">
        <v>19280200</v>
      </c>
      <c r="J774" s="3" t="s">
        <v>1010</v>
      </c>
      <c r="K774" s="3" t="s">
        <v>1016</v>
      </c>
      <c r="L774" s="3"/>
    </row>
    <row r="775" spans="2:12" ht="30" x14ac:dyDescent="0.25">
      <c r="B775" s="7" t="str">
        <f t="shared" si="84"/>
        <v>1</v>
      </c>
      <c r="C775" s="7" t="str">
        <f t="shared" si="85"/>
        <v>9</v>
      </c>
      <c r="D775" s="7" t="str">
        <f t="shared" si="86"/>
        <v>2</v>
      </c>
      <c r="E775" s="7" t="str">
        <f t="shared" si="87"/>
        <v>8</v>
      </c>
      <c r="F775" s="7" t="str">
        <f t="shared" si="88"/>
        <v>02</v>
      </c>
      <c r="G775" s="7" t="str">
        <f t="shared" si="89"/>
        <v>1</v>
      </c>
      <c r="H775" s="7" t="str">
        <f t="shared" si="90"/>
        <v>0</v>
      </c>
      <c r="I775" s="7">
        <v>19280210</v>
      </c>
      <c r="J775" s="8" t="s">
        <v>1014</v>
      </c>
      <c r="K775" s="8" t="s">
        <v>1016</v>
      </c>
      <c r="L775" s="8"/>
    </row>
    <row r="776" spans="2:12" ht="30" x14ac:dyDescent="0.25">
      <c r="B776" s="7" t="str">
        <f t="shared" si="84"/>
        <v>1</v>
      </c>
      <c r="C776" s="7" t="str">
        <f t="shared" si="85"/>
        <v>9</v>
      </c>
      <c r="D776" s="7" t="str">
        <f t="shared" si="86"/>
        <v>2</v>
      </c>
      <c r="E776" s="7" t="str">
        <f t="shared" si="87"/>
        <v>8</v>
      </c>
      <c r="F776" s="7" t="str">
        <f t="shared" si="88"/>
        <v>02</v>
      </c>
      <c r="G776" s="7" t="str">
        <f t="shared" si="89"/>
        <v>9</v>
      </c>
      <c r="H776" s="7" t="str">
        <f t="shared" si="90"/>
        <v>0</v>
      </c>
      <c r="I776" s="7">
        <v>19280290</v>
      </c>
      <c r="J776" s="8" t="s">
        <v>1013</v>
      </c>
      <c r="K776" s="8" t="s">
        <v>1017</v>
      </c>
      <c r="L776" s="8"/>
    </row>
    <row r="777" spans="2:12" ht="30" x14ac:dyDescent="0.25">
      <c r="B777" s="2" t="str">
        <f t="shared" si="84"/>
        <v>1</v>
      </c>
      <c r="C777" s="2" t="str">
        <f t="shared" si="85"/>
        <v>9</v>
      </c>
      <c r="D777" s="2" t="str">
        <f t="shared" si="86"/>
        <v>2</v>
      </c>
      <c r="E777" s="2" t="str">
        <f t="shared" si="87"/>
        <v>8</v>
      </c>
      <c r="F777" s="2" t="str">
        <f t="shared" si="88"/>
        <v>03</v>
      </c>
      <c r="G777" s="2" t="str">
        <f t="shared" si="89"/>
        <v>0</v>
      </c>
      <c r="H777" s="2" t="str">
        <f t="shared" si="90"/>
        <v>0</v>
      </c>
      <c r="I777" s="2">
        <v>19280300</v>
      </c>
      <c r="J777" s="3" t="s">
        <v>1011</v>
      </c>
      <c r="K777" s="3" t="s">
        <v>1018</v>
      </c>
      <c r="L777" s="3"/>
    </row>
    <row r="778" spans="2:12" ht="30" x14ac:dyDescent="0.25">
      <c r="B778" s="7" t="str">
        <f t="shared" si="84"/>
        <v>1</v>
      </c>
      <c r="C778" s="7" t="str">
        <f t="shared" si="85"/>
        <v>9</v>
      </c>
      <c r="D778" s="7" t="str">
        <f t="shared" si="86"/>
        <v>2</v>
      </c>
      <c r="E778" s="7" t="str">
        <f t="shared" si="87"/>
        <v>8</v>
      </c>
      <c r="F778" s="7" t="str">
        <f t="shared" si="88"/>
        <v>03</v>
      </c>
      <c r="G778" s="7" t="str">
        <f t="shared" si="89"/>
        <v>1</v>
      </c>
      <c r="H778" s="7" t="str">
        <f t="shared" si="90"/>
        <v>0</v>
      </c>
      <c r="I778" s="7">
        <v>19280310</v>
      </c>
      <c r="J778" s="8" t="s">
        <v>1012</v>
      </c>
      <c r="K778" s="8" t="s">
        <v>1018</v>
      </c>
      <c r="L778" s="8"/>
    </row>
    <row r="779" spans="2:12" ht="30" x14ac:dyDescent="0.25">
      <c r="B779" s="27" t="str">
        <f t="shared" si="84"/>
        <v>1</v>
      </c>
      <c r="C779" s="27" t="str">
        <f t="shared" si="85"/>
        <v>9</v>
      </c>
      <c r="D779" s="27" t="str">
        <f t="shared" si="86"/>
        <v>3</v>
      </c>
      <c r="E779" s="27" t="str">
        <f t="shared" si="87"/>
        <v>0</v>
      </c>
      <c r="F779" s="27" t="str">
        <f t="shared" si="88"/>
        <v>00</v>
      </c>
      <c r="G779" s="27" t="str">
        <f t="shared" si="89"/>
        <v>0</v>
      </c>
      <c r="H779" s="27" t="str">
        <f t="shared" si="90"/>
        <v>0</v>
      </c>
      <c r="I779" s="27">
        <v>19300000</v>
      </c>
      <c r="J779" s="26" t="s">
        <v>748</v>
      </c>
      <c r="K779" s="26" t="s">
        <v>749</v>
      </c>
      <c r="L779" s="26"/>
    </row>
    <row r="780" spans="2:12" ht="30" x14ac:dyDescent="0.25">
      <c r="B780" s="2" t="str">
        <f t="shared" si="84"/>
        <v>1</v>
      </c>
      <c r="C780" s="2" t="str">
        <f t="shared" si="85"/>
        <v>9</v>
      </c>
      <c r="D780" s="2" t="str">
        <f t="shared" si="86"/>
        <v>3</v>
      </c>
      <c r="E780" s="2" t="str">
        <f t="shared" si="87"/>
        <v>0</v>
      </c>
      <c r="F780" s="2" t="str">
        <f t="shared" si="88"/>
        <v>01</v>
      </c>
      <c r="G780" s="2" t="str">
        <f t="shared" si="89"/>
        <v>0</v>
      </c>
      <c r="H780" s="2" t="str">
        <f t="shared" si="90"/>
        <v>0</v>
      </c>
      <c r="I780" s="2">
        <v>19300100</v>
      </c>
      <c r="J780" s="3" t="s">
        <v>750</v>
      </c>
      <c r="K780" s="3" t="s">
        <v>751</v>
      </c>
      <c r="L780" s="3"/>
    </row>
    <row r="781" spans="2:12" ht="30" x14ac:dyDescent="0.25">
      <c r="B781" s="7" t="str">
        <f t="shared" si="84"/>
        <v>1</v>
      </c>
      <c r="C781" s="7" t="str">
        <f t="shared" si="85"/>
        <v>9</v>
      </c>
      <c r="D781" s="7" t="str">
        <f t="shared" si="86"/>
        <v>3</v>
      </c>
      <c r="E781" s="7" t="str">
        <f t="shared" si="87"/>
        <v>0</v>
      </c>
      <c r="F781" s="7" t="str">
        <f t="shared" si="88"/>
        <v>01</v>
      </c>
      <c r="G781" s="7" t="str">
        <f t="shared" si="89"/>
        <v>1</v>
      </c>
      <c r="H781" s="7" t="str">
        <f t="shared" si="90"/>
        <v>0</v>
      </c>
      <c r="I781" s="7">
        <v>19300110</v>
      </c>
      <c r="J781" s="8" t="s">
        <v>750</v>
      </c>
      <c r="K781" s="8" t="s">
        <v>752</v>
      </c>
      <c r="L781" s="8"/>
    </row>
    <row r="782" spans="2:12" x14ac:dyDescent="0.25">
      <c r="B782" s="2" t="str">
        <f t="shared" si="84"/>
        <v>1</v>
      </c>
      <c r="C782" s="2" t="str">
        <f t="shared" si="85"/>
        <v>9</v>
      </c>
      <c r="D782" s="2" t="str">
        <f t="shared" si="86"/>
        <v>3</v>
      </c>
      <c r="E782" s="2" t="str">
        <f t="shared" si="87"/>
        <v>0</v>
      </c>
      <c r="F782" s="2" t="str">
        <f t="shared" si="88"/>
        <v>02</v>
      </c>
      <c r="G782" s="2" t="str">
        <f t="shared" si="89"/>
        <v>0</v>
      </c>
      <c r="H782" s="2" t="str">
        <f t="shared" si="90"/>
        <v>0</v>
      </c>
      <c r="I782" s="2">
        <v>19300200</v>
      </c>
      <c r="J782" s="3" t="s">
        <v>753</v>
      </c>
      <c r="K782" s="3" t="s">
        <v>754</v>
      </c>
      <c r="L782" s="3"/>
    </row>
    <row r="783" spans="2:12" ht="30" x14ac:dyDescent="0.25">
      <c r="B783" s="7" t="str">
        <f t="shared" si="84"/>
        <v>1</v>
      </c>
      <c r="C783" s="7" t="str">
        <f t="shared" si="85"/>
        <v>9</v>
      </c>
      <c r="D783" s="7" t="str">
        <f t="shared" si="86"/>
        <v>3</v>
      </c>
      <c r="E783" s="7" t="str">
        <f t="shared" si="87"/>
        <v>0</v>
      </c>
      <c r="F783" s="7" t="str">
        <f t="shared" si="88"/>
        <v>02</v>
      </c>
      <c r="G783" s="7" t="str">
        <f t="shared" si="89"/>
        <v>1</v>
      </c>
      <c r="H783" s="7" t="str">
        <f t="shared" si="90"/>
        <v>0</v>
      </c>
      <c r="I783" s="7">
        <v>19300210</v>
      </c>
      <c r="J783" s="8" t="s">
        <v>755</v>
      </c>
      <c r="K783" s="8" t="s">
        <v>756</v>
      </c>
      <c r="L783" s="8"/>
    </row>
    <row r="784" spans="2:12" ht="60" x14ac:dyDescent="0.25">
      <c r="B784" s="7" t="str">
        <f t="shared" si="84"/>
        <v>1</v>
      </c>
      <c r="C784" s="7" t="str">
        <f t="shared" si="85"/>
        <v>9</v>
      </c>
      <c r="D784" s="7" t="str">
        <f t="shared" si="86"/>
        <v>3</v>
      </c>
      <c r="E784" s="7" t="str">
        <f t="shared" si="87"/>
        <v>0</v>
      </c>
      <c r="F784" s="7" t="str">
        <f t="shared" si="88"/>
        <v>02</v>
      </c>
      <c r="G784" s="7" t="str">
        <f t="shared" si="89"/>
        <v>2</v>
      </c>
      <c r="H784" s="7" t="str">
        <f t="shared" si="90"/>
        <v>0</v>
      </c>
      <c r="I784" s="7">
        <v>19300220</v>
      </c>
      <c r="J784" s="8" t="s">
        <v>757</v>
      </c>
      <c r="K784" s="8" t="s">
        <v>758</v>
      </c>
      <c r="L784" s="8"/>
    </row>
    <row r="785" spans="2:12" ht="135" x14ac:dyDescent="0.25">
      <c r="B785" s="2" t="str">
        <f t="shared" si="84"/>
        <v>1</v>
      </c>
      <c r="C785" s="2" t="str">
        <f t="shared" si="85"/>
        <v>9</v>
      </c>
      <c r="D785" s="2" t="str">
        <f t="shared" si="86"/>
        <v>3</v>
      </c>
      <c r="E785" s="2" t="str">
        <f t="shared" si="87"/>
        <v>0</v>
      </c>
      <c r="F785" s="2" t="str">
        <f t="shared" si="88"/>
        <v>03</v>
      </c>
      <c r="G785" s="2" t="str">
        <f t="shared" si="89"/>
        <v>0</v>
      </c>
      <c r="H785" s="2" t="str">
        <f t="shared" si="90"/>
        <v>0</v>
      </c>
      <c r="I785" s="2">
        <v>19300300</v>
      </c>
      <c r="J785" s="3" t="s">
        <v>759</v>
      </c>
      <c r="K785" s="3" t="s">
        <v>760</v>
      </c>
      <c r="L785" s="3"/>
    </row>
    <row r="786" spans="2:12" ht="135" x14ac:dyDescent="0.25">
      <c r="B786" s="7" t="str">
        <f t="shared" si="84"/>
        <v>1</v>
      </c>
      <c r="C786" s="7" t="str">
        <f t="shared" si="85"/>
        <v>9</v>
      </c>
      <c r="D786" s="7" t="str">
        <f t="shared" si="86"/>
        <v>3</v>
      </c>
      <c r="E786" s="7" t="str">
        <f t="shared" si="87"/>
        <v>0</v>
      </c>
      <c r="F786" s="7" t="str">
        <f t="shared" si="88"/>
        <v>03</v>
      </c>
      <c r="G786" s="7" t="str">
        <f t="shared" si="89"/>
        <v>1</v>
      </c>
      <c r="H786" s="7" t="str">
        <f t="shared" si="90"/>
        <v>0</v>
      </c>
      <c r="I786" s="7">
        <v>19300310</v>
      </c>
      <c r="J786" s="8" t="s">
        <v>759</v>
      </c>
      <c r="K786" s="8" t="s">
        <v>760</v>
      </c>
      <c r="L786" s="8"/>
    </row>
    <row r="787" spans="2:12" ht="30" x14ac:dyDescent="0.25">
      <c r="B787" s="2" t="str">
        <f t="shared" si="84"/>
        <v>1</v>
      </c>
      <c r="C787" s="2" t="str">
        <f t="shared" si="85"/>
        <v>9</v>
      </c>
      <c r="D787" s="2" t="str">
        <f t="shared" si="86"/>
        <v>3</v>
      </c>
      <c r="E787" s="2" t="str">
        <f t="shared" si="87"/>
        <v>0</v>
      </c>
      <c r="F787" s="2" t="str">
        <f t="shared" si="88"/>
        <v>04</v>
      </c>
      <c r="G787" s="2" t="str">
        <f t="shared" si="89"/>
        <v>0</v>
      </c>
      <c r="H787" s="2" t="str">
        <f t="shared" si="90"/>
        <v>0</v>
      </c>
      <c r="I787" s="2">
        <v>19300400</v>
      </c>
      <c r="J787" s="3" t="s">
        <v>761</v>
      </c>
      <c r="K787" s="3" t="s">
        <v>762</v>
      </c>
      <c r="L787" s="3"/>
    </row>
    <row r="788" spans="2:12" ht="30" x14ac:dyDescent="0.25">
      <c r="B788" s="7" t="str">
        <f t="shared" si="84"/>
        <v>1</v>
      </c>
      <c r="C788" s="7" t="str">
        <f t="shared" si="85"/>
        <v>9</v>
      </c>
      <c r="D788" s="7" t="str">
        <f t="shared" si="86"/>
        <v>3</v>
      </c>
      <c r="E788" s="7" t="str">
        <f t="shared" si="87"/>
        <v>0</v>
      </c>
      <c r="F788" s="7" t="str">
        <f t="shared" si="88"/>
        <v>04</v>
      </c>
      <c r="G788" s="7" t="str">
        <f t="shared" si="89"/>
        <v>1</v>
      </c>
      <c r="H788" s="7" t="str">
        <f t="shared" si="90"/>
        <v>0</v>
      </c>
      <c r="I788" s="7">
        <v>19300410</v>
      </c>
      <c r="J788" s="8" t="s">
        <v>761</v>
      </c>
      <c r="K788" s="8" t="s">
        <v>762</v>
      </c>
      <c r="L788" s="8"/>
    </row>
    <row r="789" spans="2:12" ht="45" x14ac:dyDescent="0.25">
      <c r="B789" s="2" t="str">
        <f t="shared" si="84"/>
        <v>1</v>
      </c>
      <c r="C789" s="2" t="str">
        <f t="shared" si="85"/>
        <v>9</v>
      </c>
      <c r="D789" s="2" t="str">
        <f t="shared" si="86"/>
        <v>3</v>
      </c>
      <c r="E789" s="2" t="str">
        <f t="shared" si="87"/>
        <v>0</v>
      </c>
      <c r="F789" s="2" t="str">
        <f t="shared" si="88"/>
        <v>05</v>
      </c>
      <c r="G789" s="2" t="str">
        <f t="shared" si="89"/>
        <v>0</v>
      </c>
      <c r="H789" s="2" t="str">
        <f t="shared" si="90"/>
        <v>0</v>
      </c>
      <c r="I789" s="2">
        <v>19300500</v>
      </c>
      <c r="J789" s="3" t="s">
        <v>1302</v>
      </c>
      <c r="K789" s="3" t="s">
        <v>1303</v>
      </c>
      <c r="L789" s="3"/>
    </row>
    <row r="790" spans="2:12" ht="45" x14ac:dyDescent="0.25">
      <c r="B790" s="7" t="str">
        <f t="shared" si="84"/>
        <v>1</v>
      </c>
      <c r="C790" s="7" t="str">
        <f t="shared" si="85"/>
        <v>9</v>
      </c>
      <c r="D790" s="7" t="str">
        <f t="shared" si="86"/>
        <v>3</v>
      </c>
      <c r="E790" s="7" t="str">
        <f t="shared" si="87"/>
        <v>0</v>
      </c>
      <c r="F790" s="7" t="str">
        <f t="shared" si="88"/>
        <v>05</v>
      </c>
      <c r="G790" s="7" t="str">
        <f t="shared" si="89"/>
        <v>1</v>
      </c>
      <c r="H790" s="7" t="str">
        <f t="shared" si="90"/>
        <v>0</v>
      </c>
      <c r="I790" s="7">
        <v>19300510</v>
      </c>
      <c r="J790" s="8" t="s">
        <v>1302</v>
      </c>
      <c r="K790" s="8" t="s">
        <v>1303</v>
      </c>
      <c r="L790" s="8"/>
    </row>
    <row r="791" spans="2:12" x14ac:dyDescent="0.25">
      <c r="B791" s="27" t="str">
        <f t="shared" si="84"/>
        <v>1</v>
      </c>
      <c r="C791" s="27" t="str">
        <f t="shared" si="85"/>
        <v>9</v>
      </c>
      <c r="D791" s="27" t="str">
        <f t="shared" si="86"/>
        <v>9</v>
      </c>
      <c r="E791" s="27" t="str">
        <f t="shared" si="87"/>
        <v>0</v>
      </c>
      <c r="F791" s="27" t="str">
        <f t="shared" si="88"/>
        <v>00</v>
      </c>
      <c r="G791" s="27" t="str">
        <f t="shared" si="89"/>
        <v>0</v>
      </c>
      <c r="H791" s="27" t="str">
        <f t="shared" si="90"/>
        <v>0</v>
      </c>
      <c r="I791" s="27">
        <v>19900000</v>
      </c>
      <c r="J791" s="26" t="s">
        <v>763</v>
      </c>
      <c r="K791" s="26" t="s">
        <v>764</v>
      </c>
      <c r="L791" s="26"/>
    </row>
    <row r="792" spans="2:12" ht="60" x14ac:dyDescent="0.25">
      <c r="B792" s="2" t="str">
        <f t="shared" si="84"/>
        <v>1</v>
      </c>
      <c r="C792" s="2" t="str">
        <f t="shared" si="85"/>
        <v>9</v>
      </c>
      <c r="D792" s="2" t="str">
        <f t="shared" si="86"/>
        <v>9</v>
      </c>
      <c r="E792" s="2" t="str">
        <f t="shared" si="87"/>
        <v>0</v>
      </c>
      <c r="F792" s="2" t="str">
        <f t="shared" si="88"/>
        <v>01</v>
      </c>
      <c r="G792" s="2" t="str">
        <f t="shared" si="89"/>
        <v>0</v>
      </c>
      <c r="H792" s="2" t="str">
        <f t="shared" si="90"/>
        <v>0</v>
      </c>
      <c r="I792" s="2">
        <v>19900100</v>
      </c>
      <c r="J792" s="3" t="s">
        <v>765</v>
      </c>
      <c r="K792" s="3" t="s">
        <v>766</v>
      </c>
      <c r="L792" s="3"/>
    </row>
    <row r="793" spans="2:12" ht="60" x14ac:dyDescent="0.25">
      <c r="B793" s="7" t="str">
        <f t="shared" si="84"/>
        <v>1</v>
      </c>
      <c r="C793" s="7" t="str">
        <f t="shared" si="85"/>
        <v>9</v>
      </c>
      <c r="D793" s="7" t="str">
        <f t="shared" si="86"/>
        <v>9</v>
      </c>
      <c r="E793" s="7" t="str">
        <f t="shared" si="87"/>
        <v>0</v>
      </c>
      <c r="F793" s="7" t="str">
        <f t="shared" si="88"/>
        <v>01</v>
      </c>
      <c r="G793" s="7" t="str">
        <f t="shared" si="89"/>
        <v>1</v>
      </c>
      <c r="H793" s="7" t="str">
        <f t="shared" si="90"/>
        <v>0</v>
      </c>
      <c r="I793" s="7">
        <v>19900110</v>
      </c>
      <c r="J793" s="8" t="s">
        <v>765</v>
      </c>
      <c r="K793" s="8" t="s">
        <v>766</v>
      </c>
      <c r="L793" s="8"/>
    </row>
    <row r="794" spans="2:12" ht="45" x14ac:dyDescent="0.25">
      <c r="B794" s="2" t="str">
        <f t="shared" si="84"/>
        <v>1</v>
      </c>
      <c r="C794" s="2" t="str">
        <f t="shared" si="85"/>
        <v>9</v>
      </c>
      <c r="D794" s="2" t="str">
        <f t="shared" si="86"/>
        <v>9</v>
      </c>
      <c r="E794" s="2" t="str">
        <f t="shared" si="87"/>
        <v>0</v>
      </c>
      <c r="F794" s="2" t="str">
        <f t="shared" si="88"/>
        <v>02</v>
      </c>
      <c r="G794" s="2" t="str">
        <f t="shared" si="89"/>
        <v>0</v>
      </c>
      <c r="H794" s="2" t="str">
        <f t="shared" si="90"/>
        <v>0</v>
      </c>
      <c r="I794" s="2">
        <v>19900200</v>
      </c>
      <c r="J794" s="3" t="s">
        <v>767</v>
      </c>
      <c r="K794" s="3" t="s">
        <v>768</v>
      </c>
      <c r="L794" s="3"/>
    </row>
    <row r="795" spans="2:12" ht="45" x14ac:dyDescent="0.25">
      <c r="B795" s="7" t="str">
        <f t="shared" si="84"/>
        <v>1</v>
      </c>
      <c r="C795" s="7" t="str">
        <f t="shared" si="85"/>
        <v>9</v>
      </c>
      <c r="D795" s="7" t="str">
        <f t="shared" si="86"/>
        <v>9</v>
      </c>
      <c r="E795" s="7" t="str">
        <f t="shared" si="87"/>
        <v>0</v>
      </c>
      <c r="F795" s="7" t="str">
        <f t="shared" si="88"/>
        <v>02</v>
      </c>
      <c r="G795" s="7" t="str">
        <f t="shared" si="89"/>
        <v>1</v>
      </c>
      <c r="H795" s="7" t="str">
        <f t="shared" si="90"/>
        <v>0</v>
      </c>
      <c r="I795" s="7">
        <v>19900210</v>
      </c>
      <c r="J795" s="8" t="s">
        <v>767</v>
      </c>
      <c r="K795" s="8" t="s">
        <v>768</v>
      </c>
      <c r="L795" s="8"/>
    </row>
    <row r="796" spans="2:12" ht="30" x14ac:dyDescent="0.25">
      <c r="B796" s="2" t="str">
        <f t="shared" si="84"/>
        <v>1</v>
      </c>
      <c r="C796" s="2" t="str">
        <f t="shared" si="85"/>
        <v>9</v>
      </c>
      <c r="D796" s="2" t="str">
        <f t="shared" si="86"/>
        <v>9</v>
      </c>
      <c r="E796" s="2" t="str">
        <f t="shared" si="87"/>
        <v>0</v>
      </c>
      <c r="F796" s="2" t="str">
        <f t="shared" si="88"/>
        <v>03</v>
      </c>
      <c r="G796" s="2" t="str">
        <f t="shared" si="89"/>
        <v>0</v>
      </c>
      <c r="H796" s="2" t="str">
        <f t="shared" si="90"/>
        <v>0</v>
      </c>
      <c r="I796" s="2">
        <v>19900300</v>
      </c>
      <c r="J796" s="3" t="s">
        <v>219</v>
      </c>
      <c r="K796" s="3" t="s">
        <v>769</v>
      </c>
      <c r="L796" s="3"/>
    </row>
    <row r="797" spans="2:12" ht="30" x14ac:dyDescent="0.25">
      <c r="B797" s="7" t="str">
        <f t="shared" si="84"/>
        <v>1</v>
      </c>
      <c r="C797" s="7" t="str">
        <f t="shared" si="85"/>
        <v>9</v>
      </c>
      <c r="D797" s="7" t="str">
        <f t="shared" si="86"/>
        <v>9</v>
      </c>
      <c r="E797" s="7" t="str">
        <f t="shared" si="87"/>
        <v>0</v>
      </c>
      <c r="F797" s="7" t="str">
        <f t="shared" si="88"/>
        <v>03</v>
      </c>
      <c r="G797" s="7" t="str">
        <f t="shared" si="89"/>
        <v>1</v>
      </c>
      <c r="H797" s="7" t="str">
        <f t="shared" si="90"/>
        <v>0</v>
      </c>
      <c r="I797" s="7">
        <v>19900310</v>
      </c>
      <c r="J797" s="8" t="s">
        <v>219</v>
      </c>
      <c r="K797" s="8" t="s">
        <v>769</v>
      </c>
      <c r="L797" s="8"/>
    </row>
    <row r="798" spans="2:12" ht="285" x14ac:dyDescent="0.25">
      <c r="B798" s="2" t="str">
        <f t="shared" si="84"/>
        <v>1</v>
      </c>
      <c r="C798" s="2" t="str">
        <f t="shared" si="85"/>
        <v>9</v>
      </c>
      <c r="D798" s="2" t="str">
        <f t="shared" si="86"/>
        <v>9</v>
      </c>
      <c r="E798" s="2" t="str">
        <f t="shared" si="87"/>
        <v>0</v>
      </c>
      <c r="F798" s="2" t="str">
        <f t="shared" si="88"/>
        <v>04</v>
      </c>
      <c r="G798" s="2" t="str">
        <f t="shared" si="89"/>
        <v>0</v>
      </c>
      <c r="H798" s="2" t="str">
        <f t="shared" si="90"/>
        <v>0</v>
      </c>
      <c r="I798" s="2">
        <v>19900400</v>
      </c>
      <c r="J798" s="3" t="s">
        <v>770</v>
      </c>
      <c r="K798" s="3" t="s">
        <v>771</v>
      </c>
      <c r="L798" s="3"/>
    </row>
    <row r="799" spans="2:12" ht="285" x14ac:dyDescent="0.25">
      <c r="B799" s="7" t="str">
        <f t="shared" si="84"/>
        <v>1</v>
      </c>
      <c r="C799" s="7" t="str">
        <f t="shared" si="85"/>
        <v>9</v>
      </c>
      <c r="D799" s="7" t="str">
        <f t="shared" si="86"/>
        <v>9</v>
      </c>
      <c r="E799" s="7" t="str">
        <f t="shared" si="87"/>
        <v>0</v>
      </c>
      <c r="F799" s="7" t="str">
        <f t="shared" si="88"/>
        <v>04</v>
      </c>
      <c r="G799" s="7" t="str">
        <f t="shared" si="89"/>
        <v>1</v>
      </c>
      <c r="H799" s="7" t="str">
        <f t="shared" si="90"/>
        <v>0</v>
      </c>
      <c r="I799" s="7">
        <v>19900410</v>
      </c>
      <c r="J799" s="8" t="s">
        <v>770</v>
      </c>
      <c r="K799" s="8" t="s">
        <v>771</v>
      </c>
      <c r="L799" s="8"/>
    </row>
    <row r="800" spans="2:12" ht="45" x14ac:dyDescent="0.25">
      <c r="B800" s="2" t="str">
        <f t="shared" si="84"/>
        <v>1</v>
      </c>
      <c r="C800" s="2" t="str">
        <f t="shared" si="85"/>
        <v>9</v>
      </c>
      <c r="D800" s="2" t="str">
        <f t="shared" si="86"/>
        <v>9</v>
      </c>
      <c r="E800" s="2" t="str">
        <f t="shared" si="87"/>
        <v>0</v>
      </c>
      <c r="F800" s="2" t="str">
        <f t="shared" si="88"/>
        <v>05</v>
      </c>
      <c r="G800" s="2" t="str">
        <f t="shared" si="89"/>
        <v>0</v>
      </c>
      <c r="H800" s="2" t="str">
        <f t="shared" si="90"/>
        <v>0</v>
      </c>
      <c r="I800" s="2">
        <v>19900500</v>
      </c>
      <c r="J800" s="3" t="s">
        <v>772</v>
      </c>
      <c r="K800" s="3" t="s">
        <v>773</v>
      </c>
      <c r="L800" s="3"/>
    </row>
    <row r="801" spans="2:12" ht="45" x14ac:dyDescent="0.25">
      <c r="B801" s="7" t="str">
        <f t="shared" si="84"/>
        <v>1</v>
      </c>
      <c r="C801" s="7" t="str">
        <f t="shared" si="85"/>
        <v>9</v>
      </c>
      <c r="D801" s="7" t="str">
        <f t="shared" si="86"/>
        <v>9</v>
      </c>
      <c r="E801" s="7" t="str">
        <f t="shared" si="87"/>
        <v>0</v>
      </c>
      <c r="F801" s="7" t="str">
        <f t="shared" si="88"/>
        <v>05</v>
      </c>
      <c r="G801" s="7" t="str">
        <f t="shared" si="89"/>
        <v>1</v>
      </c>
      <c r="H801" s="7" t="str">
        <f t="shared" si="90"/>
        <v>0</v>
      </c>
      <c r="I801" s="7">
        <v>19900510</v>
      </c>
      <c r="J801" s="8" t="s">
        <v>772</v>
      </c>
      <c r="K801" s="8" t="s">
        <v>773</v>
      </c>
      <c r="L801" s="8"/>
    </row>
    <row r="802" spans="2:12" ht="30" x14ac:dyDescent="0.25">
      <c r="B802" s="2" t="str">
        <f t="shared" si="84"/>
        <v>1</v>
      </c>
      <c r="C802" s="2" t="str">
        <f t="shared" si="85"/>
        <v>9</v>
      </c>
      <c r="D802" s="2" t="str">
        <f t="shared" si="86"/>
        <v>9</v>
      </c>
      <c r="E802" s="2" t="str">
        <f t="shared" si="87"/>
        <v>0</v>
      </c>
      <c r="F802" s="2" t="str">
        <f t="shared" si="88"/>
        <v>06</v>
      </c>
      <c r="G802" s="2" t="str">
        <f t="shared" si="89"/>
        <v>0</v>
      </c>
      <c r="H802" s="2" t="str">
        <f t="shared" si="90"/>
        <v>0</v>
      </c>
      <c r="I802" s="2">
        <v>19900600</v>
      </c>
      <c r="J802" s="3" t="s">
        <v>774</v>
      </c>
      <c r="K802" s="3" t="s">
        <v>775</v>
      </c>
      <c r="L802" s="3"/>
    </row>
    <row r="803" spans="2:12" ht="30" x14ac:dyDescent="0.25">
      <c r="B803" s="7" t="str">
        <f t="shared" si="84"/>
        <v>1</v>
      </c>
      <c r="C803" s="7" t="str">
        <f t="shared" si="85"/>
        <v>9</v>
      </c>
      <c r="D803" s="7" t="str">
        <f t="shared" si="86"/>
        <v>9</v>
      </c>
      <c r="E803" s="7" t="str">
        <f t="shared" si="87"/>
        <v>0</v>
      </c>
      <c r="F803" s="7" t="str">
        <f t="shared" si="88"/>
        <v>06</v>
      </c>
      <c r="G803" s="7" t="str">
        <f t="shared" si="89"/>
        <v>1</v>
      </c>
      <c r="H803" s="7" t="str">
        <f t="shared" si="90"/>
        <v>0</v>
      </c>
      <c r="I803" s="7">
        <v>19900610</v>
      </c>
      <c r="J803" s="8" t="s">
        <v>774</v>
      </c>
      <c r="K803" s="8" t="s">
        <v>775</v>
      </c>
      <c r="L803" s="8"/>
    </row>
    <row r="804" spans="2:12" ht="90" x14ac:dyDescent="0.25">
      <c r="B804" s="2" t="str">
        <f t="shared" si="84"/>
        <v>1</v>
      </c>
      <c r="C804" s="2" t="str">
        <f t="shared" si="85"/>
        <v>9</v>
      </c>
      <c r="D804" s="2" t="str">
        <f t="shared" si="86"/>
        <v>9</v>
      </c>
      <c r="E804" s="2" t="str">
        <f t="shared" si="87"/>
        <v>0</v>
      </c>
      <c r="F804" s="2" t="str">
        <f t="shared" si="88"/>
        <v>07</v>
      </c>
      <c r="G804" s="2" t="str">
        <f t="shared" si="89"/>
        <v>0</v>
      </c>
      <c r="H804" s="2" t="str">
        <f t="shared" si="90"/>
        <v>0</v>
      </c>
      <c r="I804" s="2">
        <v>19900700</v>
      </c>
      <c r="J804" s="3" t="s">
        <v>225</v>
      </c>
      <c r="K804" s="3" t="s">
        <v>776</v>
      </c>
      <c r="L804" s="3"/>
    </row>
    <row r="805" spans="2:12" ht="90" x14ac:dyDescent="0.25">
      <c r="B805" s="7" t="str">
        <f t="shared" si="84"/>
        <v>1</v>
      </c>
      <c r="C805" s="7" t="str">
        <f t="shared" si="85"/>
        <v>9</v>
      </c>
      <c r="D805" s="7" t="str">
        <f t="shared" si="86"/>
        <v>9</v>
      </c>
      <c r="E805" s="7" t="str">
        <f t="shared" si="87"/>
        <v>0</v>
      </c>
      <c r="F805" s="7" t="str">
        <f t="shared" si="88"/>
        <v>07</v>
      </c>
      <c r="G805" s="7" t="str">
        <f t="shared" si="89"/>
        <v>1</v>
      </c>
      <c r="H805" s="7" t="str">
        <f t="shared" si="90"/>
        <v>0</v>
      </c>
      <c r="I805" s="7">
        <v>19900710</v>
      </c>
      <c r="J805" s="8" t="s">
        <v>225</v>
      </c>
      <c r="K805" s="8" t="s">
        <v>776</v>
      </c>
      <c r="L805" s="8"/>
    </row>
    <row r="806" spans="2:12" ht="90" x14ac:dyDescent="0.25">
      <c r="B806" s="2" t="str">
        <f t="shared" si="84"/>
        <v>1</v>
      </c>
      <c r="C806" s="2" t="str">
        <f t="shared" si="85"/>
        <v>9</v>
      </c>
      <c r="D806" s="2" t="str">
        <f t="shared" si="86"/>
        <v>9</v>
      </c>
      <c r="E806" s="2" t="str">
        <f t="shared" si="87"/>
        <v>0</v>
      </c>
      <c r="F806" s="2" t="str">
        <f t="shared" si="88"/>
        <v>08</v>
      </c>
      <c r="G806" s="2" t="str">
        <f t="shared" si="89"/>
        <v>0</v>
      </c>
      <c r="H806" s="2" t="str">
        <f t="shared" si="90"/>
        <v>0</v>
      </c>
      <c r="I806" s="2">
        <v>19900800</v>
      </c>
      <c r="J806" s="3" t="s">
        <v>777</v>
      </c>
      <c r="K806" s="3" t="s">
        <v>778</v>
      </c>
      <c r="L806" s="3"/>
    </row>
    <row r="807" spans="2:12" ht="90" x14ac:dyDescent="0.25">
      <c r="B807" s="7" t="str">
        <f t="shared" si="84"/>
        <v>1</v>
      </c>
      <c r="C807" s="7" t="str">
        <f t="shared" si="85"/>
        <v>9</v>
      </c>
      <c r="D807" s="7" t="str">
        <f t="shared" si="86"/>
        <v>9</v>
      </c>
      <c r="E807" s="7" t="str">
        <f t="shared" si="87"/>
        <v>0</v>
      </c>
      <c r="F807" s="7" t="str">
        <f t="shared" si="88"/>
        <v>08</v>
      </c>
      <c r="G807" s="7" t="str">
        <f t="shared" si="89"/>
        <v>1</v>
      </c>
      <c r="H807" s="7" t="str">
        <f t="shared" si="90"/>
        <v>0</v>
      </c>
      <c r="I807" s="7">
        <v>19900810</v>
      </c>
      <c r="J807" s="8" t="s">
        <v>777</v>
      </c>
      <c r="K807" s="8" t="s">
        <v>778</v>
      </c>
      <c r="L807" s="8"/>
    </row>
    <row r="808" spans="2:12" ht="60" x14ac:dyDescent="0.25">
      <c r="B808" s="2" t="str">
        <f t="shared" si="84"/>
        <v>1</v>
      </c>
      <c r="C808" s="2" t="str">
        <f t="shared" si="85"/>
        <v>9</v>
      </c>
      <c r="D808" s="2" t="str">
        <f t="shared" si="86"/>
        <v>9</v>
      </c>
      <c r="E808" s="2" t="str">
        <f t="shared" si="87"/>
        <v>0</v>
      </c>
      <c r="F808" s="2" t="str">
        <f t="shared" si="88"/>
        <v>09</v>
      </c>
      <c r="G808" s="2" t="str">
        <f t="shared" si="89"/>
        <v>0</v>
      </c>
      <c r="H808" s="2" t="str">
        <f t="shared" si="90"/>
        <v>0</v>
      </c>
      <c r="I808" s="2">
        <v>19900900</v>
      </c>
      <c r="J808" s="3" t="s">
        <v>779</v>
      </c>
      <c r="K808" s="3" t="s">
        <v>780</v>
      </c>
      <c r="L808" s="3"/>
    </row>
    <row r="809" spans="2:12" ht="60" x14ac:dyDescent="0.25">
      <c r="B809" s="7" t="str">
        <f t="shared" si="84"/>
        <v>1</v>
      </c>
      <c r="C809" s="7" t="str">
        <f t="shared" si="85"/>
        <v>9</v>
      </c>
      <c r="D809" s="7" t="str">
        <f t="shared" si="86"/>
        <v>9</v>
      </c>
      <c r="E809" s="7" t="str">
        <f t="shared" si="87"/>
        <v>0</v>
      </c>
      <c r="F809" s="7" t="str">
        <f t="shared" si="88"/>
        <v>09</v>
      </c>
      <c r="G809" s="7" t="str">
        <f t="shared" si="89"/>
        <v>1</v>
      </c>
      <c r="H809" s="7" t="str">
        <f t="shared" si="90"/>
        <v>0</v>
      </c>
      <c r="I809" s="7">
        <v>19900910</v>
      </c>
      <c r="J809" s="8" t="s">
        <v>779</v>
      </c>
      <c r="K809" s="8" t="s">
        <v>780</v>
      </c>
      <c r="L809" s="8"/>
    </row>
    <row r="810" spans="2:12" ht="75" x14ac:dyDescent="0.25">
      <c r="B810" s="2" t="str">
        <f t="shared" si="84"/>
        <v>1</v>
      </c>
      <c r="C810" s="2" t="str">
        <f t="shared" si="85"/>
        <v>9</v>
      </c>
      <c r="D810" s="2" t="str">
        <f t="shared" si="86"/>
        <v>9</v>
      </c>
      <c r="E810" s="2" t="str">
        <f t="shared" si="87"/>
        <v>0</v>
      </c>
      <c r="F810" s="2" t="str">
        <f t="shared" si="88"/>
        <v>10</v>
      </c>
      <c r="G810" s="2" t="str">
        <f t="shared" si="89"/>
        <v>0</v>
      </c>
      <c r="H810" s="2" t="str">
        <f t="shared" si="90"/>
        <v>0</v>
      </c>
      <c r="I810" s="2">
        <v>19901000</v>
      </c>
      <c r="J810" s="3" t="s">
        <v>781</v>
      </c>
      <c r="K810" s="3" t="s">
        <v>782</v>
      </c>
      <c r="L810" s="3"/>
    </row>
    <row r="811" spans="2:12" ht="75" x14ac:dyDescent="0.25">
      <c r="B811" s="7" t="str">
        <f t="shared" si="84"/>
        <v>1</v>
      </c>
      <c r="C811" s="7" t="str">
        <f t="shared" si="85"/>
        <v>9</v>
      </c>
      <c r="D811" s="7" t="str">
        <f t="shared" si="86"/>
        <v>9</v>
      </c>
      <c r="E811" s="7" t="str">
        <f t="shared" si="87"/>
        <v>0</v>
      </c>
      <c r="F811" s="7" t="str">
        <f t="shared" si="88"/>
        <v>10</v>
      </c>
      <c r="G811" s="7" t="str">
        <f t="shared" si="89"/>
        <v>1</v>
      </c>
      <c r="H811" s="7" t="str">
        <f t="shared" si="90"/>
        <v>0</v>
      </c>
      <c r="I811" s="7">
        <v>19901010</v>
      </c>
      <c r="J811" s="8" t="s">
        <v>781</v>
      </c>
      <c r="K811" s="8" t="s">
        <v>782</v>
      </c>
      <c r="L811" s="8"/>
    </row>
    <row r="812" spans="2:12" ht="45" x14ac:dyDescent="0.25">
      <c r="B812" s="2" t="str">
        <f t="shared" si="84"/>
        <v>1</v>
      </c>
      <c r="C812" s="2" t="str">
        <f t="shared" si="85"/>
        <v>9</v>
      </c>
      <c r="D812" s="2" t="str">
        <f t="shared" si="86"/>
        <v>9</v>
      </c>
      <c r="E812" s="2" t="str">
        <f t="shared" si="87"/>
        <v>0</v>
      </c>
      <c r="F812" s="2" t="str">
        <f t="shared" si="88"/>
        <v>11</v>
      </c>
      <c r="G812" s="2" t="str">
        <f t="shared" si="89"/>
        <v>0</v>
      </c>
      <c r="H812" s="2" t="str">
        <f t="shared" si="90"/>
        <v>0</v>
      </c>
      <c r="I812" s="2">
        <v>19901100</v>
      </c>
      <c r="J812" s="3" t="s">
        <v>783</v>
      </c>
      <c r="K812" s="3" t="s">
        <v>784</v>
      </c>
      <c r="L812" s="3"/>
    </row>
    <row r="813" spans="2:12" ht="45" x14ac:dyDescent="0.25">
      <c r="B813" s="7" t="str">
        <f t="shared" si="84"/>
        <v>1</v>
      </c>
      <c r="C813" s="7" t="str">
        <f t="shared" si="85"/>
        <v>9</v>
      </c>
      <c r="D813" s="7" t="str">
        <f t="shared" si="86"/>
        <v>9</v>
      </c>
      <c r="E813" s="7" t="str">
        <f t="shared" si="87"/>
        <v>0</v>
      </c>
      <c r="F813" s="7" t="str">
        <f t="shared" si="88"/>
        <v>11</v>
      </c>
      <c r="G813" s="7" t="str">
        <f t="shared" si="89"/>
        <v>1</v>
      </c>
      <c r="H813" s="7" t="str">
        <f t="shared" si="90"/>
        <v>0</v>
      </c>
      <c r="I813" s="7">
        <v>19901110</v>
      </c>
      <c r="J813" s="8" t="s">
        <v>783</v>
      </c>
      <c r="K813" s="8" t="s">
        <v>784</v>
      </c>
      <c r="L813" s="8"/>
    </row>
    <row r="814" spans="2:12" ht="30" x14ac:dyDescent="0.25">
      <c r="B814" s="2" t="str">
        <f t="shared" si="84"/>
        <v>1</v>
      </c>
      <c r="C814" s="2" t="str">
        <f t="shared" si="85"/>
        <v>9</v>
      </c>
      <c r="D814" s="2" t="str">
        <f t="shared" si="86"/>
        <v>9</v>
      </c>
      <c r="E814" s="2" t="str">
        <f t="shared" si="87"/>
        <v>0</v>
      </c>
      <c r="F814" s="2" t="str">
        <f t="shared" si="88"/>
        <v>12</v>
      </c>
      <c r="G814" s="2" t="str">
        <f t="shared" si="89"/>
        <v>0</v>
      </c>
      <c r="H814" s="2" t="str">
        <f t="shared" si="90"/>
        <v>0</v>
      </c>
      <c r="I814" s="2">
        <v>19901200</v>
      </c>
      <c r="J814" s="3" t="s">
        <v>223</v>
      </c>
      <c r="K814" s="3" t="s">
        <v>785</v>
      </c>
      <c r="L814" s="3"/>
    </row>
    <row r="815" spans="2:12" s="20" customFormat="1" ht="45" x14ac:dyDescent="0.25">
      <c r="B815" s="7" t="str">
        <f t="shared" si="84"/>
        <v>1</v>
      </c>
      <c r="C815" s="7" t="str">
        <f t="shared" si="85"/>
        <v>9</v>
      </c>
      <c r="D815" s="7" t="str">
        <f t="shared" si="86"/>
        <v>9</v>
      </c>
      <c r="E815" s="7" t="str">
        <f t="shared" si="87"/>
        <v>0</v>
      </c>
      <c r="F815" s="7" t="str">
        <f t="shared" si="88"/>
        <v>12</v>
      </c>
      <c r="G815" s="7" t="str">
        <f t="shared" si="89"/>
        <v>1</v>
      </c>
      <c r="H815" s="7" t="str">
        <f t="shared" si="90"/>
        <v>0</v>
      </c>
      <c r="I815" s="7">
        <v>19901210</v>
      </c>
      <c r="J815" s="8" t="s">
        <v>224</v>
      </c>
      <c r="K815" s="8" t="s">
        <v>786</v>
      </c>
      <c r="L815" s="8"/>
    </row>
    <row r="816" spans="2:12" s="20" customFormat="1" ht="60" customHeight="1" x14ac:dyDescent="0.25">
      <c r="B816" s="7" t="str">
        <f t="shared" si="84"/>
        <v>1</v>
      </c>
      <c r="C816" s="7" t="str">
        <f t="shared" si="85"/>
        <v>9</v>
      </c>
      <c r="D816" s="7" t="str">
        <f t="shared" si="86"/>
        <v>9</v>
      </c>
      <c r="E816" s="7" t="str">
        <f t="shared" si="87"/>
        <v>0</v>
      </c>
      <c r="F816" s="7" t="str">
        <f t="shared" si="88"/>
        <v>12</v>
      </c>
      <c r="G816" s="7" t="str">
        <f t="shared" si="89"/>
        <v>2</v>
      </c>
      <c r="H816" s="7" t="str">
        <f t="shared" si="90"/>
        <v>0</v>
      </c>
      <c r="I816" s="7">
        <v>19901220</v>
      </c>
      <c r="J816" s="8" t="s">
        <v>787</v>
      </c>
      <c r="K816" s="8" t="s">
        <v>788</v>
      </c>
      <c r="L816" s="8"/>
    </row>
    <row r="817" spans="2:12" s="20" customFormat="1" ht="30" customHeight="1" x14ac:dyDescent="0.25">
      <c r="B817" s="41" t="str">
        <f t="shared" si="84"/>
        <v>1</v>
      </c>
      <c r="C817" s="41" t="str">
        <f t="shared" si="85"/>
        <v>9</v>
      </c>
      <c r="D817" s="41" t="str">
        <f t="shared" si="86"/>
        <v>9</v>
      </c>
      <c r="E817" s="41" t="str">
        <f t="shared" si="87"/>
        <v>0</v>
      </c>
      <c r="F817" s="41" t="str">
        <f t="shared" si="88"/>
        <v>13</v>
      </c>
      <c r="G817" s="41" t="str">
        <f t="shared" si="89"/>
        <v>0</v>
      </c>
      <c r="H817" s="41" t="str">
        <f t="shared" si="90"/>
        <v>0</v>
      </c>
      <c r="I817" s="41">
        <v>19901300</v>
      </c>
      <c r="J817" s="42" t="s">
        <v>1287</v>
      </c>
      <c r="K817" s="42" t="s">
        <v>1290</v>
      </c>
      <c r="L817" s="42"/>
    </row>
    <row r="818" spans="2:12" ht="60" x14ac:dyDescent="0.25">
      <c r="B818" s="43" t="str">
        <f t="shared" ref="B818:B881" si="91">MID($I818,1,1)</f>
        <v>1</v>
      </c>
      <c r="C818" s="43" t="str">
        <f t="shared" ref="C818:C881" si="92">MID($I818,2,1)</f>
        <v>9</v>
      </c>
      <c r="D818" s="43" t="str">
        <f t="shared" ref="D818:D881" si="93">MID($I818,3,1)</f>
        <v>9</v>
      </c>
      <c r="E818" s="43" t="str">
        <f t="shared" ref="E818:E881" si="94">MID($I818,4,1)</f>
        <v>0</v>
      </c>
      <c r="F818" s="43" t="str">
        <f t="shared" ref="F818:F881" si="95">MID($I818,5,2)</f>
        <v>13</v>
      </c>
      <c r="G818" s="43" t="str">
        <f t="shared" ref="G818:G881" si="96">MID($I818,7,1)</f>
        <v>1</v>
      </c>
      <c r="H818" s="43" t="str">
        <f t="shared" ref="H818:H881" si="97">MID($I818,8,1)</f>
        <v>0</v>
      </c>
      <c r="I818" s="43">
        <v>19901310</v>
      </c>
      <c r="J818" s="40" t="s">
        <v>1288</v>
      </c>
      <c r="K818" s="40" t="s">
        <v>1291</v>
      </c>
      <c r="L818" s="40"/>
    </row>
    <row r="819" spans="2:12" ht="30" x14ac:dyDescent="0.25">
      <c r="B819" s="2" t="str">
        <f t="shared" si="91"/>
        <v>1</v>
      </c>
      <c r="C819" s="2" t="str">
        <f t="shared" si="92"/>
        <v>9</v>
      </c>
      <c r="D819" s="2" t="str">
        <f t="shared" si="93"/>
        <v>9</v>
      </c>
      <c r="E819" s="2" t="str">
        <f t="shared" si="94"/>
        <v>0</v>
      </c>
      <c r="F819" s="2" t="str">
        <f t="shared" si="95"/>
        <v>14</v>
      </c>
      <c r="G819" s="2" t="str">
        <f t="shared" si="96"/>
        <v>0</v>
      </c>
      <c r="H819" s="2" t="str">
        <f t="shared" si="97"/>
        <v>0</v>
      </c>
      <c r="I819" s="2">
        <v>19901400</v>
      </c>
      <c r="J819" s="3" t="s">
        <v>1289</v>
      </c>
      <c r="K819" s="3" t="s">
        <v>1292</v>
      </c>
      <c r="L819" s="3"/>
    </row>
    <row r="820" spans="2:12" ht="30" x14ac:dyDescent="0.25">
      <c r="B820" s="7" t="str">
        <f t="shared" si="91"/>
        <v>1</v>
      </c>
      <c r="C820" s="7" t="str">
        <f t="shared" si="92"/>
        <v>9</v>
      </c>
      <c r="D820" s="7" t="str">
        <f t="shared" si="93"/>
        <v>9</v>
      </c>
      <c r="E820" s="7" t="str">
        <f t="shared" si="94"/>
        <v>0</v>
      </c>
      <c r="F820" s="7" t="str">
        <f t="shared" si="95"/>
        <v>14</v>
      </c>
      <c r="G820" s="7" t="str">
        <f t="shared" si="96"/>
        <v>1</v>
      </c>
      <c r="H820" s="7" t="str">
        <f t="shared" si="97"/>
        <v>0</v>
      </c>
      <c r="I820" s="7">
        <v>19901410</v>
      </c>
      <c r="J820" s="8" t="s">
        <v>1289</v>
      </c>
      <c r="K820" s="8" t="s">
        <v>1292</v>
      </c>
      <c r="L820" s="8"/>
    </row>
    <row r="821" spans="2:12" x14ac:dyDescent="0.25">
      <c r="B821" s="2" t="str">
        <f t="shared" si="91"/>
        <v>1</v>
      </c>
      <c r="C821" s="2" t="str">
        <f t="shared" si="92"/>
        <v>9</v>
      </c>
      <c r="D821" s="2" t="str">
        <f t="shared" si="93"/>
        <v>9</v>
      </c>
      <c r="E821" s="2" t="str">
        <f t="shared" si="94"/>
        <v>0</v>
      </c>
      <c r="F821" s="2" t="str">
        <f t="shared" si="95"/>
        <v>99</v>
      </c>
      <c r="G821" s="2" t="str">
        <f t="shared" si="96"/>
        <v>0</v>
      </c>
      <c r="H821" s="2" t="str">
        <f t="shared" si="97"/>
        <v>0</v>
      </c>
      <c r="I821" s="2">
        <v>19909900</v>
      </c>
      <c r="J821" s="3" t="s">
        <v>226</v>
      </c>
      <c r="K821" s="3" t="s">
        <v>789</v>
      </c>
      <c r="L821" s="3"/>
    </row>
    <row r="822" spans="2:12" x14ac:dyDescent="0.25">
      <c r="B822" s="7" t="str">
        <f t="shared" si="91"/>
        <v>1</v>
      </c>
      <c r="C822" s="7" t="str">
        <f t="shared" si="92"/>
        <v>9</v>
      </c>
      <c r="D822" s="7" t="str">
        <f t="shared" si="93"/>
        <v>9</v>
      </c>
      <c r="E822" s="7" t="str">
        <f t="shared" si="94"/>
        <v>0</v>
      </c>
      <c r="F822" s="7" t="str">
        <f t="shared" si="95"/>
        <v>99</v>
      </c>
      <c r="G822" s="7" t="str">
        <f t="shared" si="96"/>
        <v>1</v>
      </c>
      <c r="H822" s="7" t="str">
        <f t="shared" si="97"/>
        <v>0</v>
      </c>
      <c r="I822" s="7">
        <v>19909910</v>
      </c>
      <c r="J822" s="8" t="s">
        <v>227</v>
      </c>
      <c r="K822" s="8" t="s">
        <v>790</v>
      </c>
      <c r="L822" s="8"/>
    </row>
    <row r="823" spans="2:12" x14ac:dyDescent="0.25">
      <c r="B823" s="7" t="str">
        <f t="shared" si="91"/>
        <v>1</v>
      </c>
      <c r="C823" s="7" t="str">
        <f t="shared" si="92"/>
        <v>9</v>
      </c>
      <c r="D823" s="7" t="str">
        <f t="shared" si="93"/>
        <v>9</v>
      </c>
      <c r="E823" s="7" t="str">
        <f t="shared" si="94"/>
        <v>0</v>
      </c>
      <c r="F823" s="7" t="str">
        <f t="shared" si="95"/>
        <v>99</v>
      </c>
      <c r="G823" s="7" t="str">
        <f t="shared" si="96"/>
        <v>2</v>
      </c>
      <c r="H823" s="7" t="str">
        <f t="shared" si="97"/>
        <v>0</v>
      </c>
      <c r="I823" s="7">
        <v>19909920</v>
      </c>
      <c r="J823" s="8" t="s">
        <v>228</v>
      </c>
      <c r="K823" s="8" t="s">
        <v>791</v>
      </c>
      <c r="L823" s="8"/>
    </row>
    <row r="824" spans="2:12" ht="60" x14ac:dyDescent="0.25">
      <c r="B824" s="30" t="str">
        <f t="shared" si="91"/>
        <v>2</v>
      </c>
      <c r="C824" s="30" t="str">
        <f t="shared" si="92"/>
        <v>0</v>
      </c>
      <c r="D824" s="30" t="str">
        <f t="shared" si="93"/>
        <v>0</v>
      </c>
      <c r="E824" s="30" t="str">
        <f t="shared" si="94"/>
        <v>0</v>
      </c>
      <c r="F824" s="30" t="str">
        <f t="shared" si="95"/>
        <v>00</v>
      </c>
      <c r="G824" s="30" t="str">
        <f t="shared" si="96"/>
        <v>0</v>
      </c>
      <c r="H824" s="30" t="str">
        <f t="shared" si="97"/>
        <v>0</v>
      </c>
      <c r="I824" s="30">
        <v>20000000</v>
      </c>
      <c r="J824" s="29" t="s">
        <v>229</v>
      </c>
      <c r="K824" s="29" t="s">
        <v>792</v>
      </c>
      <c r="L824" s="29"/>
    </row>
    <row r="825" spans="2:12" ht="105" x14ac:dyDescent="0.25">
      <c r="B825" s="6" t="str">
        <f t="shared" si="91"/>
        <v>2</v>
      </c>
      <c r="C825" s="6" t="str">
        <f t="shared" si="92"/>
        <v>1</v>
      </c>
      <c r="D825" s="6" t="str">
        <f t="shared" si="93"/>
        <v>0</v>
      </c>
      <c r="E825" s="6" t="str">
        <f t="shared" si="94"/>
        <v>0</v>
      </c>
      <c r="F825" s="6" t="str">
        <f t="shared" si="95"/>
        <v>00</v>
      </c>
      <c r="G825" s="6" t="str">
        <f t="shared" si="96"/>
        <v>0</v>
      </c>
      <c r="H825" s="6" t="str">
        <f t="shared" si="97"/>
        <v>0</v>
      </c>
      <c r="I825" s="6">
        <v>21000000</v>
      </c>
      <c r="J825" s="5" t="s">
        <v>230</v>
      </c>
      <c r="K825" s="5" t="s">
        <v>793</v>
      </c>
      <c r="L825" s="5"/>
    </row>
    <row r="826" spans="2:12" ht="45" x14ac:dyDescent="0.25">
      <c r="B826" s="27" t="str">
        <f t="shared" si="91"/>
        <v>2</v>
      </c>
      <c r="C826" s="27" t="str">
        <f t="shared" si="92"/>
        <v>1</v>
      </c>
      <c r="D826" s="27" t="str">
        <f t="shared" si="93"/>
        <v>1</v>
      </c>
      <c r="E826" s="27" t="str">
        <f t="shared" si="94"/>
        <v>0</v>
      </c>
      <c r="F826" s="27" t="str">
        <f t="shared" si="95"/>
        <v>00</v>
      </c>
      <c r="G826" s="27" t="str">
        <f t="shared" si="96"/>
        <v>0</v>
      </c>
      <c r="H826" s="27" t="str">
        <f t="shared" si="97"/>
        <v>0</v>
      </c>
      <c r="I826" s="27">
        <v>21100000</v>
      </c>
      <c r="J826" s="26" t="s">
        <v>794</v>
      </c>
      <c r="K826" s="26" t="s">
        <v>795</v>
      </c>
      <c r="L826" s="26"/>
    </row>
    <row r="827" spans="2:12" ht="135" x14ac:dyDescent="0.25">
      <c r="B827" s="17" t="str">
        <f t="shared" si="91"/>
        <v>2</v>
      </c>
      <c r="C827" s="17" t="str">
        <f t="shared" si="92"/>
        <v>1</v>
      </c>
      <c r="D827" s="17" t="str">
        <f t="shared" si="93"/>
        <v>1</v>
      </c>
      <c r="E827" s="17" t="str">
        <f t="shared" si="94"/>
        <v>1</v>
      </c>
      <c r="F827" s="17" t="str">
        <f t="shared" si="95"/>
        <v>00</v>
      </c>
      <c r="G827" s="17" t="str">
        <f t="shared" si="96"/>
        <v>0</v>
      </c>
      <c r="H827" s="17" t="str">
        <f t="shared" si="97"/>
        <v>0</v>
      </c>
      <c r="I827" s="17">
        <v>21110000</v>
      </c>
      <c r="J827" s="16" t="s">
        <v>796</v>
      </c>
      <c r="K827" s="16" t="s">
        <v>797</v>
      </c>
      <c r="L827" s="16"/>
    </row>
    <row r="828" spans="2:12" ht="75" x14ac:dyDescent="0.25">
      <c r="B828" s="7" t="str">
        <f t="shared" si="91"/>
        <v>2</v>
      </c>
      <c r="C828" s="7" t="str">
        <f t="shared" si="92"/>
        <v>1</v>
      </c>
      <c r="D828" s="7" t="str">
        <f t="shared" si="93"/>
        <v>1</v>
      </c>
      <c r="E828" s="7" t="str">
        <f t="shared" si="94"/>
        <v>1</v>
      </c>
      <c r="F828" s="7" t="str">
        <f t="shared" si="95"/>
        <v>00</v>
      </c>
      <c r="G828" s="7" t="str">
        <f t="shared" si="96"/>
        <v>1</v>
      </c>
      <c r="H828" s="7" t="str">
        <f t="shared" si="97"/>
        <v>0</v>
      </c>
      <c r="I828" s="7">
        <v>21110010</v>
      </c>
      <c r="J828" s="8" t="s">
        <v>796</v>
      </c>
      <c r="K828" s="8" t="s">
        <v>798</v>
      </c>
      <c r="L828" s="8"/>
    </row>
    <row r="829" spans="2:12" ht="105" x14ac:dyDescent="0.25">
      <c r="B829" s="7" t="str">
        <f t="shared" si="91"/>
        <v>2</v>
      </c>
      <c r="C829" s="7" t="str">
        <f t="shared" si="92"/>
        <v>1</v>
      </c>
      <c r="D829" s="7" t="str">
        <f t="shared" si="93"/>
        <v>1</v>
      </c>
      <c r="E829" s="7" t="str">
        <f t="shared" si="94"/>
        <v>1</v>
      </c>
      <c r="F829" s="7" t="str">
        <f t="shared" si="95"/>
        <v>00</v>
      </c>
      <c r="G829" s="7" t="str">
        <f t="shared" si="96"/>
        <v>2</v>
      </c>
      <c r="H829" s="7" t="str">
        <f t="shared" si="97"/>
        <v>0</v>
      </c>
      <c r="I829" s="7">
        <v>21110020</v>
      </c>
      <c r="J829" s="8" t="s">
        <v>799</v>
      </c>
      <c r="K829" s="8" t="s">
        <v>800</v>
      </c>
      <c r="L829" s="8"/>
    </row>
    <row r="830" spans="2:12" ht="90" x14ac:dyDescent="0.25">
      <c r="B830" s="7" t="str">
        <f t="shared" si="91"/>
        <v>2</v>
      </c>
      <c r="C830" s="7" t="str">
        <f t="shared" si="92"/>
        <v>1</v>
      </c>
      <c r="D830" s="7" t="str">
        <f t="shared" si="93"/>
        <v>1</v>
      </c>
      <c r="E830" s="7" t="str">
        <f t="shared" si="94"/>
        <v>1</v>
      </c>
      <c r="F830" s="7" t="str">
        <f t="shared" si="95"/>
        <v>00</v>
      </c>
      <c r="G830" s="7" t="str">
        <f t="shared" si="96"/>
        <v>3</v>
      </c>
      <c r="H830" s="7" t="str">
        <f t="shared" si="97"/>
        <v>0</v>
      </c>
      <c r="I830" s="7">
        <v>21110030</v>
      </c>
      <c r="J830" s="8" t="s">
        <v>231</v>
      </c>
      <c r="K830" s="8" t="s">
        <v>801</v>
      </c>
      <c r="L830" s="8"/>
    </row>
    <row r="831" spans="2:12" ht="75" customHeight="1" x14ac:dyDescent="0.25">
      <c r="B831" s="17" t="str">
        <f t="shared" si="91"/>
        <v>2</v>
      </c>
      <c r="C831" s="17" t="str">
        <f t="shared" si="92"/>
        <v>1</v>
      </c>
      <c r="D831" s="17" t="str">
        <f t="shared" si="93"/>
        <v>1</v>
      </c>
      <c r="E831" s="17" t="str">
        <f t="shared" si="94"/>
        <v>2</v>
      </c>
      <c r="F831" s="17" t="str">
        <f t="shared" si="95"/>
        <v>00</v>
      </c>
      <c r="G831" s="17" t="str">
        <f t="shared" si="96"/>
        <v>0</v>
      </c>
      <c r="H831" s="17" t="str">
        <f t="shared" si="97"/>
        <v>0</v>
      </c>
      <c r="I831" s="17">
        <v>21120000</v>
      </c>
      <c r="J831" s="16" t="s">
        <v>802</v>
      </c>
      <c r="K831" s="16" t="s">
        <v>803</v>
      </c>
      <c r="L831" s="16"/>
    </row>
    <row r="832" spans="2:12" ht="60" x14ac:dyDescent="0.25">
      <c r="B832" s="7" t="str">
        <f t="shared" si="91"/>
        <v>2</v>
      </c>
      <c r="C832" s="7" t="str">
        <f t="shared" si="92"/>
        <v>1</v>
      </c>
      <c r="D832" s="7" t="str">
        <f t="shared" si="93"/>
        <v>1</v>
      </c>
      <c r="E832" s="7" t="str">
        <f t="shared" si="94"/>
        <v>2</v>
      </c>
      <c r="F832" s="7" t="str">
        <f t="shared" si="95"/>
        <v>00</v>
      </c>
      <c r="G832" s="7" t="str">
        <f t="shared" si="96"/>
        <v>1</v>
      </c>
      <c r="H832" s="7" t="str">
        <f t="shared" si="97"/>
        <v>0</v>
      </c>
      <c r="I832" s="7">
        <v>21120010</v>
      </c>
      <c r="J832" s="8" t="s">
        <v>802</v>
      </c>
      <c r="K832" s="8" t="s">
        <v>1361</v>
      </c>
      <c r="L832" s="8"/>
    </row>
    <row r="833" spans="2:12" ht="96" customHeight="1" x14ac:dyDescent="0.25">
      <c r="B833" s="17" t="str">
        <f t="shared" si="91"/>
        <v>2</v>
      </c>
      <c r="C833" s="17" t="str">
        <f t="shared" si="92"/>
        <v>1</v>
      </c>
      <c r="D833" s="17" t="str">
        <f t="shared" si="93"/>
        <v>1</v>
      </c>
      <c r="E833" s="17" t="str">
        <f t="shared" si="94"/>
        <v>3</v>
      </c>
      <c r="F833" s="17" t="str">
        <f t="shared" si="95"/>
        <v>00</v>
      </c>
      <c r="G833" s="17" t="str">
        <f t="shared" si="96"/>
        <v>0</v>
      </c>
      <c r="H833" s="17" t="str">
        <f t="shared" si="97"/>
        <v>0</v>
      </c>
      <c r="I833" s="17">
        <v>21130000</v>
      </c>
      <c r="J833" s="16" t="s">
        <v>232</v>
      </c>
      <c r="K833" s="16" t="s">
        <v>804</v>
      </c>
      <c r="L833" s="16"/>
    </row>
    <row r="834" spans="2:12" ht="75" x14ac:dyDescent="0.25">
      <c r="B834" s="7" t="str">
        <f t="shared" si="91"/>
        <v>2</v>
      </c>
      <c r="C834" s="7" t="str">
        <f t="shared" si="92"/>
        <v>1</v>
      </c>
      <c r="D834" s="7" t="str">
        <f t="shared" si="93"/>
        <v>1</v>
      </c>
      <c r="E834" s="7" t="str">
        <f t="shared" si="94"/>
        <v>3</v>
      </c>
      <c r="F834" s="7" t="str">
        <f t="shared" si="95"/>
        <v>00</v>
      </c>
      <c r="G834" s="7" t="str">
        <f t="shared" si="96"/>
        <v>1</v>
      </c>
      <c r="H834" s="7" t="str">
        <f t="shared" si="97"/>
        <v>0</v>
      </c>
      <c r="I834" s="7">
        <v>21130010</v>
      </c>
      <c r="J834" s="8" t="s">
        <v>232</v>
      </c>
      <c r="K834" s="8" t="s">
        <v>804</v>
      </c>
      <c r="L834" s="8"/>
    </row>
    <row r="835" spans="2:12" ht="75" x14ac:dyDescent="0.25">
      <c r="B835" s="17" t="str">
        <f t="shared" si="91"/>
        <v>2</v>
      </c>
      <c r="C835" s="17" t="str">
        <f t="shared" si="92"/>
        <v>1</v>
      </c>
      <c r="D835" s="17" t="str">
        <f t="shared" si="93"/>
        <v>1</v>
      </c>
      <c r="E835" s="17" t="str">
        <f t="shared" si="94"/>
        <v>8</v>
      </c>
      <c r="F835" s="17" t="str">
        <f t="shared" si="95"/>
        <v>00</v>
      </c>
      <c r="G835" s="17" t="str">
        <f t="shared" si="96"/>
        <v>0</v>
      </c>
      <c r="H835" s="17" t="str">
        <f t="shared" si="97"/>
        <v>0</v>
      </c>
      <c r="I835" s="17">
        <v>21180000</v>
      </c>
      <c r="J835" s="16" t="s">
        <v>878</v>
      </c>
      <c r="K835" s="16" t="s">
        <v>914</v>
      </c>
      <c r="L835" s="16"/>
    </row>
    <row r="836" spans="2:12" ht="30" x14ac:dyDescent="0.25">
      <c r="B836" s="2" t="str">
        <f t="shared" si="91"/>
        <v>2</v>
      </c>
      <c r="C836" s="2" t="str">
        <f t="shared" si="92"/>
        <v>1</v>
      </c>
      <c r="D836" s="2" t="str">
        <f t="shared" si="93"/>
        <v>1</v>
      </c>
      <c r="E836" s="2" t="str">
        <f t="shared" si="94"/>
        <v>8</v>
      </c>
      <c r="F836" s="2" t="str">
        <f t="shared" si="95"/>
        <v>01</v>
      </c>
      <c r="G836" s="2" t="str">
        <f t="shared" si="96"/>
        <v>0</v>
      </c>
      <c r="H836" s="2" t="str">
        <f t="shared" si="97"/>
        <v>0</v>
      </c>
      <c r="I836" s="2">
        <v>21180100</v>
      </c>
      <c r="J836" s="3" t="s">
        <v>876</v>
      </c>
      <c r="K836" s="3" t="s">
        <v>945</v>
      </c>
      <c r="L836" s="3"/>
    </row>
    <row r="837" spans="2:12" ht="30" x14ac:dyDescent="0.25">
      <c r="B837" s="7" t="str">
        <f t="shared" si="91"/>
        <v>2</v>
      </c>
      <c r="C837" s="7" t="str">
        <f t="shared" si="92"/>
        <v>1</v>
      </c>
      <c r="D837" s="7" t="str">
        <f t="shared" si="93"/>
        <v>1</v>
      </c>
      <c r="E837" s="7" t="str">
        <f t="shared" si="94"/>
        <v>8</v>
      </c>
      <c r="F837" s="7" t="str">
        <f t="shared" si="95"/>
        <v>01</v>
      </c>
      <c r="G837" s="7" t="str">
        <f t="shared" si="96"/>
        <v>1</v>
      </c>
      <c r="H837" s="7" t="str">
        <f t="shared" si="97"/>
        <v>0</v>
      </c>
      <c r="I837" s="7">
        <v>21180110</v>
      </c>
      <c r="J837" s="8" t="s">
        <v>233</v>
      </c>
      <c r="K837" s="8" t="s">
        <v>234</v>
      </c>
      <c r="L837" s="8"/>
    </row>
    <row r="838" spans="2:12" ht="30" x14ac:dyDescent="0.25">
      <c r="B838" s="7" t="str">
        <f t="shared" si="91"/>
        <v>2</v>
      </c>
      <c r="C838" s="7" t="str">
        <f t="shared" si="92"/>
        <v>1</v>
      </c>
      <c r="D838" s="7" t="str">
        <f t="shared" si="93"/>
        <v>1</v>
      </c>
      <c r="E838" s="7" t="str">
        <f t="shared" si="94"/>
        <v>8</v>
      </c>
      <c r="F838" s="7" t="str">
        <f t="shared" si="95"/>
        <v>01</v>
      </c>
      <c r="G838" s="7" t="str">
        <f t="shared" si="96"/>
        <v>2</v>
      </c>
      <c r="H838" s="7" t="str">
        <f t="shared" si="97"/>
        <v>0</v>
      </c>
      <c r="I838" s="7">
        <v>21180120</v>
      </c>
      <c r="J838" s="8" t="s">
        <v>235</v>
      </c>
      <c r="K838" s="8" t="s">
        <v>236</v>
      </c>
      <c r="L838" s="8"/>
    </row>
    <row r="839" spans="2:12" ht="30" x14ac:dyDescent="0.25">
      <c r="B839" s="7" t="str">
        <f t="shared" si="91"/>
        <v>2</v>
      </c>
      <c r="C839" s="7" t="str">
        <f t="shared" si="92"/>
        <v>1</v>
      </c>
      <c r="D839" s="7" t="str">
        <f t="shared" si="93"/>
        <v>1</v>
      </c>
      <c r="E839" s="7" t="str">
        <f t="shared" si="94"/>
        <v>8</v>
      </c>
      <c r="F839" s="7" t="str">
        <f t="shared" si="95"/>
        <v>01</v>
      </c>
      <c r="G839" s="7" t="str">
        <f t="shared" si="96"/>
        <v>3</v>
      </c>
      <c r="H839" s="7" t="str">
        <f t="shared" si="97"/>
        <v>0</v>
      </c>
      <c r="I839" s="7">
        <v>21180130</v>
      </c>
      <c r="J839" s="8" t="s">
        <v>237</v>
      </c>
      <c r="K839" s="8" t="s">
        <v>238</v>
      </c>
      <c r="L839" s="8"/>
    </row>
    <row r="840" spans="2:12" ht="30" x14ac:dyDescent="0.25">
      <c r="B840" s="7" t="str">
        <f t="shared" si="91"/>
        <v>2</v>
      </c>
      <c r="C840" s="7" t="str">
        <f t="shared" si="92"/>
        <v>1</v>
      </c>
      <c r="D840" s="7" t="str">
        <f t="shared" si="93"/>
        <v>1</v>
      </c>
      <c r="E840" s="7" t="str">
        <f t="shared" si="94"/>
        <v>8</v>
      </c>
      <c r="F840" s="7" t="str">
        <f t="shared" si="95"/>
        <v>01</v>
      </c>
      <c r="G840" s="7" t="str">
        <f t="shared" si="96"/>
        <v>4</v>
      </c>
      <c r="H840" s="7" t="str">
        <f t="shared" si="97"/>
        <v>0</v>
      </c>
      <c r="I840" s="7">
        <v>21180140</v>
      </c>
      <c r="J840" s="8" t="s">
        <v>239</v>
      </c>
      <c r="K840" s="8" t="s">
        <v>240</v>
      </c>
      <c r="L840" s="8"/>
    </row>
    <row r="841" spans="2:12" ht="30" x14ac:dyDescent="0.25">
      <c r="B841" s="7" t="str">
        <f t="shared" si="91"/>
        <v>2</v>
      </c>
      <c r="C841" s="7" t="str">
        <f t="shared" si="92"/>
        <v>1</v>
      </c>
      <c r="D841" s="7" t="str">
        <f t="shared" si="93"/>
        <v>1</v>
      </c>
      <c r="E841" s="7" t="str">
        <f t="shared" si="94"/>
        <v>8</v>
      </c>
      <c r="F841" s="7" t="str">
        <f t="shared" si="95"/>
        <v>01</v>
      </c>
      <c r="G841" s="7" t="str">
        <f t="shared" si="96"/>
        <v>5</v>
      </c>
      <c r="H841" s="7" t="str">
        <f t="shared" si="97"/>
        <v>0</v>
      </c>
      <c r="I841" s="7">
        <v>21180150</v>
      </c>
      <c r="J841" s="8" t="s">
        <v>241</v>
      </c>
      <c r="K841" s="8" t="s">
        <v>242</v>
      </c>
      <c r="L841" s="8"/>
    </row>
    <row r="842" spans="2:12" ht="30" x14ac:dyDescent="0.25">
      <c r="B842" s="7" t="str">
        <f t="shared" si="91"/>
        <v>2</v>
      </c>
      <c r="C842" s="7" t="str">
        <f t="shared" si="92"/>
        <v>1</v>
      </c>
      <c r="D842" s="7" t="str">
        <f t="shared" si="93"/>
        <v>1</v>
      </c>
      <c r="E842" s="7" t="str">
        <f t="shared" si="94"/>
        <v>8</v>
      </c>
      <c r="F842" s="7" t="str">
        <f t="shared" si="95"/>
        <v>01</v>
      </c>
      <c r="G842" s="7" t="str">
        <f t="shared" si="96"/>
        <v>6</v>
      </c>
      <c r="H842" s="7" t="str">
        <f t="shared" si="97"/>
        <v>0</v>
      </c>
      <c r="I842" s="7">
        <v>21180160</v>
      </c>
      <c r="J842" s="8" t="s">
        <v>243</v>
      </c>
      <c r="K842" s="8" t="s">
        <v>244</v>
      </c>
      <c r="L842" s="8"/>
    </row>
    <row r="843" spans="2:12" ht="30" x14ac:dyDescent="0.25">
      <c r="B843" s="7" t="str">
        <f t="shared" si="91"/>
        <v>2</v>
      </c>
      <c r="C843" s="7" t="str">
        <f t="shared" si="92"/>
        <v>1</v>
      </c>
      <c r="D843" s="7" t="str">
        <f t="shared" si="93"/>
        <v>1</v>
      </c>
      <c r="E843" s="7" t="str">
        <f t="shared" si="94"/>
        <v>8</v>
      </c>
      <c r="F843" s="7" t="str">
        <f t="shared" si="95"/>
        <v>01</v>
      </c>
      <c r="G843" s="7" t="str">
        <f t="shared" si="96"/>
        <v>7</v>
      </c>
      <c r="H843" s="7" t="str">
        <f t="shared" si="97"/>
        <v>0</v>
      </c>
      <c r="I843" s="7">
        <v>21180170</v>
      </c>
      <c r="J843" s="8" t="s">
        <v>245</v>
      </c>
      <c r="K843" s="8" t="s">
        <v>246</v>
      </c>
      <c r="L843" s="8"/>
    </row>
    <row r="844" spans="2:12" ht="30" x14ac:dyDescent="0.25">
      <c r="B844" s="17" t="str">
        <f t="shared" si="91"/>
        <v>2</v>
      </c>
      <c r="C844" s="17" t="str">
        <f t="shared" si="92"/>
        <v>1</v>
      </c>
      <c r="D844" s="17" t="str">
        <f t="shared" si="93"/>
        <v>1</v>
      </c>
      <c r="E844" s="17" t="str">
        <f t="shared" si="94"/>
        <v>9</v>
      </c>
      <c r="F844" s="17" t="str">
        <f t="shared" si="95"/>
        <v>00</v>
      </c>
      <c r="G844" s="17" t="str">
        <f t="shared" si="96"/>
        <v>0</v>
      </c>
      <c r="H844" s="17" t="str">
        <f t="shared" si="97"/>
        <v>0</v>
      </c>
      <c r="I844" s="17">
        <v>21190000</v>
      </c>
      <c r="J844" s="16" t="s">
        <v>805</v>
      </c>
      <c r="K844" s="16" t="s">
        <v>806</v>
      </c>
      <c r="L844" s="16"/>
    </row>
    <row r="845" spans="2:12" ht="30" x14ac:dyDescent="0.25">
      <c r="B845" s="7" t="str">
        <f t="shared" si="91"/>
        <v>2</v>
      </c>
      <c r="C845" s="7" t="str">
        <f t="shared" si="92"/>
        <v>1</v>
      </c>
      <c r="D845" s="7" t="str">
        <f t="shared" si="93"/>
        <v>1</v>
      </c>
      <c r="E845" s="7" t="str">
        <f t="shared" si="94"/>
        <v>9</v>
      </c>
      <c r="F845" s="7" t="str">
        <f t="shared" si="95"/>
        <v>00</v>
      </c>
      <c r="G845" s="7" t="str">
        <f t="shared" si="96"/>
        <v>1</v>
      </c>
      <c r="H845" s="7" t="str">
        <f t="shared" si="97"/>
        <v>0</v>
      </c>
      <c r="I845" s="7">
        <v>21190010</v>
      </c>
      <c r="J845" s="8" t="s">
        <v>805</v>
      </c>
      <c r="K845" s="8" t="s">
        <v>806</v>
      </c>
      <c r="L845" s="8"/>
    </row>
    <row r="846" spans="2:12" ht="45" x14ac:dyDescent="0.25">
      <c r="B846" s="27" t="str">
        <f t="shared" si="91"/>
        <v>2</v>
      </c>
      <c r="C846" s="27" t="str">
        <f t="shared" si="92"/>
        <v>1</v>
      </c>
      <c r="D846" s="27" t="str">
        <f t="shared" si="93"/>
        <v>2</v>
      </c>
      <c r="E846" s="27" t="str">
        <f t="shared" si="94"/>
        <v>0</v>
      </c>
      <c r="F846" s="27" t="str">
        <f t="shared" si="95"/>
        <v>00</v>
      </c>
      <c r="G846" s="27" t="str">
        <f t="shared" si="96"/>
        <v>0</v>
      </c>
      <c r="H846" s="27" t="str">
        <f t="shared" si="97"/>
        <v>0</v>
      </c>
      <c r="I846" s="27">
        <v>21200000</v>
      </c>
      <c r="J846" s="26" t="s">
        <v>807</v>
      </c>
      <c r="K846" s="26" t="s">
        <v>808</v>
      </c>
      <c r="L846" s="26"/>
    </row>
    <row r="847" spans="2:12" ht="135" x14ac:dyDescent="0.25">
      <c r="B847" s="17" t="str">
        <f t="shared" si="91"/>
        <v>2</v>
      </c>
      <c r="C847" s="17" t="str">
        <f t="shared" si="92"/>
        <v>1</v>
      </c>
      <c r="D847" s="17" t="str">
        <f t="shared" si="93"/>
        <v>2</v>
      </c>
      <c r="E847" s="17" t="str">
        <f t="shared" si="94"/>
        <v>1</v>
      </c>
      <c r="F847" s="17" t="str">
        <f t="shared" si="95"/>
        <v>00</v>
      </c>
      <c r="G847" s="17" t="str">
        <f t="shared" si="96"/>
        <v>0</v>
      </c>
      <c r="H847" s="17" t="str">
        <f t="shared" si="97"/>
        <v>0</v>
      </c>
      <c r="I847" s="17">
        <v>21210000</v>
      </c>
      <c r="J847" s="16" t="s">
        <v>809</v>
      </c>
      <c r="K847" s="16" t="s">
        <v>810</v>
      </c>
      <c r="L847" s="16"/>
    </row>
    <row r="848" spans="2:12" ht="90" x14ac:dyDescent="0.25">
      <c r="B848" s="7" t="str">
        <f t="shared" si="91"/>
        <v>2</v>
      </c>
      <c r="C848" s="7" t="str">
        <f t="shared" si="92"/>
        <v>1</v>
      </c>
      <c r="D848" s="7" t="str">
        <f t="shared" si="93"/>
        <v>2</v>
      </c>
      <c r="E848" s="7" t="str">
        <f t="shared" si="94"/>
        <v>1</v>
      </c>
      <c r="F848" s="7" t="str">
        <f t="shared" si="95"/>
        <v>00</v>
      </c>
      <c r="G848" s="7" t="str">
        <f t="shared" si="96"/>
        <v>1</v>
      </c>
      <c r="H848" s="7" t="str">
        <f t="shared" si="97"/>
        <v>0</v>
      </c>
      <c r="I848" s="7">
        <v>21210010</v>
      </c>
      <c r="J848" s="8" t="s">
        <v>809</v>
      </c>
      <c r="K848" s="8" t="s">
        <v>811</v>
      </c>
      <c r="L848" s="8"/>
    </row>
    <row r="849" spans="2:12" ht="105" x14ac:dyDescent="0.25">
      <c r="B849" s="7" t="str">
        <f t="shared" si="91"/>
        <v>2</v>
      </c>
      <c r="C849" s="7" t="str">
        <f t="shared" si="92"/>
        <v>1</v>
      </c>
      <c r="D849" s="7" t="str">
        <f t="shared" si="93"/>
        <v>2</v>
      </c>
      <c r="E849" s="7" t="str">
        <f t="shared" si="94"/>
        <v>1</v>
      </c>
      <c r="F849" s="7" t="str">
        <f t="shared" si="95"/>
        <v>00</v>
      </c>
      <c r="G849" s="7" t="str">
        <f t="shared" si="96"/>
        <v>2</v>
      </c>
      <c r="H849" s="7" t="str">
        <f t="shared" si="97"/>
        <v>0</v>
      </c>
      <c r="I849" s="7">
        <v>21210020</v>
      </c>
      <c r="J849" s="8" t="s">
        <v>812</v>
      </c>
      <c r="K849" s="8" t="s">
        <v>813</v>
      </c>
      <c r="L849" s="8"/>
    </row>
    <row r="850" spans="2:12" ht="75" customHeight="1" x14ac:dyDescent="0.25">
      <c r="B850" s="17" t="str">
        <f t="shared" si="91"/>
        <v>2</v>
      </c>
      <c r="C850" s="17" t="str">
        <f t="shared" si="92"/>
        <v>1</v>
      </c>
      <c r="D850" s="17" t="str">
        <f t="shared" si="93"/>
        <v>2</v>
      </c>
      <c r="E850" s="17" t="str">
        <f t="shared" si="94"/>
        <v>2</v>
      </c>
      <c r="F850" s="17" t="str">
        <f t="shared" si="95"/>
        <v>00</v>
      </c>
      <c r="G850" s="17" t="str">
        <f t="shared" si="96"/>
        <v>0</v>
      </c>
      <c r="H850" s="17" t="str">
        <f t="shared" si="97"/>
        <v>0</v>
      </c>
      <c r="I850" s="17">
        <v>21220000</v>
      </c>
      <c r="J850" s="16" t="s">
        <v>814</v>
      </c>
      <c r="K850" s="16" t="s">
        <v>815</v>
      </c>
      <c r="L850" s="16"/>
    </row>
    <row r="851" spans="2:12" ht="75" customHeight="1" x14ac:dyDescent="0.25">
      <c r="B851" s="7" t="str">
        <f t="shared" si="91"/>
        <v>2</v>
      </c>
      <c r="C851" s="7" t="str">
        <f t="shared" si="92"/>
        <v>1</v>
      </c>
      <c r="D851" s="7" t="str">
        <f t="shared" si="93"/>
        <v>2</v>
      </c>
      <c r="E851" s="7" t="str">
        <f t="shared" si="94"/>
        <v>2</v>
      </c>
      <c r="F851" s="7" t="str">
        <f t="shared" si="95"/>
        <v>00</v>
      </c>
      <c r="G851" s="7" t="str">
        <f t="shared" si="96"/>
        <v>1</v>
      </c>
      <c r="H851" s="7" t="str">
        <f t="shared" si="97"/>
        <v>0</v>
      </c>
      <c r="I851" s="7">
        <v>21220010</v>
      </c>
      <c r="J851" s="8" t="s">
        <v>814</v>
      </c>
      <c r="K851" s="8" t="s">
        <v>815</v>
      </c>
      <c r="L851" s="8"/>
    </row>
    <row r="852" spans="2:12" ht="75" x14ac:dyDescent="0.25">
      <c r="B852" s="17" t="str">
        <f t="shared" si="91"/>
        <v>2</v>
      </c>
      <c r="C852" s="17" t="str">
        <f t="shared" si="92"/>
        <v>1</v>
      </c>
      <c r="D852" s="17" t="str">
        <f t="shared" si="93"/>
        <v>2</v>
      </c>
      <c r="E852" s="17" t="str">
        <f t="shared" si="94"/>
        <v>8</v>
      </c>
      <c r="F852" s="17" t="str">
        <f t="shared" si="95"/>
        <v>00</v>
      </c>
      <c r="G852" s="17" t="str">
        <f t="shared" si="96"/>
        <v>0</v>
      </c>
      <c r="H852" s="17" t="str">
        <f t="shared" si="97"/>
        <v>0</v>
      </c>
      <c r="I852" s="17">
        <v>21280000</v>
      </c>
      <c r="J852" s="16" t="s">
        <v>879</v>
      </c>
      <c r="K852" s="16" t="s">
        <v>915</v>
      </c>
      <c r="L852" s="16"/>
    </row>
    <row r="853" spans="2:12" ht="30" x14ac:dyDescent="0.25">
      <c r="B853" s="2" t="str">
        <f t="shared" si="91"/>
        <v>2</v>
      </c>
      <c r="C853" s="2" t="str">
        <f t="shared" si="92"/>
        <v>1</v>
      </c>
      <c r="D853" s="2" t="str">
        <f t="shared" si="93"/>
        <v>2</v>
      </c>
      <c r="E853" s="2" t="str">
        <f t="shared" si="94"/>
        <v>8</v>
      </c>
      <c r="F853" s="2" t="str">
        <f t="shared" si="95"/>
        <v>01</v>
      </c>
      <c r="G853" s="2" t="str">
        <f t="shared" si="96"/>
        <v>0</v>
      </c>
      <c r="H853" s="2" t="str">
        <f t="shared" si="97"/>
        <v>0</v>
      </c>
      <c r="I853" s="2">
        <v>21280100</v>
      </c>
      <c r="J853" s="3" t="s">
        <v>877</v>
      </c>
      <c r="K853" s="3" t="s">
        <v>923</v>
      </c>
      <c r="L853" s="3"/>
    </row>
    <row r="854" spans="2:12" ht="30" x14ac:dyDescent="0.25">
      <c r="B854" s="7" t="str">
        <f t="shared" si="91"/>
        <v>2</v>
      </c>
      <c r="C854" s="7" t="str">
        <f t="shared" si="92"/>
        <v>1</v>
      </c>
      <c r="D854" s="7" t="str">
        <f t="shared" si="93"/>
        <v>2</v>
      </c>
      <c r="E854" s="7" t="str">
        <f t="shared" si="94"/>
        <v>8</v>
      </c>
      <c r="F854" s="7" t="str">
        <f t="shared" si="95"/>
        <v>01</v>
      </c>
      <c r="G854" s="7" t="str">
        <f t="shared" si="96"/>
        <v>1</v>
      </c>
      <c r="H854" s="7" t="str">
        <f t="shared" si="97"/>
        <v>0</v>
      </c>
      <c r="I854" s="7">
        <v>21280110</v>
      </c>
      <c r="J854" s="8" t="s">
        <v>247</v>
      </c>
      <c r="K854" s="8" t="s">
        <v>248</v>
      </c>
      <c r="L854" s="8"/>
    </row>
    <row r="855" spans="2:12" ht="30" x14ac:dyDescent="0.25">
      <c r="B855" s="7" t="str">
        <f t="shared" si="91"/>
        <v>2</v>
      </c>
      <c r="C855" s="7" t="str">
        <f t="shared" si="92"/>
        <v>1</v>
      </c>
      <c r="D855" s="7" t="str">
        <f t="shared" si="93"/>
        <v>2</v>
      </c>
      <c r="E855" s="7" t="str">
        <f t="shared" si="94"/>
        <v>8</v>
      </c>
      <c r="F855" s="7" t="str">
        <f t="shared" si="95"/>
        <v>01</v>
      </c>
      <c r="G855" s="7" t="str">
        <f t="shared" si="96"/>
        <v>2</v>
      </c>
      <c r="H855" s="7" t="str">
        <f t="shared" si="97"/>
        <v>0</v>
      </c>
      <c r="I855" s="7">
        <v>21280120</v>
      </c>
      <c r="J855" s="8" t="s">
        <v>249</v>
      </c>
      <c r="K855" s="8" t="s">
        <v>250</v>
      </c>
      <c r="L855" s="8"/>
    </row>
    <row r="856" spans="2:12" ht="30" x14ac:dyDescent="0.25">
      <c r="B856" s="7" t="str">
        <f t="shared" si="91"/>
        <v>2</v>
      </c>
      <c r="C856" s="7" t="str">
        <f t="shared" si="92"/>
        <v>1</v>
      </c>
      <c r="D856" s="7" t="str">
        <f t="shared" si="93"/>
        <v>2</v>
      </c>
      <c r="E856" s="7" t="str">
        <f t="shared" si="94"/>
        <v>8</v>
      </c>
      <c r="F856" s="7" t="str">
        <f t="shared" si="95"/>
        <v>01</v>
      </c>
      <c r="G856" s="7" t="str">
        <f t="shared" si="96"/>
        <v>3</v>
      </c>
      <c r="H856" s="7" t="str">
        <f t="shared" si="97"/>
        <v>0</v>
      </c>
      <c r="I856" s="7">
        <v>21280130</v>
      </c>
      <c r="J856" s="8" t="s">
        <v>251</v>
      </c>
      <c r="K856" s="8" t="s">
        <v>252</v>
      </c>
      <c r="L856" s="8"/>
    </row>
    <row r="857" spans="2:12" ht="30" x14ac:dyDescent="0.25">
      <c r="B857" s="7" t="str">
        <f t="shared" si="91"/>
        <v>2</v>
      </c>
      <c r="C857" s="7" t="str">
        <f t="shared" si="92"/>
        <v>1</v>
      </c>
      <c r="D857" s="7" t="str">
        <f t="shared" si="93"/>
        <v>2</v>
      </c>
      <c r="E857" s="7" t="str">
        <f t="shared" si="94"/>
        <v>8</v>
      </c>
      <c r="F857" s="7" t="str">
        <f t="shared" si="95"/>
        <v>01</v>
      </c>
      <c r="G857" s="7" t="str">
        <f t="shared" si="96"/>
        <v>4</v>
      </c>
      <c r="H857" s="7" t="str">
        <f t="shared" si="97"/>
        <v>0</v>
      </c>
      <c r="I857" s="7">
        <v>21280140</v>
      </c>
      <c r="J857" s="8" t="s">
        <v>253</v>
      </c>
      <c r="K857" s="8" t="s">
        <v>254</v>
      </c>
      <c r="L857" s="8"/>
    </row>
    <row r="858" spans="2:12" ht="30" x14ac:dyDescent="0.25">
      <c r="B858" s="7" t="str">
        <f t="shared" si="91"/>
        <v>2</v>
      </c>
      <c r="C858" s="7" t="str">
        <f t="shared" si="92"/>
        <v>1</v>
      </c>
      <c r="D858" s="7" t="str">
        <f t="shared" si="93"/>
        <v>2</v>
      </c>
      <c r="E858" s="7" t="str">
        <f t="shared" si="94"/>
        <v>8</v>
      </c>
      <c r="F858" s="7" t="str">
        <f t="shared" si="95"/>
        <v>01</v>
      </c>
      <c r="G858" s="7" t="str">
        <f t="shared" si="96"/>
        <v>5</v>
      </c>
      <c r="H858" s="7" t="str">
        <f t="shared" si="97"/>
        <v>0</v>
      </c>
      <c r="I858" s="7">
        <v>21280150</v>
      </c>
      <c r="J858" s="8" t="s">
        <v>255</v>
      </c>
      <c r="K858" s="8" t="s">
        <v>256</v>
      </c>
      <c r="L858" s="8"/>
    </row>
    <row r="859" spans="2:12" ht="30" x14ac:dyDescent="0.25">
      <c r="B859" s="7" t="str">
        <f t="shared" si="91"/>
        <v>2</v>
      </c>
      <c r="C859" s="7" t="str">
        <f t="shared" si="92"/>
        <v>1</v>
      </c>
      <c r="D859" s="7" t="str">
        <f t="shared" si="93"/>
        <v>2</v>
      </c>
      <c r="E859" s="7" t="str">
        <f t="shared" si="94"/>
        <v>8</v>
      </c>
      <c r="F859" s="7" t="str">
        <f t="shared" si="95"/>
        <v>01</v>
      </c>
      <c r="G859" s="7" t="str">
        <f t="shared" si="96"/>
        <v>6</v>
      </c>
      <c r="H859" s="7" t="str">
        <f t="shared" si="97"/>
        <v>0</v>
      </c>
      <c r="I859" s="7">
        <v>21280160</v>
      </c>
      <c r="J859" s="8" t="s">
        <v>257</v>
      </c>
      <c r="K859" s="8" t="s">
        <v>258</v>
      </c>
      <c r="L859" s="8"/>
    </row>
    <row r="860" spans="2:12" ht="30" x14ac:dyDescent="0.25">
      <c r="B860" s="17" t="str">
        <f t="shared" si="91"/>
        <v>2</v>
      </c>
      <c r="C860" s="17" t="str">
        <f t="shared" si="92"/>
        <v>1</v>
      </c>
      <c r="D860" s="17" t="str">
        <f t="shared" si="93"/>
        <v>2</v>
      </c>
      <c r="E860" s="17" t="str">
        <f t="shared" si="94"/>
        <v>9</v>
      </c>
      <c r="F860" s="17" t="str">
        <f t="shared" si="95"/>
        <v>00</v>
      </c>
      <c r="G860" s="17" t="str">
        <f t="shared" si="96"/>
        <v>0</v>
      </c>
      <c r="H860" s="17" t="str">
        <f t="shared" si="97"/>
        <v>0</v>
      </c>
      <c r="I860" s="17">
        <v>21290000</v>
      </c>
      <c r="J860" s="16" t="s">
        <v>816</v>
      </c>
      <c r="K860" s="16" t="s">
        <v>817</v>
      </c>
      <c r="L860" s="16"/>
    </row>
    <row r="861" spans="2:12" ht="30" x14ac:dyDescent="0.25">
      <c r="B861" s="7" t="str">
        <f t="shared" si="91"/>
        <v>2</v>
      </c>
      <c r="C861" s="7" t="str">
        <f t="shared" si="92"/>
        <v>1</v>
      </c>
      <c r="D861" s="7" t="str">
        <f t="shared" si="93"/>
        <v>2</v>
      </c>
      <c r="E861" s="7" t="str">
        <f t="shared" si="94"/>
        <v>9</v>
      </c>
      <c r="F861" s="7" t="str">
        <f t="shared" si="95"/>
        <v>00</v>
      </c>
      <c r="G861" s="7" t="str">
        <f t="shared" si="96"/>
        <v>1</v>
      </c>
      <c r="H861" s="7" t="str">
        <f t="shared" si="97"/>
        <v>0</v>
      </c>
      <c r="I861" s="7">
        <v>21290010</v>
      </c>
      <c r="J861" s="8" t="s">
        <v>816</v>
      </c>
      <c r="K861" s="8" t="s">
        <v>817</v>
      </c>
      <c r="L861" s="8"/>
    </row>
    <row r="862" spans="2:12" ht="30" x14ac:dyDescent="0.25">
      <c r="B862" s="6" t="str">
        <f t="shared" si="91"/>
        <v>2</v>
      </c>
      <c r="C862" s="6" t="str">
        <f t="shared" si="92"/>
        <v>2</v>
      </c>
      <c r="D862" s="6" t="str">
        <f t="shared" si="93"/>
        <v>0</v>
      </c>
      <c r="E862" s="6" t="str">
        <f t="shared" si="94"/>
        <v>0</v>
      </c>
      <c r="F862" s="6" t="str">
        <f t="shared" si="95"/>
        <v>00</v>
      </c>
      <c r="G862" s="6" t="str">
        <f t="shared" si="96"/>
        <v>0</v>
      </c>
      <c r="H862" s="6" t="str">
        <f t="shared" si="97"/>
        <v>0</v>
      </c>
      <c r="I862" s="6">
        <v>22000000</v>
      </c>
      <c r="J862" s="5" t="s">
        <v>259</v>
      </c>
      <c r="K862" s="5" t="s">
        <v>818</v>
      </c>
      <c r="L862" s="5"/>
    </row>
    <row r="863" spans="2:12" ht="30" x14ac:dyDescent="0.25">
      <c r="B863" s="27" t="str">
        <f t="shared" si="91"/>
        <v>2</v>
      </c>
      <c r="C863" s="27" t="str">
        <f t="shared" si="92"/>
        <v>2</v>
      </c>
      <c r="D863" s="27" t="str">
        <f t="shared" si="93"/>
        <v>1</v>
      </c>
      <c r="E863" s="27" t="str">
        <f t="shared" si="94"/>
        <v>0</v>
      </c>
      <c r="F863" s="27" t="str">
        <f t="shared" si="95"/>
        <v>00</v>
      </c>
      <c r="G863" s="27" t="str">
        <f t="shared" si="96"/>
        <v>0</v>
      </c>
      <c r="H863" s="27" t="str">
        <f t="shared" si="97"/>
        <v>0</v>
      </c>
      <c r="I863" s="27">
        <v>22100000</v>
      </c>
      <c r="J863" s="26" t="s">
        <v>260</v>
      </c>
      <c r="K863" s="26" t="s">
        <v>819</v>
      </c>
      <c r="L863" s="26"/>
    </row>
    <row r="864" spans="2:12" ht="30" x14ac:dyDescent="0.25">
      <c r="B864" s="17" t="str">
        <f t="shared" si="91"/>
        <v>2</v>
      </c>
      <c r="C864" s="17" t="str">
        <f t="shared" si="92"/>
        <v>2</v>
      </c>
      <c r="D864" s="17" t="str">
        <f t="shared" si="93"/>
        <v>1</v>
      </c>
      <c r="E864" s="17" t="str">
        <f t="shared" si="94"/>
        <v>1</v>
      </c>
      <c r="F864" s="17" t="str">
        <f t="shared" si="95"/>
        <v>00</v>
      </c>
      <c r="G864" s="17" t="str">
        <f t="shared" si="96"/>
        <v>0</v>
      </c>
      <c r="H864" s="17" t="str">
        <f t="shared" si="97"/>
        <v>0</v>
      </c>
      <c r="I864" s="17">
        <v>22110000</v>
      </c>
      <c r="J864" s="16" t="s">
        <v>261</v>
      </c>
      <c r="K864" s="16" t="s">
        <v>820</v>
      </c>
      <c r="L864" s="16"/>
    </row>
    <row r="865" spans="2:12" ht="30" x14ac:dyDescent="0.25">
      <c r="B865" s="7" t="str">
        <f t="shared" si="91"/>
        <v>2</v>
      </c>
      <c r="C865" s="7" t="str">
        <f t="shared" si="92"/>
        <v>2</v>
      </c>
      <c r="D865" s="7" t="str">
        <f t="shared" si="93"/>
        <v>1</v>
      </c>
      <c r="E865" s="7" t="str">
        <f t="shared" si="94"/>
        <v>1</v>
      </c>
      <c r="F865" s="7" t="str">
        <f t="shared" si="95"/>
        <v>00</v>
      </c>
      <c r="G865" s="7" t="str">
        <f t="shared" si="96"/>
        <v>1</v>
      </c>
      <c r="H865" s="7" t="str">
        <f t="shared" si="97"/>
        <v>0</v>
      </c>
      <c r="I865" s="7">
        <v>22110010</v>
      </c>
      <c r="J865" s="8" t="s">
        <v>261</v>
      </c>
      <c r="K865" s="8" t="s">
        <v>820</v>
      </c>
      <c r="L865" s="8"/>
    </row>
    <row r="866" spans="2:12" ht="30" x14ac:dyDescent="0.25">
      <c r="B866" s="17" t="str">
        <f t="shared" si="91"/>
        <v>2</v>
      </c>
      <c r="C866" s="17" t="str">
        <f t="shared" si="92"/>
        <v>2</v>
      </c>
      <c r="D866" s="17" t="str">
        <f t="shared" si="93"/>
        <v>1</v>
      </c>
      <c r="E866" s="17" t="str">
        <f t="shared" si="94"/>
        <v>2</v>
      </c>
      <c r="F866" s="17" t="str">
        <f t="shared" si="95"/>
        <v>00</v>
      </c>
      <c r="G866" s="17" t="str">
        <f t="shared" si="96"/>
        <v>0</v>
      </c>
      <c r="H866" s="17" t="str">
        <f t="shared" si="97"/>
        <v>0</v>
      </c>
      <c r="I866" s="17">
        <v>22120000</v>
      </c>
      <c r="J866" s="16" t="s">
        <v>262</v>
      </c>
      <c r="K866" s="16" t="s">
        <v>821</v>
      </c>
      <c r="L866" s="16"/>
    </row>
    <row r="867" spans="2:12" ht="105" x14ac:dyDescent="0.25">
      <c r="B867" s="2" t="str">
        <f t="shared" si="91"/>
        <v>2</v>
      </c>
      <c r="C867" s="2" t="str">
        <f t="shared" si="92"/>
        <v>2</v>
      </c>
      <c r="D867" s="2" t="str">
        <f t="shared" si="93"/>
        <v>1</v>
      </c>
      <c r="E867" s="2" t="str">
        <f t="shared" si="94"/>
        <v>2</v>
      </c>
      <c r="F867" s="2" t="str">
        <f t="shared" si="95"/>
        <v>01</v>
      </c>
      <c r="G867" s="2" t="str">
        <f t="shared" si="96"/>
        <v>0</v>
      </c>
      <c r="H867" s="2" t="str">
        <f t="shared" si="97"/>
        <v>0</v>
      </c>
      <c r="I867" s="2">
        <v>22120100</v>
      </c>
      <c r="J867" s="3" t="s">
        <v>822</v>
      </c>
      <c r="K867" s="3" t="s">
        <v>823</v>
      </c>
      <c r="L867" s="3"/>
    </row>
    <row r="868" spans="2:12" ht="105" x14ac:dyDescent="0.25">
      <c r="B868" s="7" t="str">
        <f t="shared" si="91"/>
        <v>2</v>
      </c>
      <c r="C868" s="7" t="str">
        <f t="shared" si="92"/>
        <v>2</v>
      </c>
      <c r="D868" s="7" t="str">
        <f t="shared" si="93"/>
        <v>1</v>
      </c>
      <c r="E868" s="7" t="str">
        <f t="shared" si="94"/>
        <v>2</v>
      </c>
      <c r="F868" s="7" t="str">
        <f t="shared" si="95"/>
        <v>01</v>
      </c>
      <c r="G868" s="7" t="str">
        <f t="shared" si="96"/>
        <v>1</v>
      </c>
      <c r="H868" s="7" t="str">
        <f t="shared" si="97"/>
        <v>0</v>
      </c>
      <c r="I868" s="7">
        <v>22120110</v>
      </c>
      <c r="J868" s="8" t="s">
        <v>822</v>
      </c>
      <c r="K868" s="8" t="s">
        <v>823</v>
      </c>
      <c r="L868" s="8"/>
    </row>
    <row r="869" spans="2:12" ht="60" x14ac:dyDescent="0.25">
      <c r="B869" s="2" t="str">
        <f t="shared" si="91"/>
        <v>2</v>
      </c>
      <c r="C869" s="2" t="str">
        <f t="shared" si="92"/>
        <v>2</v>
      </c>
      <c r="D869" s="2" t="str">
        <f t="shared" si="93"/>
        <v>1</v>
      </c>
      <c r="E869" s="2" t="str">
        <f t="shared" si="94"/>
        <v>2</v>
      </c>
      <c r="F869" s="2" t="str">
        <f t="shared" si="95"/>
        <v>02</v>
      </c>
      <c r="G869" s="2" t="str">
        <f t="shared" si="96"/>
        <v>0</v>
      </c>
      <c r="H869" s="2" t="str">
        <f t="shared" si="97"/>
        <v>0</v>
      </c>
      <c r="I869" s="2">
        <v>22120200</v>
      </c>
      <c r="J869" s="3" t="s">
        <v>824</v>
      </c>
      <c r="K869" s="3" t="s">
        <v>825</v>
      </c>
      <c r="L869" s="3"/>
    </row>
    <row r="870" spans="2:12" ht="60" x14ac:dyDescent="0.25">
      <c r="B870" s="7" t="str">
        <f t="shared" si="91"/>
        <v>2</v>
      </c>
      <c r="C870" s="7" t="str">
        <f t="shared" si="92"/>
        <v>2</v>
      </c>
      <c r="D870" s="7" t="str">
        <f t="shared" si="93"/>
        <v>1</v>
      </c>
      <c r="E870" s="7" t="str">
        <f t="shared" si="94"/>
        <v>2</v>
      </c>
      <c r="F870" s="7" t="str">
        <f t="shared" si="95"/>
        <v>02</v>
      </c>
      <c r="G870" s="7" t="str">
        <f t="shared" si="96"/>
        <v>1</v>
      </c>
      <c r="H870" s="7" t="str">
        <f t="shared" si="97"/>
        <v>0</v>
      </c>
      <c r="I870" s="7">
        <v>22120210</v>
      </c>
      <c r="J870" s="8" t="s">
        <v>824</v>
      </c>
      <c r="K870" s="8" t="s">
        <v>825</v>
      </c>
      <c r="L870" s="8"/>
    </row>
    <row r="871" spans="2:12" ht="60" x14ac:dyDescent="0.25">
      <c r="B871" s="2" t="str">
        <f t="shared" si="91"/>
        <v>2</v>
      </c>
      <c r="C871" s="2" t="str">
        <f t="shared" si="92"/>
        <v>2</v>
      </c>
      <c r="D871" s="2" t="str">
        <f t="shared" si="93"/>
        <v>1</v>
      </c>
      <c r="E871" s="2" t="str">
        <f t="shared" si="94"/>
        <v>2</v>
      </c>
      <c r="F871" s="2" t="str">
        <f t="shared" si="95"/>
        <v>03</v>
      </c>
      <c r="G871" s="2" t="str">
        <f t="shared" si="96"/>
        <v>0</v>
      </c>
      <c r="H871" s="2" t="str">
        <f t="shared" si="97"/>
        <v>0</v>
      </c>
      <c r="I871" s="2">
        <v>22120300</v>
      </c>
      <c r="J871" s="3" t="s">
        <v>826</v>
      </c>
      <c r="K871" s="3" t="s">
        <v>827</v>
      </c>
      <c r="L871" s="3"/>
    </row>
    <row r="872" spans="2:12" ht="60" x14ac:dyDescent="0.25">
      <c r="B872" s="7" t="str">
        <f t="shared" si="91"/>
        <v>2</v>
      </c>
      <c r="C872" s="7" t="str">
        <f t="shared" si="92"/>
        <v>2</v>
      </c>
      <c r="D872" s="7" t="str">
        <f t="shared" si="93"/>
        <v>1</v>
      </c>
      <c r="E872" s="7" t="str">
        <f t="shared" si="94"/>
        <v>2</v>
      </c>
      <c r="F872" s="7" t="str">
        <f t="shared" si="95"/>
        <v>03</v>
      </c>
      <c r="G872" s="7" t="str">
        <f t="shared" si="96"/>
        <v>1</v>
      </c>
      <c r="H872" s="7" t="str">
        <f t="shared" si="97"/>
        <v>0</v>
      </c>
      <c r="I872" s="7">
        <v>22120310</v>
      </c>
      <c r="J872" s="8" t="s">
        <v>826</v>
      </c>
      <c r="K872" s="8" t="s">
        <v>827</v>
      </c>
      <c r="L872" s="8"/>
    </row>
    <row r="873" spans="2:12" ht="45" x14ac:dyDescent="0.25">
      <c r="B873" s="2" t="str">
        <f t="shared" si="91"/>
        <v>2</v>
      </c>
      <c r="C873" s="2" t="str">
        <f t="shared" si="92"/>
        <v>2</v>
      </c>
      <c r="D873" s="2" t="str">
        <f t="shared" si="93"/>
        <v>1</v>
      </c>
      <c r="E873" s="2" t="str">
        <f t="shared" si="94"/>
        <v>2</v>
      </c>
      <c r="F873" s="2" t="str">
        <f t="shared" si="95"/>
        <v>04</v>
      </c>
      <c r="G873" s="2" t="str">
        <f t="shared" si="96"/>
        <v>0</v>
      </c>
      <c r="H873" s="2" t="str">
        <f t="shared" si="97"/>
        <v>0</v>
      </c>
      <c r="I873" s="2">
        <v>22120400</v>
      </c>
      <c r="J873" s="3" t="s">
        <v>828</v>
      </c>
      <c r="K873" s="3" t="s">
        <v>829</v>
      </c>
      <c r="L873" s="3"/>
    </row>
    <row r="874" spans="2:12" ht="45" x14ac:dyDescent="0.25">
      <c r="B874" s="7" t="str">
        <f t="shared" si="91"/>
        <v>2</v>
      </c>
      <c r="C874" s="7" t="str">
        <f t="shared" si="92"/>
        <v>2</v>
      </c>
      <c r="D874" s="7" t="str">
        <f t="shared" si="93"/>
        <v>1</v>
      </c>
      <c r="E874" s="7" t="str">
        <f t="shared" si="94"/>
        <v>2</v>
      </c>
      <c r="F874" s="7" t="str">
        <f t="shared" si="95"/>
        <v>04</v>
      </c>
      <c r="G874" s="7" t="str">
        <f t="shared" si="96"/>
        <v>1</v>
      </c>
      <c r="H874" s="7" t="str">
        <f t="shared" si="97"/>
        <v>0</v>
      </c>
      <c r="I874" s="7">
        <v>22120410</v>
      </c>
      <c r="J874" s="8" t="s">
        <v>828</v>
      </c>
      <c r="K874" s="8" t="s">
        <v>829</v>
      </c>
      <c r="L874" s="8"/>
    </row>
    <row r="875" spans="2:12" ht="30" x14ac:dyDescent="0.25">
      <c r="B875" s="17" t="str">
        <f t="shared" si="91"/>
        <v>2</v>
      </c>
      <c r="C875" s="17" t="str">
        <f t="shared" si="92"/>
        <v>2</v>
      </c>
      <c r="D875" s="17" t="str">
        <f t="shared" si="93"/>
        <v>1</v>
      </c>
      <c r="E875" s="17" t="str">
        <f t="shared" si="94"/>
        <v>3</v>
      </c>
      <c r="F875" s="17" t="str">
        <f t="shared" si="95"/>
        <v>00</v>
      </c>
      <c r="G875" s="17" t="str">
        <f t="shared" si="96"/>
        <v>0</v>
      </c>
      <c r="H875" s="17" t="str">
        <f t="shared" si="97"/>
        <v>0</v>
      </c>
      <c r="I875" s="17">
        <v>22130000</v>
      </c>
      <c r="J875" s="16" t="s">
        <v>830</v>
      </c>
      <c r="K875" s="16" t="s">
        <v>831</v>
      </c>
      <c r="L875" s="16"/>
    </row>
    <row r="876" spans="2:12" ht="30" x14ac:dyDescent="0.25">
      <c r="B876" s="7" t="str">
        <f t="shared" si="91"/>
        <v>2</v>
      </c>
      <c r="C876" s="7" t="str">
        <f t="shared" si="92"/>
        <v>2</v>
      </c>
      <c r="D876" s="7" t="str">
        <f t="shared" si="93"/>
        <v>1</v>
      </c>
      <c r="E876" s="7" t="str">
        <f t="shared" si="94"/>
        <v>3</v>
      </c>
      <c r="F876" s="7" t="str">
        <f t="shared" si="95"/>
        <v>00</v>
      </c>
      <c r="G876" s="7" t="str">
        <f t="shared" si="96"/>
        <v>1</v>
      </c>
      <c r="H876" s="7" t="str">
        <f t="shared" si="97"/>
        <v>0</v>
      </c>
      <c r="I876" s="7">
        <v>22130010</v>
      </c>
      <c r="J876" s="8" t="s">
        <v>830</v>
      </c>
      <c r="K876" s="8" t="s">
        <v>831</v>
      </c>
      <c r="L876" s="8"/>
    </row>
    <row r="877" spans="2:12" ht="45" x14ac:dyDescent="0.25">
      <c r="B877" s="17" t="str">
        <f t="shared" si="91"/>
        <v>2</v>
      </c>
      <c r="C877" s="17" t="str">
        <f t="shared" si="92"/>
        <v>2</v>
      </c>
      <c r="D877" s="17" t="str">
        <f t="shared" si="93"/>
        <v>1</v>
      </c>
      <c r="E877" s="17" t="str">
        <f t="shared" si="94"/>
        <v>8</v>
      </c>
      <c r="F877" s="17" t="str">
        <f t="shared" si="95"/>
        <v>00</v>
      </c>
      <c r="G877" s="17" t="str">
        <f t="shared" si="96"/>
        <v>0</v>
      </c>
      <c r="H877" s="17" t="str">
        <f t="shared" si="97"/>
        <v>0</v>
      </c>
      <c r="I877" s="17">
        <v>22180000</v>
      </c>
      <c r="J877" s="16" t="s">
        <v>946</v>
      </c>
      <c r="K877" s="16" t="s">
        <v>947</v>
      </c>
      <c r="L877" s="16"/>
    </row>
    <row r="878" spans="2:12" ht="30" x14ac:dyDescent="0.25">
      <c r="B878" s="2" t="str">
        <f t="shared" si="91"/>
        <v>2</v>
      </c>
      <c r="C878" s="2" t="str">
        <f t="shared" si="92"/>
        <v>2</v>
      </c>
      <c r="D878" s="2" t="str">
        <f t="shared" si="93"/>
        <v>1</v>
      </c>
      <c r="E878" s="2" t="str">
        <f t="shared" si="94"/>
        <v>8</v>
      </c>
      <c r="F878" s="2" t="str">
        <f t="shared" si="95"/>
        <v>01</v>
      </c>
      <c r="G878" s="2" t="str">
        <f t="shared" si="96"/>
        <v>0</v>
      </c>
      <c r="H878" s="2" t="str">
        <f t="shared" si="97"/>
        <v>0</v>
      </c>
      <c r="I878" s="2">
        <v>22180100</v>
      </c>
      <c r="J878" s="3" t="s">
        <v>261</v>
      </c>
      <c r="K878" s="3" t="s">
        <v>948</v>
      </c>
      <c r="L878" s="3"/>
    </row>
    <row r="879" spans="2:12" ht="30" customHeight="1" x14ac:dyDescent="0.25">
      <c r="B879" s="7" t="str">
        <f t="shared" si="91"/>
        <v>2</v>
      </c>
      <c r="C879" s="7" t="str">
        <f t="shared" si="92"/>
        <v>2</v>
      </c>
      <c r="D879" s="7" t="str">
        <f t="shared" si="93"/>
        <v>1</v>
      </c>
      <c r="E879" s="7" t="str">
        <f t="shared" si="94"/>
        <v>8</v>
      </c>
      <c r="F879" s="7" t="str">
        <f t="shared" si="95"/>
        <v>01</v>
      </c>
      <c r="G879" s="7" t="str">
        <f t="shared" si="96"/>
        <v>1</v>
      </c>
      <c r="H879" s="7" t="str">
        <f t="shared" si="97"/>
        <v>0</v>
      </c>
      <c r="I879" s="7">
        <v>22180110</v>
      </c>
      <c r="J879" s="8" t="s">
        <v>949</v>
      </c>
      <c r="K879" s="8" t="s">
        <v>1371</v>
      </c>
      <c r="L879" s="8"/>
    </row>
    <row r="880" spans="2:12" x14ac:dyDescent="0.25">
      <c r="B880" s="7" t="str">
        <f t="shared" si="91"/>
        <v>2</v>
      </c>
      <c r="C880" s="7" t="str">
        <f t="shared" si="92"/>
        <v>2</v>
      </c>
      <c r="D880" s="7" t="str">
        <f t="shared" si="93"/>
        <v>1</v>
      </c>
      <c r="E880" s="7" t="str">
        <f t="shared" si="94"/>
        <v>8</v>
      </c>
      <c r="F880" s="7" t="str">
        <f t="shared" si="95"/>
        <v>01</v>
      </c>
      <c r="G880" s="7" t="str">
        <f t="shared" si="96"/>
        <v>2</v>
      </c>
      <c r="H880" s="7" t="str">
        <f t="shared" si="97"/>
        <v>0</v>
      </c>
      <c r="I880" s="7">
        <v>22180120</v>
      </c>
      <c r="J880" s="8" t="s">
        <v>950</v>
      </c>
      <c r="K880" s="8"/>
      <c r="L880" s="8"/>
    </row>
    <row r="881" spans="2:12" ht="30" x14ac:dyDescent="0.25">
      <c r="B881" s="27" t="str">
        <f t="shared" si="91"/>
        <v>2</v>
      </c>
      <c r="C881" s="27" t="str">
        <f t="shared" si="92"/>
        <v>2</v>
      </c>
      <c r="D881" s="27" t="str">
        <f t="shared" si="93"/>
        <v>2</v>
      </c>
      <c r="E881" s="27" t="str">
        <f t="shared" si="94"/>
        <v>0</v>
      </c>
      <c r="F881" s="27" t="str">
        <f t="shared" si="95"/>
        <v>00</v>
      </c>
      <c r="G881" s="27" t="str">
        <f t="shared" si="96"/>
        <v>0</v>
      </c>
      <c r="H881" s="27" t="str">
        <f t="shared" si="97"/>
        <v>0</v>
      </c>
      <c r="I881" s="27">
        <v>22200000</v>
      </c>
      <c r="J881" s="26" t="s">
        <v>263</v>
      </c>
      <c r="K881" s="26" t="s">
        <v>951</v>
      </c>
      <c r="L881" s="26"/>
    </row>
    <row r="882" spans="2:12" ht="30" x14ac:dyDescent="0.25">
      <c r="B882" s="7" t="str">
        <f t="shared" ref="B882:B945" si="98">MID($I882,1,1)</f>
        <v>2</v>
      </c>
      <c r="C882" s="7" t="str">
        <f t="shared" ref="C882:C945" si="99">MID($I882,2,1)</f>
        <v>2</v>
      </c>
      <c r="D882" s="7" t="str">
        <f t="shared" ref="D882:D945" si="100">MID($I882,3,1)</f>
        <v>2</v>
      </c>
      <c r="E882" s="7" t="str">
        <f t="shared" ref="E882:E945" si="101">MID($I882,4,1)</f>
        <v>0</v>
      </c>
      <c r="F882" s="7" t="str">
        <f t="shared" ref="F882:F945" si="102">MID($I882,5,2)</f>
        <v>00</v>
      </c>
      <c r="G882" s="7" t="str">
        <f t="shared" ref="G882:G945" si="103">MID($I882,7,1)</f>
        <v>1</v>
      </c>
      <c r="H882" s="7" t="str">
        <f t="shared" ref="H882:H945" si="104">MID($I882,8,1)</f>
        <v>0</v>
      </c>
      <c r="I882" s="7">
        <v>22200010</v>
      </c>
      <c r="J882" s="8" t="s">
        <v>263</v>
      </c>
      <c r="K882" s="8" t="s">
        <v>952</v>
      </c>
      <c r="L882" s="8"/>
    </row>
    <row r="883" spans="2:12" ht="30" x14ac:dyDescent="0.25">
      <c r="B883" s="7" t="str">
        <f t="shared" si="98"/>
        <v>2</v>
      </c>
      <c r="C883" s="7" t="str">
        <f t="shared" si="99"/>
        <v>2</v>
      </c>
      <c r="D883" s="7" t="str">
        <f t="shared" si="100"/>
        <v>2</v>
      </c>
      <c r="E883" s="7" t="str">
        <f t="shared" si="101"/>
        <v>0</v>
      </c>
      <c r="F883" s="7" t="str">
        <f t="shared" si="102"/>
        <v>00</v>
      </c>
      <c r="G883" s="7" t="str">
        <f t="shared" si="103"/>
        <v>2</v>
      </c>
      <c r="H883" s="7" t="str">
        <f t="shared" si="104"/>
        <v>0</v>
      </c>
      <c r="I883" s="7">
        <v>22200020</v>
      </c>
      <c r="J883" s="8" t="s">
        <v>953</v>
      </c>
      <c r="K883" s="8" t="s">
        <v>954</v>
      </c>
      <c r="L883" s="8"/>
    </row>
    <row r="884" spans="2:12" ht="105.75" customHeight="1" x14ac:dyDescent="0.25">
      <c r="B884" s="27" t="str">
        <f t="shared" si="98"/>
        <v>2</v>
      </c>
      <c r="C884" s="27" t="str">
        <f t="shared" si="99"/>
        <v>2</v>
      </c>
      <c r="D884" s="27" t="str">
        <f t="shared" si="100"/>
        <v>3</v>
      </c>
      <c r="E884" s="27" t="str">
        <f t="shared" si="101"/>
        <v>0</v>
      </c>
      <c r="F884" s="27" t="str">
        <f t="shared" si="102"/>
        <v>00</v>
      </c>
      <c r="G884" s="27" t="str">
        <f t="shared" si="103"/>
        <v>0</v>
      </c>
      <c r="H884" s="27" t="str">
        <f t="shared" si="104"/>
        <v>0</v>
      </c>
      <c r="I884" s="27">
        <v>22300000</v>
      </c>
      <c r="J884" s="26" t="s">
        <v>832</v>
      </c>
      <c r="K884" s="26" t="s">
        <v>833</v>
      </c>
      <c r="L884" s="26"/>
    </row>
    <row r="885" spans="2:12" ht="86.25" customHeight="1" x14ac:dyDescent="0.25">
      <c r="B885" s="7" t="str">
        <f t="shared" si="98"/>
        <v>2</v>
      </c>
      <c r="C885" s="7" t="str">
        <f t="shared" si="99"/>
        <v>2</v>
      </c>
      <c r="D885" s="7" t="str">
        <f t="shared" si="100"/>
        <v>3</v>
      </c>
      <c r="E885" s="7" t="str">
        <f t="shared" si="101"/>
        <v>0</v>
      </c>
      <c r="F885" s="7" t="str">
        <f t="shared" si="102"/>
        <v>00</v>
      </c>
      <c r="G885" s="7" t="str">
        <f t="shared" si="103"/>
        <v>1</v>
      </c>
      <c r="H885" s="7" t="str">
        <f t="shared" si="104"/>
        <v>0</v>
      </c>
      <c r="I885" s="7">
        <v>22300010</v>
      </c>
      <c r="J885" s="8" t="s">
        <v>832</v>
      </c>
      <c r="K885" s="8" t="s">
        <v>1362</v>
      </c>
      <c r="L885" s="8"/>
    </row>
    <row r="886" spans="2:12" ht="60" x14ac:dyDescent="0.25">
      <c r="B886" s="6" t="str">
        <f t="shared" si="98"/>
        <v>2</v>
      </c>
      <c r="C886" s="6" t="str">
        <f t="shared" si="99"/>
        <v>3</v>
      </c>
      <c r="D886" s="6" t="str">
        <f t="shared" si="100"/>
        <v>0</v>
      </c>
      <c r="E886" s="6" t="str">
        <f t="shared" si="101"/>
        <v>0</v>
      </c>
      <c r="F886" s="6" t="str">
        <f t="shared" si="102"/>
        <v>00</v>
      </c>
      <c r="G886" s="6" t="str">
        <f t="shared" si="103"/>
        <v>0</v>
      </c>
      <c r="H886" s="6" t="str">
        <f t="shared" si="104"/>
        <v>0</v>
      </c>
      <c r="I886" s="6">
        <v>23000000</v>
      </c>
      <c r="J886" s="5" t="s">
        <v>264</v>
      </c>
      <c r="K886" s="5" t="s">
        <v>834</v>
      </c>
      <c r="L886" s="5"/>
    </row>
    <row r="887" spans="2:12" ht="285" x14ac:dyDescent="0.25">
      <c r="B887" s="2" t="str">
        <f t="shared" si="98"/>
        <v>2</v>
      </c>
      <c r="C887" s="2" t="str">
        <f t="shared" si="99"/>
        <v>3</v>
      </c>
      <c r="D887" s="2" t="str">
        <f t="shared" si="100"/>
        <v>0</v>
      </c>
      <c r="E887" s="2" t="str">
        <f t="shared" si="101"/>
        <v>0</v>
      </c>
      <c r="F887" s="2" t="str">
        <f t="shared" si="102"/>
        <v>01</v>
      </c>
      <c r="G887" s="2" t="str">
        <f t="shared" si="103"/>
        <v>0</v>
      </c>
      <c r="H887" s="2" t="str">
        <f t="shared" si="104"/>
        <v>0</v>
      </c>
      <c r="I887" s="2">
        <v>23000100</v>
      </c>
      <c r="J887" s="3" t="s">
        <v>835</v>
      </c>
      <c r="K887" s="3" t="s">
        <v>836</v>
      </c>
      <c r="L887" s="3"/>
    </row>
    <row r="888" spans="2:12" ht="285" x14ac:dyDescent="0.25">
      <c r="B888" s="7" t="str">
        <f t="shared" si="98"/>
        <v>2</v>
      </c>
      <c r="C888" s="7" t="str">
        <f t="shared" si="99"/>
        <v>3</v>
      </c>
      <c r="D888" s="7" t="str">
        <f t="shared" si="100"/>
        <v>0</v>
      </c>
      <c r="E888" s="7" t="str">
        <f t="shared" si="101"/>
        <v>0</v>
      </c>
      <c r="F888" s="7" t="str">
        <f t="shared" si="102"/>
        <v>01</v>
      </c>
      <c r="G888" s="7" t="str">
        <f t="shared" si="103"/>
        <v>1</v>
      </c>
      <c r="H888" s="7" t="str">
        <f t="shared" si="104"/>
        <v>0</v>
      </c>
      <c r="I888" s="7">
        <v>23000110</v>
      </c>
      <c r="J888" s="8" t="s">
        <v>835</v>
      </c>
      <c r="K888" s="8" t="s">
        <v>836</v>
      </c>
      <c r="L888" s="8"/>
    </row>
    <row r="889" spans="2:12" ht="135" x14ac:dyDescent="0.25">
      <c r="B889" s="2" t="str">
        <f t="shared" si="98"/>
        <v>2</v>
      </c>
      <c r="C889" s="2" t="str">
        <f t="shared" si="99"/>
        <v>3</v>
      </c>
      <c r="D889" s="2" t="str">
        <f t="shared" si="100"/>
        <v>0</v>
      </c>
      <c r="E889" s="2" t="str">
        <f t="shared" si="101"/>
        <v>0</v>
      </c>
      <c r="F889" s="2" t="str">
        <f t="shared" si="102"/>
        <v>02</v>
      </c>
      <c r="G889" s="2" t="str">
        <f t="shared" si="103"/>
        <v>0</v>
      </c>
      <c r="H889" s="2" t="str">
        <f t="shared" si="104"/>
        <v>0</v>
      </c>
      <c r="I889" s="2">
        <v>23000200</v>
      </c>
      <c r="J889" s="3" t="s">
        <v>837</v>
      </c>
      <c r="K889" s="3" t="s">
        <v>838</v>
      </c>
      <c r="L889" s="3"/>
    </row>
    <row r="890" spans="2:12" ht="135" x14ac:dyDescent="0.25">
      <c r="B890" s="7" t="str">
        <f t="shared" si="98"/>
        <v>2</v>
      </c>
      <c r="C890" s="7" t="str">
        <f t="shared" si="99"/>
        <v>3</v>
      </c>
      <c r="D890" s="7" t="str">
        <f t="shared" si="100"/>
        <v>0</v>
      </c>
      <c r="E890" s="7" t="str">
        <f t="shared" si="101"/>
        <v>0</v>
      </c>
      <c r="F890" s="7" t="str">
        <f t="shared" si="102"/>
        <v>02</v>
      </c>
      <c r="G890" s="7" t="str">
        <f t="shared" si="103"/>
        <v>1</v>
      </c>
      <c r="H890" s="7" t="str">
        <f t="shared" si="104"/>
        <v>0</v>
      </c>
      <c r="I890" s="7">
        <v>23000210</v>
      </c>
      <c r="J890" s="8" t="s">
        <v>837</v>
      </c>
      <c r="K890" s="8" t="s">
        <v>838</v>
      </c>
      <c r="L890" s="8"/>
    </row>
    <row r="891" spans="2:12" ht="150" x14ac:dyDescent="0.25">
      <c r="B891" s="2" t="str">
        <f t="shared" si="98"/>
        <v>2</v>
      </c>
      <c r="C891" s="2" t="str">
        <f t="shared" si="99"/>
        <v>3</v>
      </c>
      <c r="D891" s="2" t="str">
        <f t="shared" si="100"/>
        <v>0</v>
      </c>
      <c r="E891" s="2" t="str">
        <f t="shared" si="101"/>
        <v>0</v>
      </c>
      <c r="F891" s="2" t="str">
        <f t="shared" si="102"/>
        <v>03</v>
      </c>
      <c r="G891" s="2" t="str">
        <f t="shared" si="103"/>
        <v>0</v>
      </c>
      <c r="H891" s="2" t="str">
        <f t="shared" si="104"/>
        <v>0</v>
      </c>
      <c r="I891" s="2">
        <v>23000300</v>
      </c>
      <c r="J891" s="3" t="s">
        <v>839</v>
      </c>
      <c r="K891" s="3" t="s">
        <v>840</v>
      </c>
      <c r="L891" s="3"/>
    </row>
    <row r="892" spans="2:12" ht="150" x14ac:dyDescent="0.25">
      <c r="B892" s="7" t="str">
        <f t="shared" si="98"/>
        <v>2</v>
      </c>
      <c r="C892" s="7" t="str">
        <f t="shared" si="99"/>
        <v>3</v>
      </c>
      <c r="D892" s="7" t="str">
        <f t="shared" si="100"/>
        <v>0</v>
      </c>
      <c r="E892" s="7" t="str">
        <f t="shared" si="101"/>
        <v>0</v>
      </c>
      <c r="F892" s="7" t="str">
        <f t="shared" si="102"/>
        <v>03</v>
      </c>
      <c r="G892" s="7" t="str">
        <f t="shared" si="103"/>
        <v>1</v>
      </c>
      <c r="H892" s="7" t="str">
        <f t="shared" si="104"/>
        <v>0</v>
      </c>
      <c r="I892" s="7">
        <v>23000310</v>
      </c>
      <c r="J892" s="8" t="s">
        <v>839</v>
      </c>
      <c r="K892" s="8" t="s">
        <v>840</v>
      </c>
      <c r="L892" s="8"/>
    </row>
    <row r="893" spans="2:12" ht="210" x14ac:dyDescent="0.25">
      <c r="B893" s="2" t="str">
        <f t="shared" si="98"/>
        <v>2</v>
      </c>
      <c r="C893" s="2" t="str">
        <f t="shared" si="99"/>
        <v>3</v>
      </c>
      <c r="D893" s="2" t="str">
        <f t="shared" si="100"/>
        <v>0</v>
      </c>
      <c r="E893" s="2" t="str">
        <f t="shared" si="101"/>
        <v>0</v>
      </c>
      <c r="F893" s="2" t="str">
        <f t="shared" si="102"/>
        <v>04</v>
      </c>
      <c r="G893" s="2" t="str">
        <f t="shared" si="103"/>
        <v>0</v>
      </c>
      <c r="H893" s="2" t="str">
        <f t="shared" si="104"/>
        <v>0</v>
      </c>
      <c r="I893" s="2">
        <v>23000400</v>
      </c>
      <c r="J893" s="3" t="s">
        <v>841</v>
      </c>
      <c r="K893" s="3" t="s">
        <v>842</v>
      </c>
      <c r="L893" s="3"/>
    </row>
    <row r="894" spans="2:12" ht="210" x14ac:dyDescent="0.25">
      <c r="B894" s="7" t="str">
        <f t="shared" si="98"/>
        <v>2</v>
      </c>
      <c r="C894" s="7" t="str">
        <f t="shared" si="99"/>
        <v>3</v>
      </c>
      <c r="D894" s="7" t="str">
        <f t="shared" si="100"/>
        <v>0</v>
      </c>
      <c r="E894" s="7" t="str">
        <f t="shared" si="101"/>
        <v>0</v>
      </c>
      <c r="F894" s="7" t="str">
        <f t="shared" si="102"/>
        <v>04</v>
      </c>
      <c r="G894" s="7" t="str">
        <f t="shared" si="103"/>
        <v>1</v>
      </c>
      <c r="H894" s="7" t="str">
        <f t="shared" si="104"/>
        <v>0</v>
      </c>
      <c r="I894" s="7">
        <v>23000410</v>
      </c>
      <c r="J894" s="8" t="s">
        <v>841</v>
      </c>
      <c r="K894" s="8" t="s">
        <v>842</v>
      </c>
      <c r="L894" s="8"/>
    </row>
    <row r="895" spans="2:12" ht="90" x14ac:dyDescent="0.25">
      <c r="B895" s="2" t="str">
        <f t="shared" si="98"/>
        <v>2</v>
      </c>
      <c r="C895" s="2" t="str">
        <f t="shared" si="99"/>
        <v>3</v>
      </c>
      <c r="D895" s="2" t="str">
        <f t="shared" si="100"/>
        <v>0</v>
      </c>
      <c r="E895" s="2" t="str">
        <f t="shared" si="101"/>
        <v>0</v>
      </c>
      <c r="F895" s="2" t="str">
        <f t="shared" si="102"/>
        <v>05</v>
      </c>
      <c r="G895" s="2" t="str">
        <f t="shared" si="103"/>
        <v>0</v>
      </c>
      <c r="H895" s="2" t="str">
        <f t="shared" si="104"/>
        <v>0</v>
      </c>
      <c r="I895" s="2">
        <v>23000500</v>
      </c>
      <c r="J895" s="3" t="s">
        <v>843</v>
      </c>
      <c r="K895" s="3" t="s">
        <v>844</v>
      </c>
      <c r="L895" s="3"/>
    </row>
    <row r="896" spans="2:12" ht="90" x14ac:dyDescent="0.25">
      <c r="B896" s="7" t="str">
        <f t="shared" si="98"/>
        <v>2</v>
      </c>
      <c r="C896" s="7" t="str">
        <f t="shared" si="99"/>
        <v>3</v>
      </c>
      <c r="D896" s="7" t="str">
        <f t="shared" si="100"/>
        <v>0</v>
      </c>
      <c r="E896" s="7" t="str">
        <f t="shared" si="101"/>
        <v>0</v>
      </c>
      <c r="F896" s="7" t="str">
        <f t="shared" si="102"/>
        <v>05</v>
      </c>
      <c r="G896" s="7" t="str">
        <f t="shared" si="103"/>
        <v>1</v>
      </c>
      <c r="H896" s="7" t="str">
        <f t="shared" si="104"/>
        <v>0</v>
      </c>
      <c r="I896" s="7">
        <v>23000510</v>
      </c>
      <c r="J896" s="8" t="s">
        <v>843</v>
      </c>
      <c r="K896" s="8" t="s">
        <v>844</v>
      </c>
      <c r="L896" s="8"/>
    </row>
    <row r="897" spans="2:12" ht="45" x14ac:dyDescent="0.25">
      <c r="B897" s="2" t="str">
        <f t="shared" si="98"/>
        <v>2</v>
      </c>
      <c r="C897" s="2" t="str">
        <f t="shared" si="99"/>
        <v>3</v>
      </c>
      <c r="D897" s="2" t="str">
        <f t="shared" si="100"/>
        <v>0</v>
      </c>
      <c r="E897" s="2" t="str">
        <f t="shared" si="101"/>
        <v>0</v>
      </c>
      <c r="F897" s="2" t="str">
        <f t="shared" si="102"/>
        <v>06</v>
      </c>
      <c r="G897" s="2" t="str">
        <f t="shared" si="103"/>
        <v>0</v>
      </c>
      <c r="H897" s="2" t="str">
        <f t="shared" si="104"/>
        <v>0</v>
      </c>
      <c r="I897" s="2">
        <v>23000600</v>
      </c>
      <c r="J897" s="3" t="s">
        <v>845</v>
      </c>
      <c r="K897" s="3" t="s">
        <v>846</v>
      </c>
      <c r="L897" s="3"/>
    </row>
    <row r="898" spans="2:12" ht="45" x14ac:dyDescent="0.25">
      <c r="B898" s="7" t="str">
        <f t="shared" si="98"/>
        <v>2</v>
      </c>
      <c r="C898" s="7" t="str">
        <f t="shared" si="99"/>
        <v>3</v>
      </c>
      <c r="D898" s="7" t="str">
        <f t="shared" si="100"/>
        <v>0</v>
      </c>
      <c r="E898" s="7" t="str">
        <f t="shared" si="101"/>
        <v>0</v>
      </c>
      <c r="F898" s="7" t="str">
        <f t="shared" si="102"/>
        <v>06</v>
      </c>
      <c r="G898" s="7" t="str">
        <f t="shared" si="103"/>
        <v>1</v>
      </c>
      <c r="H898" s="7" t="str">
        <f t="shared" si="104"/>
        <v>0</v>
      </c>
      <c r="I898" s="7">
        <v>23000610</v>
      </c>
      <c r="J898" s="8" t="s">
        <v>845</v>
      </c>
      <c r="K898" s="8" t="s">
        <v>846</v>
      </c>
      <c r="L898" s="8"/>
    </row>
    <row r="899" spans="2:12" x14ac:dyDescent="0.25">
      <c r="B899" s="2" t="str">
        <f t="shared" si="98"/>
        <v>2</v>
      </c>
      <c r="C899" s="2" t="str">
        <f t="shared" si="99"/>
        <v>3</v>
      </c>
      <c r="D899" s="2" t="str">
        <f t="shared" si="100"/>
        <v>0</v>
      </c>
      <c r="E899" s="2" t="str">
        <f t="shared" si="101"/>
        <v>0</v>
      </c>
      <c r="F899" s="2" t="str">
        <f t="shared" si="102"/>
        <v>07</v>
      </c>
      <c r="G899" s="2" t="str">
        <f t="shared" si="103"/>
        <v>0</v>
      </c>
      <c r="H899" s="2" t="str">
        <f t="shared" si="104"/>
        <v>0</v>
      </c>
      <c r="I899" s="2">
        <v>23000700</v>
      </c>
      <c r="J899" s="3" t="s">
        <v>265</v>
      </c>
      <c r="K899" s="3" t="s">
        <v>847</v>
      </c>
      <c r="L899" s="3"/>
    </row>
    <row r="900" spans="2:12" s="13" customFormat="1" x14ac:dyDescent="0.25">
      <c r="B900" s="7" t="str">
        <f t="shared" si="98"/>
        <v>2</v>
      </c>
      <c r="C900" s="7" t="str">
        <f t="shared" si="99"/>
        <v>3</v>
      </c>
      <c r="D900" s="7" t="str">
        <f t="shared" si="100"/>
        <v>0</v>
      </c>
      <c r="E900" s="7" t="str">
        <f t="shared" si="101"/>
        <v>0</v>
      </c>
      <c r="F900" s="7" t="str">
        <f t="shared" si="102"/>
        <v>07</v>
      </c>
      <c r="G900" s="7" t="str">
        <f t="shared" si="103"/>
        <v>1</v>
      </c>
      <c r="H900" s="7" t="str">
        <f t="shared" si="104"/>
        <v>0</v>
      </c>
      <c r="I900" s="7">
        <v>23000710</v>
      </c>
      <c r="J900" s="8" t="s">
        <v>265</v>
      </c>
      <c r="K900" s="8" t="s">
        <v>847</v>
      </c>
      <c r="L900" s="8"/>
    </row>
    <row r="901" spans="2:12" s="13" customFormat="1" ht="30" x14ac:dyDescent="0.25">
      <c r="B901" s="2" t="str">
        <f t="shared" si="98"/>
        <v>2</v>
      </c>
      <c r="C901" s="2" t="str">
        <f t="shared" si="99"/>
        <v>3</v>
      </c>
      <c r="D901" s="2" t="str">
        <f t="shared" si="100"/>
        <v>0</v>
      </c>
      <c r="E901" s="2" t="str">
        <f t="shared" si="101"/>
        <v>0</v>
      </c>
      <c r="F901" s="2" t="str">
        <f t="shared" si="102"/>
        <v>08</v>
      </c>
      <c r="G901" s="2" t="str">
        <f t="shared" si="103"/>
        <v>0</v>
      </c>
      <c r="H901" s="2" t="str">
        <f t="shared" si="104"/>
        <v>0</v>
      </c>
      <c r="I901" s="2">
        <v>23000800</v>
      </c>
      <c r="J901" s="3" t="s">
        <v>848</v>
      </c>
      <c r="K901" s="3" t="s">
        <v>849</v>
      </c>
      <c r="L901" s="3"/>
    </row>
    <row r="902" spans="2:12" ht="30" x14ac:dyDescent="0.25">
      <c r="B902" s="7" t="str">
        <f t="shared" si="98"/>
        <v>2</v>
      </c>
      <c r="C902" s="7" t="str">
        <f t="shared" si="99"/>
        <v>3</v>
      </c>
      <c r="D902" s="7" t="str">
        <f t="shared" si="100"/>
        <v>0</v>
      </c>
      <c r="E902" s="7" t="str">
        <f t="shared" si="101"/>
        <v>0</v>
      </c>
      <c r="F902" s="7" t="str">
        <f t="shared" si="102"/>
        <v>08</v>
      </c>
      <c r="G902" s="7" t="str">
        <f t="shared" si="103"/>
        <v>1</v>
      </c>
      <c r="H902" s="7" t="str">
        <f t="shared" si="104"/>
        <v>0</v>
      </c>
      <c r="I902" s="7">
        <v>23000810</v>
      </c>
      <c r="J902" s="8" t="s">
        <v>848</v>
      </c>
      <c r="K902" s="8" t="s">
        <v>849</v>
      </c>
      <c r="L902" s="8"/>
    </row>
    <row r="903" spans="2:12" ht="60" x14ac:dyDescent="0.25">
      <c r="B903" s="6" t="str">
        <f t="shared" si="98"/>
        <v>2</v>
      </c>
      <c r="C903" s="6" t="str">
        <f t="shared" si="99"/>
        <v>4</v>
      </c>
      <c r="D903" s="6" t="str">
        <f t="shared" si="100"/>
        <v>0</v>
      </c>
      <c r="E903" s="6" t="str">
        <f t="shared" si="101"/>
        <v>0</v>
      </c>
      <c r="F903" s="6" t="str">
        <f t="shared" si="102"/>
        <v>00</v>
      </c>
      <c r="G903" s="6" t="str">
        <f t="shared" si="103"/>
        <v>0</v>
      </c>
      <c r="H903" s="6" t="str">
        <f t="shared" si="104"/>
        <v>0</v>
      </c>
      <c r="I903" s="6">
        <v>24000000</v>
      </c>
      <c r="J903" s="5" t="s">
        <v>266</v>
      </c>
      <c r="K903" s="5" t="s">
        <v>850</v>
      </c>
      <c r="L903" s="5"/>
    </row>
    <row r="904" spans="2:12" ht="60" x14ac:dyDescent="0.25">
      <c r="B904" s="27" t="str">
        <f t="shared" si="98"/>
        <v>2</v>
      </c>
      <c r="C904" s="27" t="str">
        <f t="shared" si="99"/>
        <v>4</v>
      </c>
      <c r="D904" s="27" t="str">
        <f t="shared" si="100"/>
        <v>1</v>
      </c>
      <c r="E904" s="27" t="str">
        <f t="shared" si="101"/>
        <v>0</v>
      </c>
      <c r="F904" s="27" t="str">
        <f t="shared" si="102"/>
        <v>00</v>
      </c>
      <c r="G904" s="27" t="str">
        <f t="shared" si="103"/>
        <v>0</v>
      </c>
      <c r="H904" s="27" t="str">
        <f t="shared" si="104"/>
        <v>0</v>
      </c>
      <c r="I904" s="27">
        <v>24100000</v>
      </c>
      <c r="J904" s="26" t="s">
        <v>668</v>
      </c>
      <c r="K904" s="26" t="s">
        <v>851</v>
      </c>
      <c r="L904" s="26"/>
    </row>
    <row r="905" spans="2:12" ht="60" x14ac:dyDescent="0.25">
      <c r="B905" s="7" t="str">
        <f t="shared" si="98"/>
        <v>2</v>
      </c>
      <c r="C905" s="7" t="str">
        <f t="shared" si="99"/>
        <v>4</v>
      </c>
      <c r="D905" s="7" t="str">
        <f t="shared" si="100"/>
        <v>1</v>
      </c>
      <c r="E905" s="7" t="str">
        <f t="shared" si="101"/>
        <v>0</v>
      </c>
      <c r="F905" s="7" t="str">
        <f t="shared" si="102"/>
        <v>00</v>
      </c>
      <c r="G905" s="7" t="str">
        <f t="shared" si="103"/>
        <v>1</v>
      </c>
      <c r="H905" s="7" t="str">
        <f t="shared" si="104"/>
        <v>0</v>
      </c>
      <c r="I905" s="7">
        <v>24100010</v>
      </c>
      <c r="J905" s="8" t="s">
        <v>668</v>
      </c>
      <c r="K905" s="8" t="s">
        <v>851</v>
      </c>
      <c r="L905" s="8"/>
    </row>
    <row r="906" spans="2:12" ht="45" x14ac:dyDescent="0.25">
      <c r="B906" s="17" t="str">
        <f t="shared" si="98"/>
        <v>2</v>
      </c>
      <c r="C906" s="17" t="str">
        <f t="shared" si="99"/>
        <v>4</v>
      </c>
      <c r="D906" s="17" t="str">
        <f t="shared" si="100"/>
        <v>1</v>
      </c>
      <c r="E906" s="17" t="str">
        <f t="shared" si="101"/>
        <v>8</v>
      </c>
      <c r="F906" s="17" t="str">
        <f t="shared" si="102"/>
        <v>00</v>
      </c>
      <c r="G906" s="17" t="str">
        <f t="shared" si="103"/>
        <v>0</v>
      </c>
      <c r="H906" s="17" t="str">
        <f t="shared" si="104"/>
        <v>0</v>
      </c>
      <c r="I906" s="17">
        <v>24180000</v>
      </c>
      <c r="J906" s="16" t="s">
        <v>899</v>
      </c>
      <c r="K906" s="16" t="s">
        <v>916</v>
      </c>
      <c r="L906" s="16"/>
    </row>
    <row r="907" spans="2:12" ht="30" x14ac:dyDescent="0.25">
      <c r="B907" s="2" t="str">
        <f t="shared" si="98"/>
        <v>2</v>
      </c>
      <c r="C907" s="2" t="str">
        <f t="shared" si="99"/>
        <v>4</v>
      </c>
      <c r="D907" s="2" t="str">
        <f t="shared" si="100"/>
        <v>1</v>
      </c>
      <c r="E907" s="2" t="str">
        <f t="shared" si="101"/>
        <v>8</v>
      </c>
      <c r="F907" s="2" t="str">
        <f t="shared" si="102"/>
        <v>01</v>
      </c>
      <c r="G907" s="2" t="str">
        <f t="shared" si="103"/>
        <v>0</v>
      </c>
      <c r="H907" s="2" t="str">
        <f t="shared" si="104"/>
        <v>0</v>
      </c>
      <c r="I907" s="2">
        <v>24180100</v>
      </c>
      <c r="J907" s="3" t="s">
        <v>129</v>
      </c>
      <c r="K907" s="3" t="s">
        <v>269</v>
      </c>
      <c r="L907" s="3"/>
    </row>
    <row r="908" spans="2:12" ht="30" x14ac:dyDescent="0.25">
      <c r="B908" s="7" t="str">
        <f t="shared" si="98"/>
        <v>2</v>
      </c>
      <c r="C908" s="7" t="str">
        <f t="shared" si="99"/>
        <v>4</v>
      </c>
      <c r="D908" s="7" t="str">
        <f t="shared" si="100"/>
        <v>1</v>
      </c>
      <c r="E908" s="7" t="str">
        <f t="shared" si="101"/>
        <v>8</v>
      </c>
      <c r="F908" s="7" t="str">
        <f t="shared" si="102"/>
        <v>01</v>
      </c>
      <c r="G908" s="7" t="str">
        <f t="shared" si="103"/>
        <v>1</v>
      </c>
      <c r="H908" s="7" t="str">
        <f t="shared" si="104"/>
        <v>0</v>
      </c>
      <c r="I908" s="7">
        <v>24180110</v>
      </c>
      <c r="J908" s="8" t="s">
        <v>129</v>
      </c>
      <c r="K908" s="8" t="s">
        <v>269</v>
      </c>
      <c r="L908" s="8"/>
    </row>
    <row r="909" spans="2:12" ht="60" x14ac:dyDescent="0.25">
      <c r="B909" s="2" t="str">
        <f t="shared" si="98"/>
        <v>2</v>
      </c>
      <c r="C909" s="2" t="str">
        <f t="shared" si="99"/>
        <v>4</v>
      </c>
      <c r="D909" s="2" t="str">
        <f t="shared" si="100"/>
        <v>1</v>
      </c>
      <c r="E909" s="2" t="str">
        <f t="shared" si="101"/>
        <v>8</v>
      </c>
      <c r="F909" s="2" t="str">
        <f t="shared" si="102"/>
        <v>03</v>
      </c>
      <c r="G909" s="2" t="str">
        <f t="shared" si="103"/>
        <v>0</v>
      </c>
      <c r="H909" s="2" t="str">
        <f t="shared" si="104"/>
        <v>0</v>
      </c>
      <c r="I909" s="2">
        <v>24180300</v>
      </c>
      <c r="J909" s="3" t="s">
        <v>1319</v>
      </c>
      <c r="K909" s="3" t="s">
        <v>1318</v>
      </c>
      <c r="L909" s="3"/>
    </row>
    <row r="910" spans="2:12" ht="60" x14ac:dyDescent="0.25">
      <c r="B910" s="7" t="str">
        <f t="shared" si="98"/>
        <v>2</v>
      </c>
      <c r="C910" s="7" t="str">
        <f t="shared" si="99"/>
        <v>4</v>
      </c>
      <c r="D910" s="7" t="str">
        <f t="shared" si="100"/>
        <v>1</v>
      </c>
      <c r="E910" s="7" t="str">
        <f t="shared" si="101"/>
        <v>8</v>
      </c>
      <c r="F910" s="7" t="str">
        <f t="shared" si="102"/>
        <v>03</v>
      </c>
      <c r="G910" s="7" t="str">
        <f t="shared" si="103"/>
        <v>1</v>
      </c>
      <c r="H910" s="7" t="str">
        <f t="shared" si="104"/>
        <v>0</v>
      </c>
      <c r="I910" s="7">
        <v>24180310</v>
      </c>
      <c r="J910" s="8" t="s">
        <v>968</v>
      </c>
      <c r="K910" s="8" t="s">
        <v>1320</v>
      </c>
      <c r="L910" s="8"/>
    </row>
    <row r="911" spans="2:12" ht="60" x14ac:dyDescent="0.25">
      <c r="B911" s="7" t="str">
        <f t="shared" si="98"/>
        <v>2</v>
      </c>
      <c r="C911" s="7" t="str">
        <f t="shared" si="99"/>
        <v>4</v>
      </c>
      <c r="D911" s="7" t="str">
        <f t="shared" si="100"/>
        <v>1</v>
      </c>
      <c r="E911" s="7" t="str">
        <f t="shared" si="101"/>
        <v>8</v>
      </c>
      <c r="F911" s="7" t="str">
        <f t="shared" si="102"/>
        <v>03</v>
      </c>
      <c r="G911" s="7" t="str">
        <f t="shared" si="103"/>
        <v>2</v>
      </c>
      <c r="H911" s="7" t="str">
        <f t="shared" si="104"/>
        <v>0</v>
      </c>
      <c r="I911" s="7">
        <v>24180320</v>
      </c>
      <c r="J911" s="8" t="s">
        <v>969</v>
      </c>
      <c r="K911" s="8" t="s">
        <v>1321</v>
      </c>
      <c r="L911" s="8"/>
    </row>
    <row r="912" spans="2:12" ht="60" x14ac:dyDescent="0.25">
      <c r="B912" s="7" t="str">
        <f t="shared" si="98"/>
        <v>2</v>
      </c>
      <c r="C912" s="7" t="str">
        <f t="shared" si="99"/>
        <v>4</v>
      </c>
      <c r="D912" s="7" t="str">
        <f t="shared" si="100"/>
        <v>1</v>
      </c>
      <c r="E912" s="7" t="str">
        <f t="shared" si="101"/>
        <v>8</v>
      </c>
      <c r="F912" s="7" t="str">
        <f t="shared" si="102"/>
        <v>03</v>
      </c>
      <c r="G912" s="7" t="str">
        <f t="shared" si="103"/>
        <v>3</v>
      </c>
      <c r="H912" s="7" t="str">
        <f t="shared" si="104"/>
        <v>0</v>
      </c>
      <c r="I912" s="7">
        <v>24180330</v>
      </c>
      <c r="J912" s="8" t="s">
        <v>970</v>
      </c>
      <c r="K912" s="8" t="s">
        <v>1322</v>
      </c>
      <c r="L912" s="8"/>
    </row>
    <row r="913" spans="2:12" ht="60" x14ac:dyDescent="0.25">
      <c r="B913" s="7" t="str">
        <f t="shared" si="98"/>
        <v>2</v>
      </c>
      <c r="C913" s="7" t="str">
        <f t="shared" si="99"/>
        <v>4</v>
      </c>
      <c r="D913" s="7" t="str">
        <f t="shared" si="100"/>
        <v>1</v>
      </c>
      <c r="E913" s="7" t="str">
        <f t="shared" si="101"/>
        <v>8</v>
      </c>
      <c r="F913" s="7" t="str">
        <f t="shared" si="102"/>
        <v>03</v>
      </c>
      <c r="G913" s="7" t="str">
        <f t="shared" si="103"/>
        <v>4</v>
      </c>
      <c r="H913" s="7" t="str">
        <f t="shared" si="104"/>
        <v>0</v>
      </c>
      <c r="I913" s="7">
        <v>24180340</v>
      </c>
      <c r="J913" s="8" t="s">
        <v>971</v>
      </c>
      <c r="K913" s="8" t="s">
        <v>1323</v>
      </c>
      <c r="L913" s="8"/>
    </row>
    <row r="914" spans="2:12" ht="60" x14ac:dyDescent="0.25">
      <c r="B914" s="7" t="str">
        <f t="shared" si="98"/>
        <v>2</v>
      </c>
      <c r="C914" s="7" t="str">
        <f t="shared" si="99"/>
        <v>4</v>
      </c>
      <c r="D914" s="7" t="str">
        <f t="shared" si="100"/>
        <v>1</v>
      </c>
      <c r="E914" s="7" t="str">
        <f t="shared" si="101"/>
        <v>8</v>
      </c>
      <c r="F914" s="7" t="str">
        <f t="shared" si="102"/>
        <v>03</v>
      </c>
      <c r="G914" s="7" t="str">
        <f t="shared" si="103"/>
        <v>5</v>
      </c>
      <c r="H914" s="7" t="str">
        <f t="shared" si="104"/>
        <v>0</v>
      </c>
      <c r="I914" s="7">
        <v>24180350</v>
      </c>
      <c r="J914" s="8" t="s">
        <v>972</v>
      </c>
      <c r="K914" s="8" t="s">
        <v>1324</v>
      </c>
      <c r="L914" s="8"/>
    </row>
    <row r="915" spans="2:12" ht="60" x14ac:dyDescent="0.25">
      <c r="B915" s="7" t="str">
        <f t="shared" si="98"/>
        <v>2</v>
      </c>
      <c r="C915" s="7" t="str">
        <f t="shared" si="99"/>
        <v>4</v>
      </c>
      <c r="D915" s="7" t="str">
        <f t="shared" si="100"/>
        <v>1</v>
      </c>
      <c r="E915" s="7" t="str">
        <f t="shared" si="101"/>
        <v>8</v>
      </c>
      <c r="F915" s="7" t="str">
        <f t="shared" si="102"/>
        <v>03</v>
      </c>
      <c r="G915" s="7" t="str">
        <f t="shared" si="103"/>
        <v>9</v>
      </c>
      <c r="H915" s="7" t="str">
        <f t="shared" si="104"/>
        <v>0</v>
      </c>
      <c r="I915" s="7">
        <v>24180390</v>
      </c>
      <c r="J915" s="8" t="s">
        <v>967</v>
      </c>
      <c r="K915" s="8" t="s">
        <v>1325</v>
      </c>
      <c r="L915" s="8"/>
    </row>
    <row r="916" spans="2:12" ht="60" x14ac:dyDescent="0.25">
      <c r="B916" s="2" t="str">
        <f t="shared" si="98"/>
        <v>2</v>
      </c>
      <c r="C916" s="2" t="str">
        <f t="shared" si="99"/>
        <v>4</v>
      </c>
      <c r="D916" s="2" t="str">
        <f t="shared" si="100"/>
        <v>1</v>
      </c>
      <c r="E916" s="2" t="str">
        <f t="shared" si="101"/>
        <v>8</v>
      </c>
      <c r="F916" s="2" t="str">
        <f t="shared" si="102"/>
        <v>04</v>
      </c>
      <c r="G916" s="2" t="str">
        <f t="shared" si="103"/>
        <v>0</v>
      </c>
      <c r="H916" s="2" t="str">
        <f t="shared" si="104"/>
        <v>0</v>
      </c>
      <c r="I916" s="2">
        <v>24180400</v>
      </c>
      <c r="J916" s="3" t="s">
        <v>1027</v>
      </c>
      <c r="K916" s="3" t="s">
        <v>1326</v>
      </c>
      <c r="L916" s="3"/>
    </row>
    <row r="917" spans="2:12" ht="45" x14ac:dyDescent="0.25">
      <c r="B917" s="7" t="str">
        <f t="shared" si="98"/>
        <v>2</v>
      </c>
      <c r="C917" s="7" t="str">
        <f t="shared" si="99"/>
        <v>4</v>
      </c>
      <c r="D917" s="7" t="str">
        <f t="shared" si="100"/>
        <v>1</v>
      </c>
      <c r="E917" s="7" t="str">
        <f t="shared" si="101"/>
        <v>8</v>
      </c>
      <c r="F917" s="7" t="str">
        <f t="shared" si="102"/>
        <v>04</v>
      </c>
      <c r="G917" s="7" t="str">
        <f t="shared" si="103"/>
        <v>1</v>
      </c>
      <c r="H917" s="7" t="str">
        <f t="shared" si="104"/>
        <v>0</v>
      </c>
      <c r="I917" s="7">
        <v>24180410</v>
      </c>
      <c r="J917" s="8" t="s">
        <v>1020</v>
      </c>
      <c r="K917" s="8" t="s">
        <v>1327</v>
      </c>
      <c r="L917" s="8"/>
    </row>
    <row r="918" spans="2:12" ht="45" x14ac:dyDescent="0.25">
      <c r="B918" s="7" t="str">
        <f t="shared" si="98"/>
        <v>2</v>
      </c>
      <c r="C918" s="7" t="str">
        <f t="shared" si="99"/>
        <v>4</v>
      </c>
      <c r="D918" s="7" t="str">
        <f t="shared" si="100"/>
        <v>1</v>
      </c>
      <c r="E918" s="7" t="str">
        <f t="shared" si="101"/>
        <v>8</v>
      </c>
      <c r="F918" s="7" t="str">
        <f t="shared" si="102"/>
        <v>04</v>
      </c>
      <c r="G918" s="7" t="str">
        <f t="shared" si="103"/>
        <v>2</v>
      </c>
      <c r="H918" s="7" t="str">
        <f t="shared" si="104"/>
        <v>0</v>
      </c>
      <c r="I918" s="7">
        <v>24180420</v>
      </c>
      <c r="J918" s="8" t="s">
        <v>1021</v>
      </c>
      <c r="K918" s="8" t="s">
        <v>1328</v>
      </c>
      <c r="L918" s="8"/>
    </row>
    <row r="919" spans="2:12" ht="45" x14ac:dyDescent="0.25">
      <c r="B919" s="7" t="str">
        <f t="shared" si="98"/>
        <v>2</v>
      </c>
      <c r="C919" s="7" t="str">
        <f t="shared" si="99"/>
        <v>4</v>
      </c>
      <c r="D919" s="7" t="str">
        <f t="shared" si="100"/>
        <v>1</v>
      </c>
      <c r="E919" s="7" t="str">
        <f t="shared" si="101"/>
        <v>8</v>
      </c>
      <c r="F919" s="7" t="str">
        <f t="shared" si="102"/>
        <v>04</v>
      </c>
      <c r="G919" s="7" t="str">
        <f t="shared" si="103"/>
        <v>3</v>
      </c>
      <c r="H919" s="7" t="str">
        <f t="shared" si="104"/>
        <v>0</v>
      </c>
      <c r="I919" s="7">
        <v>24180430</v>
      </c>
      <c r="J919" s="8" t="s">
        <v>1022</v>
      </c>
      <c r="K919" s="8" t="s">
        <v>1329</v>
      </c>
      <c r="L919" s="8"/>
    </row>
    <row r="920" spans="2:12" ht="60" x14ac:dyDescent="0.25">
      <c r="B920" s="7" t="str">
        <f t="shared" si="98"/>
        <v>2</v>
      </c>
      <c r="C920" s="7" t="str">
        <f t="shared" si="99"/>
        <v>4</v>
      </c>
      <c r="D920" s="7" t="str">
        <f t="shared" si="100"/>
        <v>1</v>
      </c>
      <c r="E920" s="7" t="str">
        <f t="shared" si="101"/>
        <v>8</v>
      </c>
      <c r="F920" s="7" t="str">
        <f t="shared" si="102"/>
        <v>04</v>
      </c>
      <c r="G920" s="7" t="str">
        <f t="shared" si="103"/>
        <v>4</v>
      </c>
      <c r="H920" s="7" t="str">
        <f t="shared" si="104"/>
        <v>0</v>
      </c>
      <c r="I920" s="7">
        <v>24180440</v>
      </c>
      <c r="J920" s="8" t="s">
        <v>1023</v>
      </c>
      <c r="K920" s="8" t="s">
        <v>1330</v>
      </c>
      <c r="L920" s="8"/>
    </row>
    <row r="921" spans="2:12" ht="45" x14ac:dyDescent="0.25">
      <c r="B921" s="7" t="str">
        <f t="shared" si="98"/>
        <v>2</v>
      </c>
      <c r="C921" s="7" t="str">
        <f t="shared" si="99"/>
        <v>4</v>
      </c>
      <c r="D921" s="7" t="str">
        <f t="shared" si="100"/>
        <v>1</v>
      </c>
      <c r="E921" s="7" t="str">
        <f t="shared" si="101"/>
        <v>8</v>
      </c>
      <c r="F921" s="7" t="str">
        <f t="shared" si="102"/>
        <v>04</v>
      </c>
      <c r="G921" s="7" t="str">
        <f t="shared" si="103"/>
        <v>5</v>
      </c>
      <c r="H921" s="7" t="str">
        <f t="shared" si="104"/>
        <v>0</v>
      </c>
      <c r="I921" s="7">
        <v>24180450</v>
      </c>
      <c r="J921" s="8" t="s">
        <v>1024</v>
      </c>
      <c r="K921" s="8" t="s">
        <v>1331</v>
      </c>
      <c r="L921" s="8"/>
    </row>
    <row r="922" spans="2:12" ht="45" x14ac:dyDescent="0.25">
      <c r="B922" s="7" t="str">
        <f t="shared" si="98"/>
        <v>2</v>
      </c>
      <c r="C922" s="7" t="str">
        <f t="shared" si="99"/>
        <v>4</v>
      </c>
      <c r="D922" s="7" t="str">
        <f t="shared" si="100"/>
        <v>1</v>
      </c>
      <c r="E922" s="7" t="str">
        <f t="shared" si="101"/>
        <v>8</v>
      </c>
      <c r="F922" s="7" t="str">
        <f t="shared" si="102"/>
        <v>04</v>
      </c>
      <c r="G922" s="7" t="str">
        <f t="shared" si="103"/>
        <v>6</v>
      </c>
      <c r="H922" s="7" t="str">
        <f t="shared" si="104"/>
        <v>0</v>
      </c>
      <c r="I922" s="7">
        <v>24180460</v>
      </c>
      <c r="J922" s="8" t="s">
        <v>1019</v>
      </c>
      <c r="K922" s="8" t="s">
        <v>1332</v>
      </c>
      <c r="L922" s="8"/>
    </row>
    <row r="923" spans="2:12" ht="30" x14ac:dyDescent="0.25">
      <c r="B923" s="2" t="str">
        <f t="shared" si="98"/>
        <v>2</v>
      </c>
      <c r="C923" s="2" t="str">
        <f t="shared" si="99"/>
        <v>4</v>
      </c>
      <c r="D923" s="2" t="str">
        <f t="shared" si="100"/>
        <v>1</v>
      </c>
      <c r="E923" s="2" t="str">
        <f t="shared" si="101"/>
        <v>8</v>
      </c>
      <c r="F923" s="2" t="str">
        <f t="shared" si="102"/>
        <v>05</v>
      </c>
      <c r="G923" s="2" t="str">
        <f t="shared" si="103"/>
        <v>0</v>
      </c>
      <c r="H923" s="2" t="str">
        <f t="shared" si="104"/>
        <v>0</v>
      </c>
      <c r="I923" s="2">
        <v>24180500</v>
      </c>
      <c r="J923" s="3" t="s">
        <v>267</v>
      </c>
      <c r="K923" s="3" t="s">
        <v>268</v>
      </c>
      <c r="L923" s="3"/>
    </row>
    <row r="924" spans="2:12" ht="45" x14ac:dyDescent="0.25">
      <c r="B924" s="11" t="str">
        <f t="shared" si="98"/>
        <v>2</v>
      </c>
      <c r="C924" s="11" t="str">
        <f t="shared" si="99"/>
        <v>4</v>
      </c>
      <c r="D924" s="11" t="str">
        <f t="shared" si="100"/>
        <v>1</v>
      </c>
      <c r="E924" s="11" t="str">
        <f t="shared" si="101"/>
        <v>8</v>
      </c>
      <c r="F924" s="11" t="str">
        <f t="shared" si="102"/>
        <v>05</v>
      </c>
      <c r="G924" s="11" t="str">
        <f t="shared" si="103"/>
        <v>1</v>
      </c>
      <c r="H924" s="11" t="str">
        <f t="shared" si="104"/>
        <v>0</v>
      </c>
      <c r="I924" s="11">
        <v>24180510</v>
      </c>
      <c r="J924" s="14" t="s">
        <v>1446</v>
      </c>
      <c r="K924" s="14" t="s">
        <v>1449</v>
      </c>
      <c r="L924" s="14" t="s">
        <v>1459</v>
      </c>
    </row>
    <row r="925" spans="2:12" ht="60" x14ac:dyDescent="0.25">
      <c r="B925" s="11" t="str">
        <f t="shared" si="98"/>
        <v>2</v>
      </c>
      <c r="C925" s="11" t="str">
        <f t="shared" si="99"/>
        <v>4</v>
      </c>
      <c r="D925" s="11" t="str">
        <f t="shared" si="100"/>
        <v>1</v>
      </c>
      <c r="E925" s="11" t="str">
        <f t="shared" si="101"/>
        <v>8</v>
      </c>
      <c r="F925" s="11" t="str">
        <f t="shared" si="102"/>
        <v>05</v>
      </c>
      <c r="G925" s="11" t="str">
        <f t="shared" si="103"/>
        <v>2</v>
      </c>
      <c r="H925" s="11" t="str">
        <f t="shared" si="104"/>
        <v>0</v>
      </c>
      <c r="I925" s="11">
        <v>24180520</v>
      </c>
      <c r="J925" s="14" t="s">
        <v>1447</v>
      </c>
      <c r="K925" s="14" t="s">
        <v>1450</v>
      </c>
      <c r="L925" s="14" t="s">
        <v>1459</v>
      </c>
    </row>
    <row r="926" spans="2:12" ht="45" x14ac:dyDescent="0.25">
      <c r="B926" s="11" t="str">
        <f t="shared" si="98"/>
        <v>2</v>
      </c>
      <c r="C926" s="11" t="str">
        <f t="shared" si="99"/>
        <v>4</v>
      </c>
      <c r="D926" s="11" t="str">
        <f t="shared" si="100"/>
        <v>1</v>
      </c>
      <c r="E926" s="11" t="str">
        <f t="shared" si="101"/>
        <v>8</v>
      </c>
      <c r="F926" s="11" t="str">
        <f t="shared" si="102"/>
        <v>05</v>
      </c>
      <c r="G926" s="11" t="str">
        <f t="shared" si="103"/>
        <v>9</v>
      </c>
      <c r="H926" s="11" t="str">
        <f t="shared" si="104"/>
        <v>0</v>
      </c>
      <c r="I926" s="11">
        <v>24180590</v>
      </c>
      <c r="J926" s="14" t="s">
        <v>1448</v>
      </c>
      <c r="K926" s="14" t="s">
        <v>1451</v>
      </c>
      <c r="L926" s="14" t="s">
        <v>1459</v>
      </c>
    </row>
    <row r="927" spans="2:12" ht="45" x14ac:dyDescent="0.25">
      <c r="B927" s="32" t="str">
        <f t="shared" si="98"/>
        <v>2</v>
      </c>
      <c r="C927" s="32" t="str">
        <f t="shared" si="99"/>
        <v>4</v>
      </c>
      <c r="D927" s="32" t="str">
        <f t="shared" si="100"/>
        <v>1</v>
      </c>
      <c r="E927" s="32" t="str">
        <f t="shared" si="101"/>
        <v>8</v>
      </c>
      <c r="F927" s="32" t="str">
        <f t="shared" si="102"/>
        <v>08</v>
      </c>
      <c r="G927" s="32" t="str">
        <f t="shared" si="103"/>
        <v>0</v>
      </c>
      <c r="H927" s="32" t="str">
        <f t="shared" si="104"/>
        <v>0</v>
      </c>
      <c r="I927" s="32">
        <v>24180800</v>
      </c>
      <c r="J927" s="33" t="s">
        <v>936</v>
      </c>
      <c r="K927" s="33" t="s">
        <v>955</v>
      </c>
      <c r="L927" s="34" t="s">
        <v>1504</v>
      </c>
    </row>
    <row r="928" spans="2:12" ht="45" x14ac:dyDescent="0.25">
      <c r="B928" s="19" t="str">
        <f t="shared" si="98"/>
        <v>2</v>
      </c>
      <c r="C928" s="19" t="str">
        <f t="shared" si="99"/>
        <v>4</v>
      </c>
      <c r="D928" s="19" t="str">
        <f t="shared" si="100"/>
        <v>1</v>
      </c>
      <c r="E928" s="19" t="str">
        <f t="shared" si="101"/>
        <v>8</v>
      </c>
      <c r="F928" s="19" t="str">
        <f t="shared" si="102"/>
        <v>08</v>
      </c>
      <c r="G928" s="19" t="str">
        <f t="shared" si="103"/>
        <v>1</v>
      </c>
      <c r="H928" s="19" t="str">
        <f t="shared" si="104"/>
        <v>0</v>
      </c>
      <c r="I928" s="19">
        <v>24180810</v>
      </c>
      <c r="J928" s="18" t="s">
        <v>936</v>
      </c>
      <c r="K928" s="18" t="s">
        <v>955</v>
      </c>
      <c r="L928" s="21" t="s">
        <v>1504</v>
      </c>
    </row>
    <row r="929" spans="2:12" ht="75" x14ac:dyDescent="0.25">
      <c r="B929" s="2" t="str">
        <f t="shared" si="98"/>
        <v>2</v>
      </c>
      <c r="C929" s="2" t="str">
        <f t="shared" si="99"/>
        <v>4</v>
      </c>
      <c r="D929" s="2" t="str">
        <f t="shared" si="100"/>
        <v>1</v>
      </c>
      <c r="E929" s="2" t="str">
        <f t="shared" si="101"/>
        <v>8</v>
      </c>
      <c r="F929" s="2" t="str">
        <f t="shared" si="102"/>
        <v>10</v>
      </c>
      <c r="G929" s="2" t="str">
        <f t="shared" si="103"/>
        <v>0</v>
      </c>
      <c r="H929" s="2" t="str">
        <f t="shared" si="104"/>
        <v>0</v>
      </c>
      <c r="I929" s="2">
        <v>24181000</v>
      </c>
      <c r="J929" s="3" t="s">
        <v>277</v>
      </c>
      <c r="K929" s="3" t="s">
        <v>278</v>
      </c>
      <c r="L929" s="3"/>
    </row>
    <row r="930" spans="2:12" ht="45" x14ac:dyDescent="0.25">
      <c r="B930" s="7" t="str">
        <f t="shared" si="98"/>
        <v>2</v>
      </c>
      <c r="C930" s="7" t="str">
        <f t="shared" si="99"/>
        <v>4</v>
      </c>
      <c r="D930" s="7" t="str">
        <f t="shared" si="100"/>
        <v>1</v>
      </c>
      <c r="E930" s="7" t="str">
        <f t="shared" si="101"/>
        <v>8</v>
      </c>
      <c r="F930" s="7" t="str">
        <f t="shared" si="102"/>
        <v>10</v>
      </c>
      <c r="G930" s="7" t="str">
        <f t="shared" si="103"/>
        <v>1</v>
      </c>
      <c r="H930" s="7" t="str">
        <f t="shared" si="104"/>
        <v>0</v>
      </c>
      <c r="I930" s="7">
        <v>24181010</v>
      </c>
      <c r="J930" s="8" t="s">
        <v>279</v>
      </c>
      <c r="K930" s="8" t="s">
        <v>280</v>
      </c>
      <c r="L930" s="8"/>
    </row>
    <row r="931" spans="2:12" ht="45" x14ac:dyDescent="0.25">
      <c r="B931" s="7" t="str">
        <f t="shared" si="98"/>
        <v>2</v>
      </c>
      <c r="C931" s="7" t="str">
        <f t="shared" si="99"/>
        <v>4</v>
      </c>
      <c r="D931" s="7" t="str">
        <f t="shared" si="100"/>
        <v>1</v>
      </c>
      <c r="E931" s="7" t="str">
        <f t="shared" si="101"/>
        <v>8</v>
      </c>
      <c r="F931" s="7" t="str">
        <f t="shared" si="102"/>
        <v>10</v>
      </c>
      <c r="G931" s="7" t="str">
        <f t="shared" si="103"/>
        <v>2</v>
      </c>
      <c r="H931" s="7" t="str">
        <f t="shared" si="104"/>
        <v>0</v>
      </c>
      <c r="I931" s="7">
        <v>24181020</v>
      </c>
      <c r="J931" s="8" t="s">
        <v>281</v>
      </c>
      <c r="K931" s="8" t="s">
        <v>282</v>
      </c>
      <c r="L931" s="8"/>
    </row>
    <row r="932" spans="2:12" ht="45" x14ac:dyDescent="0.25">
      <c r="B932" s="7" t="str">
        <f t="shared" si="98"/>
        <v>2</v>
      </c>
      <c r="C932" s="7" t="str">
        <f t="shared" si="99"/>
        <v>4</v>
      </c>
      <c r="D932" s="7" t="str">
        <f t="shared" si="100"/>
        <v>1</v>
      </c>
      <c r="E932" s="7" t="str">
        <f t="shared" si="101"/>
        <v>8</v>
      </c>
      <c r="F932" s="7" t="str">
        <f t="shared" si="102"/>
        <v>10</v>
      </c>
      <c r="G932" s="7" t="str">
        <f t="shared" si="103"/>
        <v>5</v>
      </c>
      <c r="H932" s="7" t="str">
        <f t="shared" si="104"/>
        <v>0</v>
      </c>
      <c r="I932" s="7">
        <v>24181050</v>
      </c>
      <c r="J932" s="8" t="s">
        <v>283</v>
      </c>
      <c r="K932" s="8" t="s">
        <v>284</v>
      </c>
      <c r="L932" s="8"/>
    </row>
    <row r="933" spans="2:12" ht="90" x14ac:dyDescent="0.25">
      <c r="B933" s="7" t="str">
        <f t="shared" si="98"/>
        <v>2</v>
      </c>
      <c r="C933" s="7" t="str">
        <f t="shared" si="99"/>
        <v>4</v>
      </c>
      <c r="D933" s="7" t="str">
        <f t="shared" si="100"/>
        <v>1</v>
      </c>
      <c r="E933" s="7" t="str">
        <f t="shared" si="101"/>
        <v>8</v>
      </c>
      <c r="F933" s="7" t="str">
        <f t="shared" si="102"/>
        <v>10</v>
      </c>
      <c r="G933" s="7" t="str">
        <f t="shared" si="103"/>
        <v>6</v>
      </c>
      <c r="H933" s="7" t="str">
        <f t="shared" si="104"/>
        <v>0</v>
      </c>
      <c r="I933" s="7">
        <v>24181060</v>
      </c>
      <c r="J933" s="8" t="s">
        <v>285</v>
      </c>
      <c r="K933" s="8" t="s">
        <v>286</v>
      </c>
      <c r="L933" s="8"/>
    </row>
    <row r="934" spans="2:12" ht="90" x14ac:dyDescent="0.25">
      <c r="B934" s="7" t="str">
        <f t="shared" si="98"/>
        <v>2</v>
      </c>
      <c r="C934" s="7" t="str">
        <f t="shared" si="99"/>
        <v>4</v>
      </c>
      <c r="D934" s="7" t="str">
        <f t="shared" si="100"/>
        <v>1</v>
      </c>
      <c r="E934" s="7" t="str">
        <f t="shared" si="101"/>
        <v>8</v>
      </c>
      <c r="F934" s="7" t="str">
        <f t="shared" si="102"/>
        <v>10</v>
      </c>
      <c r="G934" s="7" t="str">
        <f t="shared" si="103"/>
        <v>7</v>
      </c>
      <c r="H934" s="7" t="str">
        <f t="shared" si="104"/>
        <v>0</v>
      </c>
      <c r="I934" s="7">
        <v>24181070</v>
      </c>
      <c r="J934" s="8" t="s">
        <v>956</v>
      </c>
      <c r="K934" s="8" t="s">
        <v>957</v>
      </c>
      <c r="L934" s="8"/>
    </row>
    <row r="935" spans="2:12" ht="45" x14ac:dyDescent="0.25">
      <c r="B935" s="7" t="str">
        <f t="shared" si="98"/>
        <v>2</v>
      </c>
      <c r="C935" s="7" t="str">
        <f t="shared" si="99"/>
        <v>4</v>
      </c>
      <c r="D935" s="7" t="str">
        <f t="shared" si="100"/>
        <v>1</v>
      </c>
      <c r="E935" s="7" t="str">
        <f t="shared" si="101"/>
        <v>8</v>
      </c>
      <c r="F935" s="7" t="str">
        <f t="shared" si="102"/>
        <v>10</v>
      </c>
      <c r="G935" s="7" t="str">
        <f t="shared" si="103"/>
        <v>9</v>
      </c>
      <c r="H935" s="7" t="str">
        <f t="shared" si="104"/>
        <v>0</v>
      </c>
      <c r="I935" s="7">
        <v>24181090</v>
      </c>
      <c r="J935" s="8" t="s">
        <v>184</v>
      </c>
      <c r="K935" s="8" t="s">
        <v>287</v>
      </c>
      <c r="L935" s="8"/>
    </row>
    <row r="936" spans="2:12" ht="45" x14ac:dyDescent="0.25">
      <c r="B936" s="2" t="str">
        <f t="shared" si="98"/>
        <v>2</v>
      </c>
      <c r="C936" s="2" t="str">
        <f t="shared" si="99"/>
        <v>4</v>
      </c>
      <c r="D936" s="2" t="str">
        <f t="shared" si="100"/>
        <v>1</v>
      </c>
      <c r="E936" s="2" t="str">
        <f t="shared" si="101"/>
        <v>8</v>
      </c>
      <c r="F936" s="2" t="str">
        <f t="shared" si="102"/>
        <v>12</v>
      </c>
      <c r="G936" s="2" t="str">
        <f t="shared" si="103"/>
        <v>0</v>
      </c>
      <c r="H936" s="2" t="str">
        <f t="shared" si="104"/>
        <v>0</v>
      </c>
      <c r="I936" s="2">
        <v>24181200</v>
      </c>
      <c r="J936" s="3" t="s">
        <v>113</v>
      </c>
      <c r="K936" s="3" t="s">
        <v>1333</v>
      </c>
      <c r="L936" s="3"/>
    </row>
    <row r="937" spans="2:12" ht="45" x14ac:dyDescent="0.25">
      <c r="B937" s="7" t="str">
        <f t="shared" si="98"/>
        <v>2</v>
      </c>
      <c r="C937" s="7" t="str">
        <f t="shared" si="99"/>
        <v>4</v>
      </c>
      <c r="D937" s="7" t="str">
        <f t="shared" si="100"/>
        <v>1</v>
      </c>
      <c r="E937" s="7" t="str">
        <f t="shared" si="101"/>
        <v>8</v>
      </c>
      <c r="F937" s="7" t="str">
        <f t="shared" si="102"/>
        <v>12</v>
      </c>
      <c r="G937" s="7" t="str">
        <f t="shared" si="103"/>
        <v>1</v>
      </c>
      <c r="H937" s="7" t="str">
        <f t="shared" si="104"/>
        <v>0</v>
      </c>
      <c r="I937" s="7">
        <v>24181210</v>
      </c>
      <c r="J937" s="8" t="s">
        <v>113</v>
      </c>
      <c r="K937" s="8" t="s">
        <v>1333</v>
      </c>
      <c r="L937" s="8"/>
    </row>
    <row r="938" spans="2:12" ht="75" x14ac:dyDescent="0.25">
      <c r="B938" s="2" t="str">
        <f t="shared" si="98"/>
        <v>2</v>
      </c>
      <c r="C938" s="2" t="str">
        <f t="shared" si="99"/>
        <v>4</v>
      </c>
      <c r="D938" s="2" t="str">
        <f t="shared" si="100"/>
        <v>1</v>
      </c>
      <c r="E938" s="2" t="str">
        <f t="shared" si="101"/>
        <v>8</v>
      </c>
      <c r="F938" s="2" t="str">
        <f t="shared" si="102"/>
        <v>99</v>
      </c>
      <c r="G938" s="2" t="str">
        <f t="shared" si="103"/>
        <v>0</v>
      </c>
      <c r="H938" s="2" t="str">
        <f t="shared" si="104"/>
        <v>0</v>
      </c>
      <c r="I938" s="2">
        <v>24189900</v>
      </c>
      <c r="J938" s="3" t="s">
        <v>130</v>
      </c>
      <c r="K938" s="3" t="s">
        <v>270</v>
      </c>
      <c r="L938" s="3"/>
    </row>
    <row r="939" spans="2:12" ht="75" x14ac:dyDescent="0.25">
      <c r="B939" s="7" t="str">
        <f t="shared" si="98"/>
        <v>2</v>
      </c>
      <c r="C939" s="7" t="str">
        <f t="shared" si="99"/>
        <v>4</v>
      </c>
      <c r="D939" s="7" t="str">
        <f t="shared" si="100"/>
        <v>1</v>
      </c>
      <c r="E939" s="7" t="str">
        <f t="shared" si="101"/>
        <v>8</v>
      </c>
      <c r="F939" s="7" t="str">
        <f t="shared" si="102"/>
        <v>99</v>
      </c>
      <c r="G939" s="7" t="str">
        <f t="shared" si="103"/>
        <v>1</v>
      </c>
      <c r="H939" s="7" t="str">
        <f t="shared" si="104"/>
        <v>0</v>
      </c>
      <c r="I939" s="7">
        <v>24189910</v>
      </c>
      <c r="J939" s="8" t="s">
        <v>130</v>
      </c>
      <c r="K939" s="8" t="s">
        <v>270</v>
      </c>
      <c r="L939" s="8"/>
    </row>
    <row r="940" spans="2:12" ht="60" x14ac:dyDescent="0.25">
      <c r="B940" s="27" t="str">
        <f t="shared" si="98"/>
        <v>2</v>
      </c>
      <c r="C940" s="27" t="str">
        <f t="shared" si="99"/>
        <v>4</v>
      </c>
      <c r="D940" s="27" t="str">
        <f t="shared" si="100"/>
        <v>2</v>
      </c>
      <c r="E940" s="27" t="str">
        <f t="shared" si="101"/>
        <v>0</v>
      </c>
      <c r="F940" s="27" t="str">
        <f t="shared" si="102"/>
        <v>00</v>
      </c>
      <c r="G940" s="27" t="str">
        <f t="shared" si="103"/>
        <v>0</v>
      </c>
      <c r="H940" s="27" t="str">
        <f t="shared" si="104"/>
        <v>0</v>
      </c>
      <c r="I940" s="27">
        <v>24200000</v>
      </c>
      <c r="J940" s="26" t="s">
        <v>670</v>
      </c>
      <c r="K940" s="26" t="s">
        <v>852</v>
      </c>
      <c r="L940" s="26"/>
    </row>
    <row r="941" spans="2:12" ht="60" x14ac:dyDescent="0.25">
      <c r="B941" s="7" t="str">
        <f t="shared" si="98"/>
        <v>2</v>
      </c>
      <c r="C941" s="7" t="str">
        <f t="shared" si="99"/>
        <v>4</v>
      </c>
      <c r="D941" s="7" t="str">
        <f t="shared" si="100"/>
        <v>2</v>
      </c>
      <c r="E941" s="7" t="str">
        <f t="shared" si="101"/>
        <v>0</v>
      </c>
      <c r="F941" s="7" t="str">
        <f t="shared" si="102"/>
        <v>00</v>
      </c>
      <c r="G941" s="7" t="str">
        <f t="shared" si="103"/>
        <v>1</v>
      </c>
      <c r="H941" s="7" t="str">
        <f t="shared" si="104"/>
        <v>0</v>
      </c>
      <c r="I941" s="7">
        <v>24200010</v>
      </c>
      <c r="J941" s="8" t="s">
        <v>670</v>
      </c>
      <c r="K941" s="8" t="s">
        <v>852</v>
      </c>
      <c r="L941" s="8"/>
    </row>
    <row r="942" spans="2:12" ht="45" x14ac:dyDescent="0.25">
      <c r="B942" s="17" t="str">
        <f t="shared" si="98"/>
        <v>2</v>
      </c>
      <c r="C942" s="17" t="str">
        <f t="shared" si="99"/>
        <v>4</v>
      </c>
      <c r="D942" s="17" t="str">
        <f t="shared" si="100"/>
        <v>2</v>
      </c>
      <c r="E942" s="17" t="str">
        <f t="shared" si="101"/>
        <v>8</v>
      </c>
      <c r="F942" s="17" t="str">
        <f t="shared" si="102"/>
        <v>00</v>
      </c>
      <c r="G942" s="17" t="str">
        <f t="shared" si="103"/>
        <v>0</v>
      </c>
      <c r="H942" s="17" t="str">
        <f t="shared" si="104"/>
        <v>0</v>
      </c>
      <c r="I942" s="17">
        <v>24280000</v>
      </c>
      <c r="J942" s="16" t="s">
        <v>885</v>
      </c>
      <c r="K942" s="16" t="s">
        <v>917</v>
      </c>
      <c r="L942" s="16"/>
    </row>
    <row r="943" spans="2:12" ht="45" x14ac:dyDescent="0.25">
      <c r="B943" s="2" t="str">
        <f t="shared" si="98"/>
        <v>2</v>
      </c>
      <c r="C943" s="2" t="str">
        <f t="shared" si="99"/>
        <v>4</v>
      </c>
      <c r="D943" s="2" t="str">
        <f t="shared" si="100"/>
        <v>2</v>
      </c>
      <c r="E943" s="2" t="str">
        <f t="shared" si="101"/>
        <v>8</v>
      </c>
      <c r="F943" s="2" t="str">
        <f t="shared" si="102"/>
        <v>01</v>
      </c>
      <c r="G943" s="2" t="str">
        <f t="shared" si="103"/>
        <v>0</v>
      </c>
      <c r="H943" s="2" t="str">
        <f t="shared" si="104"/>
        <v>0</v>
      </c>
      <c r="I943" s="2">
        <v>24280100</v>
      </c>
      <c r="J943" s="3" t="s">
        <v>886</v>
      </c>
      <c r="K943" s="3" t="s">
        <v>888</v>
      </c>
      <c r="L943" s="3"/>
    </row>
    <row r="944" spans="2:12" ht="45" x14ac:dyDescent="0.25">
      <c r="B944" s="7" t="str">
        <f t="shared" si="98"/>
        <v>2</v>
      </c>
      <c r="C944" s="7" t="str">
        <f t="shared" si="99"/>
        <v>4</v>
      </c>
      <c r="D944" s="7" t="str">
        <f t="shared" si="100"/>
        <v>2</v>
      </c>
      <c r="E944" s="7" t="str">
        <f t="shared" si="101"/>
        <v>8</v>
      </c>
      <c r="F944" s="7" t="str">
        <f t="shared" si="102"/>
        <v>01</v>
      </c>
      <c r="G944" s="7" t="str">
        <f t="shared" si="103"/>
        <v>1</v>
      </c>
      <c r="H944" s="7" t="str">
        <f t="shared" si="104"/>
        <v>0</v>
      </c>
      <c r="I944" s="7">
        <v>24280110</v>
      </c>
      <c r="J944" s="8" t="s">
        <v>886</v>
      </c>
      <c r="K944" s="8" t="s">
        <v>887</v>
      </c>
      <c r="L944" s="8"/>
    </row>
    <row r="945" spans="2:12" ht="60" x14ac:dyDescent="0.25">
      <c r="B945" s="2" t="str">
        <f t="shared" si="98"/>
        <v>2</v>
      </c>
      <c r="C945" s="2" t="str">
        <f t="shared" si="99"/>
        <v>4</v>
      </c>
      <c r="D945" s="2" t="str">
        <f t="shared" si="100"/>
        <v>2</v>
      </c>
      <c r="E945" s="2" t="str">
        <f t="shared" si="101"/>
        <v>8</v>
      </c>
      <c r="F945" s="2" t="str">
        <f t="shared" si="102"/>
        <v>03</v>
      </c>
      <c r="G945" s="2" t="str">
        <f t="shared" si="103"/>
        <v>0</v>
      </c>
      <c r="H945" s="2" t="str">
        <f t="shared" si="104"/>
        <v>0</v>
      </c>
      <c r="I945" s="2">
        <v>24280300</v>
      </c>
      <c r="J945" s="3" t="s">
        <v>159</v>
      </c>
      <c r="K945" s="3" t="s">
        <v>271</v>
      </c>
      <c r="L945" s="3"/>
    </row>
    <row r="946" spans="2:12" ht="60" x14ac:dyDescent="0.25">
      <c r="B946" s="7" t="str">
        <f t="shared" ref="B946:B1009" si="105">MID($I946,1,1)</f>
        <v>2</v>
      </c>
      <c r="C946" s="7" t="str">
        <f t="shared" ref="C946:C1009" si="106">MID($I946,2,1)</f>
        <v>4</v>
      </c>
      <c r="D946" s="7" t="str">
        <f t="shared" ref="D946:D1009" si="107">MID($I946,3,1)</f>
        <v>2</v>
      </c>
      <c r="E946" s="7" t="str">
        <f t="shared" ref="E946:E1009" si="108">MID($I946,4,1)</f>
        <v>8</v>
      </c>
      <c r="F946" s="7" t="str">
        <f t="shared" ref="F946:F1009" si="109">MID($I946,5,2)</f>
        <v>03</v>
      </c>
      <c r="G946" s="7" t="str">
        <f t="shared" ref="G946:G1009" si="110">MID($I946,7,1)</f>
        <v>1</v>
      </c>
      <c r="H946" s="7" t="str">
        <f t="shared" ref="H946:H1009" si="111">MID($I946,8,1)</f>
        <v>0</v>
      </c>
      <c r="I946" s="7">
        <v>24280310</v>
      </c>
      <c r="J946" s="8" t="s">
        <v>159</v>
      </c>
      <c r="K946" s="8" t="s">
        <v>271</v>
      </c>
      <c r="L946" s="8"/>
    </row>
    <row r="947" spans="2:12" ht="45" x14ac:dyDescent="0.25">
      <c r="B947" s="2" t="str">
        <f t="shared" si="105"/>
        <v>2</v>
      </c>
      <c r="C947" s="2" t="str">
        <f t="shared" si="106"/>
        <v>4</v>
      </c>
      <c r="D947" s="2" t="str">
        <f t="shared" si="107"/>
        <v>2</v>
      </c>
      <c r="E947" s="2" t="str">
        <f t="shared" si="108"/>
        <v>8</v>
      </c>
      <c r="F947" s="2" t="str">
        <f t="shared" si="109"/>
        <v>05</v>
      </c>
      <c r="G947" s="2" t="str">
        <f t="shared" si="110"/>
        <v>0</v>
      </c>
      <c r="H947" s="2" t="str">
        <f t="shared" si="111"/>
        <v>0</v>
      </c>
      <c r="I947" s="2">
        <v>24280500</v>
      </c>
      <c r="J947" s="3" t="s">
        <v>267</v>
      </c>
      <c r="K947" s="3" t="s">
        <v>272</v>
      </c>
      <c r="L947" s="3"/>
    </row>
    <row r="948" spans="2:12" ht="45" x14ac:dyDescent="0.25">
      <c r="B948" s="7" t="str">
        <f t="shared" si="105"/>
        <v>2</v>
      </c>
      <c r="C948" s="7" t="str">
        <f t="shared" si="106"/>
        <v>4</v>
      </c>
      <c r="D948" s="7" t="str">
        <f t="shared" si="107"/>
        <v>2</v>
      </c>
      <c r="E948" s="7" t="str">
        <f t="shared" si="108"/>
        <v>8</v>
      </c>
      <c r="F948" s="7" t="str">
        <f t="shared" si="109"/>
        <v>05</v>
      </c>
      <c r="G948" s="7" t="str">
        <f t="shared" si="110"/>
        <v>1</v>
      </c>
      <c r="H948" s="7" t="str">
        <f t="shared" si="111"/>
        <v>0</v>
      </c>
      <c r="I948" s="7">
        <v>24280510</v>
      </c>
      <c r="J948" s="8" t="s">
        <v>267</v>
      </c>
      <c r="K948" s="8" t="s">
        <v>272</v>
      </c>
      <c r="L948" s="8"/>
    </row>
    <row r="949" spans="2:12" ht="60" x14ac:dyDescent="0.25">
      <c r="B949" s="2" t="str">
        <f t="shared" si="105"/>
        <v>2</v>
      </c>
      <c r="C949" s="2" t="str">
        <f t="shared" si="106"/>
        <v>4</v>
      </c>
      <c r="D949" s="2" t="str">
        <f t="shared" si="107"/>
        <v>2</v>
      </c>
      <c r="E949" s="2" t="str">
        <f t="shared" si="108"/>
        <v>8</v>
      </c>
      <c r="F949" s="2" t="str">
        <f t="shared" si="109"/>
        <v>10</v>
      </c>
      <c r="G949" s="2" t="str">
        <f t="shared" si="110"/>
        <v>0</v>
      </c>
      <c r="H949" s="2" t="str">
        <f t="shared" si="111"/>
        <v>0</v>
      </c>
      <c r="I949" s="2">
        <v>24281000</v>
      </c>
      <c r="J949" s="3" t="s">
        <v>288</v>
      </c>
      <c r="K949" s="3" t="s">
        <v>289</v>
      </c>
      <c r="L949" s="3"/>
    </row>
    <row r="950" spans="2:12" ht="45" x14ac:dyDescent="0.25">
      <c r="B950" s="7" t="str">
        <f t="shared" si="105"/>
        <v>2</v>
      </c>
      <c r="C950" s="7" t="str">
        <f t="shared" si="106"/>
        <v>4</v>
      </c>
      <c r="D950" s="7" t="str">
        <f t="shared" si="107"/>
        <v>2</v>
      </c>
      <c r="E950" s="7" t="str">
        <f t="shared" si="108"/>
        <v>8</v>
      </c>
      <c r="F950" s="7" t="str">
        <f t="shared" si="109"/>
        <v>10</v>
      </c>
      <c r="G950" s="7" t="str">
        <f t="shared" si="110"/>
        <v>1</v>
      </c>
      <c r="H950" s="7" t="str">
        <f t="shared" si="111"/>
        <v>0</v>
      </c>
      <c r="I950" s="7">
        <v>24281010</v>
      </c>
      <c r="J950" s="8" t="s">
        <v>290</v>
      </c>
      <c r="K950" s="8" t="s">
        <v>291</v>
      </c>
      <c r="L950" s="8"/>
    </row>
    <row r="951" spans="2:12" ht="45" x14ac:dyDescent="0.25">
      <c r="B951" s="7" t="str">
        <f t="shared" si="105"/>
        <v>2</v>
      </c>
      <c r="C951" s="7" t="str">
        <f t="shared" si="106"/>
        <v>4</v>
      </c>
      <c r="D951" s="7" t="str">
        <f t="shared" si="107"/>
        <v>2</v>
      </c>
      <c r="E951" s="7" t="str">
        <f t="shared" si="108"/>
        <v>8</v>
      </c>
      <c r="F951" s="7" t="str">
        <f t="shared" si="109"/>
        <v>10</v>
      </c>
      <c r="G951" s="7" t="str">
        <f t="shared" si="110"/>
        <v>2</v>
      </c>
      <c r="H951" s="7" t="str">
        <f t="shared" si="111"/>
        <v>0</v>
      </c>
      <c r="I951" s="7">
        <v>24281020</v>
      </c>
      <c r="J951" s="8" t="s">
        <v>292</v>
      </c>
      <c r="K951" s="8" t="s">
        <v>293</v>
      </c>
      <c r="L951" s="8"/>
    </row>
    <row r="952" spans="2:12" ht="45" x14ac:dyDescent="0.25">
      <c r="B952" s="7" t="str">
        <f t="shared" si="105"/>
        <v>2</v>
      </c>
      <c r="C952" s="7" t="str">
        <f t="shared" si="106"/>
        <v>4</v>
      </c>
      <c r="D952" s="7" t="str">
        <f t="shared" si="107"/>
        <v>2</v>
      </c>
      <c r="E952" s="7" t="str">
        <f t="shared" si="108"/>
        <v>8</v>
      </c>
      <c r="F952" s="7" t="str">
        <f t="shared" si="109"/>
        <v>10</v>
      </c>
      <c r="G952" s="7" t="str">
        <f t="shared" si="110"/>
        <v>5</v>
      </c>
      <c r="H952" s="7" t="str">
        <f t="shared" si="111"/>
        <v>0</v>
      </c>
      <c r="I952" s="7">
        <v>24281050</v>
      </c>
      <c r="J952" s="8" t="s">
        <v>294</v>
      </c>
      <c r="K952" s="8" t="s">
        <v>295</v>
      </c>
      <c r="L952" s="8"/>
    </row>
    <row r="953" spans="2:12" ht="90" x14ac:dyDescent="0.25">
      <c r="B953" s="7" t="str">
        <f t="shared" si="105"/>
        <v>2</v>
      </c>
      <c r="C953" s="7" t="str">
        <f t="shared" si="106"/>
        <v>4</v>
      </c>
      <c r="D953" s="7" t="str">
        <f t="shared" si="107"/>
        <v>2</v>
      </c>
      <c r="E953" s="7" t="str">
        <f t="shared" si="108"/>
        <v>8</v>
      </c>
      <c r="F953" s="7" t="str">
        <f t="shared" si="109"/>
        <v>10</v>
      </c>
      <c r="G953" s="7" t="str">
        <f t="shared" si="110"/>
        <v>6</v>
      </c>
      <c r="H953" s="7" t="str">
        <f t="shared" si="111"/>
        <v>0</v>
      </c>
      <c r="I953" s="7">
        <v>24281060</v>
      </c>
      <c r="J953" s="8" t="s">
        <v>296</v>
      </c>
      <c r="K953" s="8" t="s">
        <v>297</v>
      </c>
      <c r="L953" s="8"/>
    </row>
    <row r="954" spans="2:12" ht="90" x14ac:dyDescent="0.25">
      <c r="B954" s="7" t="str">
        <f t="shared" si="105"/>
        <v>2</v>
      </c>
      <c r="C954" s="7" t="str">
        <f t="shared" si="106"/>
        <v>4</v>
      </c>
      <c r="D954" s="7" t="str">
        <f t="shared" si="107"/>
        <v>2</v>
      </c>
      <c r="E954" s="7" t="str">
        <f t="shared" si="108"/>
        <v>8</v>
      </c>
      <c r="F954" s="7" t="str">
        <f t="shared" si="109"/>
        <v>10</v>
      </c>
      <c r="G954" s="7" t="str">
        <f t="shared" si="110"/>
        <v>7</v>
      </c>
      <c r="H954" s="7" t="str">
        <f t="shared" si="111"/>
        <v>0</v>
      </c>
      <c r="I954" s="7">
        <v>24281070</v>
      </c>
      <c r="J954" s="8" t="s">
        <v>958</v>
      </c>
      <c r="K954" s="8" t="s">
        <v>959</v>
      </c>
      <c r="L954" s="8"/>
    </row>
    <row r="955" spans="2:12" ht="45" x14ac:dyDescent="0.25">
      <c r="B955" s="7" t="str">
        <f t="shared" si="105"/>
        <v>2</v>
      </c>
      <c r="C955" s="7" t="str">
        <f t="shared" si="106"/>
        <v>4</v>
      </c>
      <c r="D955" s="7" t="str">
        <f t="shared" si="107"/>
        <v>2</v>
      </c>
      <c r="E955" s="7" t="str">
        <f t="shared" si="108"/>
        <v>8</v>
      </c>
      <c r="F955" s="7" t="str">
        <f t="shared" si="109"/>
        <v>10</v>
      </c>
      <c r="G955" s="7" t="str">
        <f t="shared" si="110"/>
        <v>9</v>
      </c>
      <c r="H955" s="7" t="str">
        <f t="shared" si="111"/>
        <v>0</v>
      </c>
      <c r="I955" s="7">
        <v>24281090</v>
      </c>
      <c r="J955" s="8" t="s">
        <v>192</v>
      </c>
      <c r="K955" s="8" t="s">
        <v>298</v>
      </c>
      <c r="L955" s="8"/>
    </row>
    <row r="956" spans="2:12" ht="45" x14ac:dyDescent="0.25">
      <c r="B956" s="2" t="str">
        <f t="shared" si="105"/>
        <v>2</v>
      </c>
      <c r="C956" s="2" t="str">
        <f t="shared" si="106"/>
        <v>4</v>
      </c>
      <c r="D956" s="2" t="str">
        <f t="shared" si="107"/>
        <v>2</v>
      </c>
      <c r="E956" s="2" t="str">
        <f t="shared" si="108"/>
        <v>8</v>
      </c>
      <c r="F956" s="2" t="str">
        <f t="shared" si="109"/>
        <v>99</v>
      </c>
      <c r="G956" s="2" t="str">
        <f t="shared" si="110"/>
        <v>0</v>
      </c>
      <c r="H956" s="2" t="str">
        <f t="shared" si="111"/>
        <v>0</v>
      </c>
      <c r="I956" s="2">
        <v>24289900</v>
      </c>
      <c r="J956" s="3" t="s">
        <v>144</v>
      </c>
      <c r="K956" s="3" t="s">
        <v>273</v>
      </c>
      <c r="L956" s="3"/>
    </row>
    <row r="957" spans="2:12" ht="45" x14ac:dyDescent="0.25">
      <c r="B957" s="7" t="str">
        <f t="shared" si="105"/>
        <v>2</v>
      </c>
      <c r="C957" s="7" t="str">
        <f t="shared" si="106"/>
        <v>4</v>
      </c>
      <c r="D957" s="7" t="str">
        <f t="shared" si="107"/>
        <v>2</v>
      </c>
      <c r="E957" s="7" t="str">
        <f t="shared" si="108"/>
        <v>8</v>
      </c>
      <c r="F957" s="7" t="str">
        <f t="shared" si="109"/>
        <v>99</v>
      </c>
      <c r="G957" s="7" t="str">
        <f t="shared" si="110"/>
        <v>1</v>
      </c>
      <c r="H957" s="7" t="str">
        <f t="shared" si="111"/>
        <v>0</v>
      </c>
      <c r="I957" s="7">
        <v>24289910</v>
      </c>
      <c r="J957" s="8" t="s">
        <v>144</v>
      </c>
      <c r="K957" s="8" t="s">
        <v>273</v>
      </c>
      <c r="L957" s="8"/>
    </row>
    <row r="958" spans="2:12" ht="60" x14ac:dyDescent="0.25">
      <c r="B958" s="27" t="str">
        <f t="shared" si="105"/>
        <v>2</v>
      </c>
      <c r="C958" s="27" t="str">
        <f t="shared" si="106"/>
        <v>4</v>
      </c>
      <c r="D958" s="27" t="str">
        <f t="shared" si="107"/>
        <v>3</v>
      </c>
      <c r="E958" s="27" t="str">
        <f t="shared" si="108"/>
        <v>0</v>
      </c>
      <c r="F958" s="27" t="str">
        <f t="shared" si="109"/>
        <v>00</v>
      </c>
      <c r="G958" s="27" t="str">
        <f t="shared" si="110"/>
        <v>0</v>
      </c>
      <c r="H958" s="27" t="str">
        <f t="shared" si="111"/>
        <v>0</v>
      </c>
      <c r="I958" s="27">
        <v>24300000</v>
      </c>
      <c r="J958" s="26" t="s">
        <v>672</v>
      </c>
      <c r="K958" s="26" t="s">
        <v>853</v>
      </c>
      <c r="L958" s="26"/>
    </row>
    <row r="959" spans="2:12" ht="60" x14ac:dyDescent="0.25">
      <c r="B959" s="7" t="str">
        <f t="shared" si="105"/>
        <v>2</v>
      </c>
      <c r="C959" s="7" t="str">
        <f t="shared" si="106"/>
        <v>4</v>
      </c>
      <c r="D959" s="7" t="str">
        <f t="shared" si="107"/>
        <v>3</v>
      </c>
      <c r="E959" s="7" t="str">
        <f t="shared" si="108"/>
        <v>0</v>
      </c>
      <c r="F959" s="7" t="str">
        <f t="shared" si="109"/>
        <v>00</v>
      </c>
      <c r="G959" s="7" t="str">
        <f t="shared" si="110"/>
        <v>1</v>
      </c>
      <c r="H959" s="7" t="str">
        <f t="shared" si="111"/>
        <v>0</v>
      </c>
      <c r="I959" s="7">
        <v>24300010</v>
      </c>
      <c r="J959" s="8" t="s">
        <v>672</v>
      </c>
      <c r="K959" s="8" t="s">
        <v>853</v>
      </c>
      <c r="L959" s="8"/>
    </row>
    <row r="960" spans="2:12" ht="30" x14ac:dyDescent="0.25">
      <c r="B960" s="17" t="str">
        <f t="shared" si="105"/>
        <v>2</v>
      </c>
      <c r="C960" s="17" t="str">
        <f t="shared" si="106"/>
        <v>4</v>
      </c>
      <c r="D960" s="17" t="str">
        <f t="shared" si="107"/>
        <v>3</v>
      </c>
      <c r="E960" s="17" t="str">
        <f t="shared" si="108"/>
        <v>8</v>
      </c>
      <c r="F960" s="17" t="str">
        <f t="shared" si="109"/>
        <v>00</v>
      </c>
      <c r="G960" s="17" t="str">
        <f t="shared" si="110"/>
        <v>0</v>
      </c>
      <c r="H960" s="17" t="str">
        <f t="shared" si="111"/>
        <v>0</v>
      </c>
      <c r="I960" s="17">
        <v>24380000</v>
      </c>
      <c r="J960" s="16" t="s">
        <v>672</v>
      </c>
      <c r="K960" s="16" t="s">
        <v>274</v>
      </c>
      <c r="L960" s="16"/>
    </row>
    <row r="961" spans="2:12" ht="30" x14ac:dyDescent="0.25">
      <c r="B961" s="2" t="str">
        <f t="shared" si="105"/>
        <v>2</v>
      </c>
      <c r="C961" s="2" t="str">
        <f t="shared" si="106"/>
        <v>4</v>
      </c>
      <c r="D961" s="2" t="str">
        <f t="shared" si="107"/>
        <v>3</v>
      </c>
      <c r="E961" s="2" t="str">
        <f t="shared" si="108"/>
        <v>8</v>
      </c>
      <c r="F961" s="2" t="str">
        <f t="shared" si="109"/>
        <v>01</v>
      </c>
      <c r="G961" s="2" t="str">
        <f t="shared" si="110"/>
        <v>0</v>
      </c>
      <c r="H961" s="2" t="str">
        <f t="shared" si="111"/>
        <v>0</v>
      </c>
      <c r="I961" s="2">
        <v>24380100</v>
      </c>
      <c r="J961" s="3" t="s">
        <v>162</v>
      </c>
      <c r="K961" s="3" t="s">
        <v>275</v>
      </c>
      <c r="L961" s="3"/>
    </row>
    <row r="962" spans="2:12" ht="30" x14ac:dyDescent="0.25">
      <c r="B962" s="7" t="str">
        <f t="shared" si="105"/>
        <v>2</v>
      </c>
      <c r="C962" s="7" t="str">
        <f t="shared" si="106"/>
        <v>4</v>
      </c>
      <c r="D962" s="7" t="str">
        <f t="shared" si="107"/>
        <v>3</v>
      </c>
      <c r="E962" s="7" t="str">
        <f t="shared" si="108"/>
        <v>8</v>
      </c>
      <c r="F962" s="7" t="str">
        <f t="shared" si="109"/>
        <v>01</v>
      </c>
      <c r="G962" s="7" t="str">
        <f t="shared" si="110"/>
        <v>1</v>
      </c>
      <c r="H962" s="7" t="str">
        <f t="shared" si="111"/>
        <v>0</v>
      </c>
      <c r="I962" s="7">
        <v>24380110</v>
      </c>
      <c r="J962" s="8" t="s">
        <v>162</v>
      </c>
      <c r="K962" s="8" t="s">
        <v>275</v>
      </c>
      <c r="L962" s="8"/>
    </row>
    <row r="963" spans="2:12" ht="60" x14ac:dyDescent="0.25">
      <c r="B963" s="2" t="str">
        <f t="shared" si="105"/>
        <v>2</v>
      </c>
      <c r="C963" s="2" t="str">
        <f t="shared" si="106"/>
        <v>4</v>
      </c>
      <c r="D963" s="2" t="str">
        <f t="shared" si="107"/>
        <v>3</v>
      </c>
      <c r="E963" s="2" t="str">
        <f t="shared" si="108"/>
        <v>8</v>
      </c>
      <c r="F963" s="2" t="str">
        <f t="shared" si="109"/>
        <v>10</v>
      </c>
      <c r="G963" s="2" t="str">
        <f t="shared" si="110"/>
        <v>0</v>
      </c>
      <c r="H963" s="2" t="str">
        <f t="shared" si="111"/>
        <v>0</v>
      </c>
      <c r="I963" s="2">
        <v>24381000</v>
      </c>
      <c r="J963" s="3" t="s">
        <v>299</v>
      </c>
      <c r="K963" s="3" t="s">
        <v>300</v>
      </c>
      <c r="L963" s="3"/>
    </row>
    <row r="964" spans="2:12" ht="45" x14ac:dyDescent="0.25">
      <c r="B964" s="7" t="str">
        <f t="shared" si="105"/>
        <v>2</v>
      </c>
      <c r="C964" s="7" t="str">
        <f t="shared" si="106"/>
        <v>4</v>
      </c>
      <c r="D964" s="7" t="str">
        <f t="shared" si="107"/>
        <v>3</v>
      </c>
      <c r="E964" s="7" t="str">
        <f t="shared" si="108"/>
        <v>8</v>
      </c>
      <c r="F964" s="7" t="str">
        <f t="shared" si="109"/>
        <v>10</v>
      </c>
      <c r="G964" s="7" t="str">
        <f t="shared" si="110"/>
        <v>1</v>
      </c>
      <c r="H964" s="7" t="str">
        <f t="shared" si="111"/>
        <v>0</v>
      </c>
      <c r="I964" s="7">
        <v>24381010</v>
      </c>
      <c r="J964" s="8" t="s">
        <v>301</v>
      </c>
      <c r="K964" s="8" t="s">
        <v>302</v>
      </c>
      <c r="L964" s="8"/>
    </row>
    <row r="965" spans="2:12" ht="45" x14ac:dyDescent="0.25">
      <c r="B965" s="7" t="str">
        <f t="shared" si="105"/>
        <v>2</v>
      </c>
      <c r="C965" s="7" t="str">
        <f t="shared" si="106"/>
        <v>4</v>
      </c>
      <c r="D965" s="7" t="str">
        <f t="shared" si="107"/>
        <v>3</v>
      </c>
      <c r="E965" s="7" t="str">
        <f t="shared" si="108"/>
        <v>8</v>
      </c>
      <c r="F965" s="7" t="str">
        <f t="shared" si="109"/>
        <v>10</v>
      </c>
      <c r="G965" s="7" t="str">
        <f t="shared" si="110"/>
        <v>2</v>
      </c>
      <c r="H965" s="7" t="str">
        <f t="shared" si="111"/>
        <v>0</v>
      </c>
      <c r="I965" s="7">
        <v>24381020</v>
      </c>
      <c r="J965" s="8" t="s">
        <v>303</v>
      </c>
      <c r="K965" s="8" t="s">
        <v>304</v>
      </c>
      <c r="L965" s="8"/>
    </row>
    <row r="966" spans="2:12" ht="45" x14ac:dyDescent="0.25">
      <c r="B966" s="7" t="str">
        <f t="shared" si="105"/>
        <v>2</v>
      </c>
      <c r="C966" s="7" t="str">
        <f t="shared" si="106"/>
        <v>4</v>
      </c>
      <c r="D966" s="7" t="str">
        <f t="shared" si="107"/>
        <v>3</v>
      </c>
      <c r="E966" s="7" t="str">
        <f t="shared" si="108"/>
        <v>8</v>
      </c>
      <c r="F966" s="7" t="str">
        <f t="shared" si="109"/>
        <v>10</v>
      </c>
      <c r="G966" s="7" t="str">
        <f t="shared" si="110"/>
        <v>3</v>
      </c>
      <c r="H966" s="7" t="str">
        <f t="shared" si="111"/>
        <v>0</v>
      </c>
      <c r="I966" s="7">
        <v>24381030</v>
      </c>
      <c r="J966" s="8" t="s">
        <v>1025</v>
      </c>
      <c r="K966" s="8" t="s">
        <v>1026</v>
      </c>
      <c r="L966" s="8"/>
    </row>
    <row r="967" spans="2:12" ht="45" x14ac:dyDescent="0.25">
      <c r="B967" s="7" t="str">
        <f t="shared" si="105"/>
        <v>2</v>
      </c>
      <c r="C967" s="7" t="str">
        <f t="shared" si="106"/>
        <v>4</v>
      </c>
      <c r="D967" s="7" t="str">
        <f t="shared" si="107"/>
        <v>3</v>
      </c>
      <c r="E967" s="7" t="str">
        <f t="shared" si="108"/>
        <v>8</v>
      </c>
      <c r="F967" s="7" t="str">
        <f t="shared" si="109"/>
        <v>10</v>
      </c>
      <c r="G967" s="7" t="str">
        <f t="shared" si="110"/>
        <v>9</v>
      </c>
      <c r="H967" s="7" t="str">
        <f t="shared" si="111"/>
        <v>0</v>
      </c>
      <c r="I967" s="7">
        <v>24381090</v>
      </c>
      <c r="J967" s="8" t="s">
        <v>200</v>
      </c>
      <c r="K967" s="8" t="s">
        <v>305</v>
      </c>
      <c r="L967" s="8"/>
    </row>
    <row r="968" spans="2:12" ht="45" x14ac:dyDescent="0.25">
      <c r="B968" s="2" t="str">
        <f t="shared" si="105"/>
        <v>2</v>
      </c>
      <c r="C968" s="2" t="str">
        <f t="shared" si="106"/>
        <v>4</v>
      </c>
      <c r="D968" s="2" t="str">
        <f t="shared" si="107"/>
        <v>3</v>
      </c>
      <c r="E968" s="2" t="str">
        <f t="shared" si="108"/>
        <v>8</v>
      </c>
      <c r="F968" s="2" t="str">
        <f t="shared" si="109"/>
        <v>99</v>
      </c>
      <c r="G968" s="2" t="str">
        <f t="shared" si="110"/>
        <v>0</v>
      </c>
      <c r="H968" s="2" t="str">
        <f t="shared" si="111"/>
        <v>0</v>
      </c>
      <c r="I968" s="2">
        <v>24389900</v>
      </c>
      <c r="J968" s="3" t="s">
        <v>163</v>
      </c>
      <c r="K968" s="3" t="s">
        <v>276</v>
      </c>
      <c r="L968" s="3"/>
    </row>
    <row r="969" spans="2:12" ht="45" x14ac:dyDescent="0.25">
      <c r="B969" s="7" t="str">
        <f t="shared" si="105"/>
        <v>2</v>
      </c>
      <c r="C969" s="7" t="str">
        <f t="shared" si="106"/>
        <v>4</v>
      </c>
      <c r="D969" s="7" t="str">
        <f t="shared" si="107"/>
        <v>3</v>
      </c>
      <c r="E969" s="7" t="str">
        <f t="shared" si="108"/>
        <v>8</v>
      </c>
      <c r="F969" s="7" t="str">
        <f t="shared" si="109"/>
        <v>99</v>
      </c>
      <c r="G969" s="7" t="str">
        <f t="shared" si="110"/>
        <v>1</v>
      </c>
      <c r="H969" s="7" t="str">
        <f t="shared" si="111"/>
        <v>0</v>
      </c>
      <c r="I969" s="7">
        <v>24389910</v>
      </c>
      <c r="J969" s="8" t="s">
        <v>163</v>
      </c>
      <c r="K969" s="8" t="s">
        <v>276</v>
      </c>
      <c r="L969" s="8"/>
    </row>
    <row r="970" spans="2:12" ht="75" x14ac:dyDescent="0.25">
      <c r="B970" s="27" t="str">
        <f t="shared" si="105"/>
        <v>2</v>
      </c>
      <c r="C970" s="27" t="str">
        <f t="shared" si="106"/>
        <v>4</v>
      </c>
      <c r="D970" s="27" t="str">
        <f t="shared" si="107"/>
        <v>4</v>
      </c>
      <c r="E970" s="27" t="str">
        <f t="shared" si="108"/>
        <v>0</v>
      </c>
      <c r="F970" s="27" t="str">
        <f t="shared" si="109"/>
        <v>00</v>
      </c>
      <c r="G970" s="27" t="str">
        <f t="shared" si="110"/>
        <v>0</v>
      </c>
      <c r="H970" s="27" t="str">
        <f t="shared" si="111"/>
        <v>0</v>
      </c>
      <c r="I970" s="27">
        <v>24400000</v>
      </c>
      <c r="J970" s="26" t="s">
        <v>170</v>
      </c>
      <c r="K970" s="26" t="s">
        <v>854</v>
      </c>
      <c r="L970" s="26"/>
    </row>
    <row r="971" spans="2:12" ht="75" x14ac:dyDescent="0.25">
      <c r="B971" s="7" t="str">
        <f t="shared" si="105"/>
        <v>2</v>
      </c>
      <c r="C971" s="7" t="str">
        <f t="shared" si="106"/>
        <v>4</v>
      </c>
      <c r="D971" s="7" t="str">
        <f t="shared" si="107"/>
        <v>4</v>
      </c>
      <c r="E971" s="7" t="str">
        <f t="shared" si="108"/>
        <v>0</v>
      </c>
      <c r="F971" s="7" t="str">
        <f t="shared" si="109"/>
        <v>00</v>
      </c>
      <c r="G971" s="7" t="str">
        <f t="shared" si="110"/>
        <v>1</v>
      </c>
      <c r="H971" s="7" t="str">
        <f t="shared" si="111"/>
        <v>0</v>
      </c>
      <c r="I971" s="7">
        <v>24400010</v>
      </c>
      <c r="J971" s="8" t="s">
        <v>170</v>
      </c>
      <c r="K971" s="8" t="s">
        <v>854</v>
      </c>
      <c r="L971" s="8"/>
    </row>
    <row r="972" spans="2:12" ht="75" x14ac:dyDescent="0.25">
      <c r="B972" s="17" t="str">
        <f t="shared" si="105"/>
        <v>2</v>
      </c>
      <c r="C972" s="17" t="str">
        <f t="shared" si="106"/>
        <v>4</v>
      </c>
      <c r="D972" s="17" t="str">
        <f t="shared" si="107"/>
        <v>4</v>
      </c>
      <c r="E972" s="17" t="str">
        <f t="shared" si="108"/>
        <v>8</v>
      </c>
      <c r="F972" s="17" t="str">
        <f t="shared" si="109"/>
        <v>00</v>
      </c>
      <c r="G972" s="17" t="str">
        <f t="shared" si="110"/>
        <v>0</v>
      </c>
      <c r="H972" s="17" t="str">
        <f t="shared" si="111"/>
        <v>0</v>
      </c>
      <c r="I972" s="17">
        <v>24480000</v>
      </c>
      <c r="J972" s="16" t="s">
        <v>902</v>
      </c>
      <c r="K972" s="16" t="s">
        <v>918</v>
      </c>
      <c r="L972" s="16"/>
    </row>
    <row r="973" spans="2:12" ht="60" x14ac:dyDescent="0.25">
      <c r="B973" s="2" t="str">
        <f t="shared" si="105"/>
        <v>2</v>
      </c>
      <c r="C973" s="2" t="str">
        <f t="shared" si="106"/>
        <v>4</v>
      </c>
      <c r="D973" s="2" t="str">
        <f t="shared" si="107"/>
        <v>4</v>
      </c>
      <c r="E973" s="2" t="str">
        <f t="shared" si="108"/>
        <v>8</v>
      </c>
      <c r="F973" s="2" t="str">
        <f t="shared" si="109"/>
        <v>01</v>
      </c>
      <c r="G973" s="2" t="str">
        <f t="shared" si="110"/>
        <v>0</v>
      </c>
      <c r="H973" s="2" t="str">
        <f t="shared" si="111"/>
        <v>0</v>
      </c>
      <c r="I973" s="2">
        <v>24480100</v>
      </c>
      <c r="J973" s="3" t="s">
        <v>306</v>
      </c>
      <c r="K973" s="3" t="s">
        <v>1030</v>
      </c>
      <c r="L973" s="3"/>
    </row>
    <row r="974" spans="2:12" ht="60" x14ac:dyDescent="0.25">
      <c r="B974" s="7" t="str">
        <f t="shared" si="105"/>
        <v>2</v>
      </c>
      <c r="C974" s="7" t="str">
        <f t="shared" si="106"/>
        <v>4</v>
      </c>
      <c r="D974" s="7" t="str">
        <f t="shared" si="107"/>
        <v>4</v>
      </c>
      <c r="E974" s="7" t="str">
        <f t="shared" si="108"/>
        <v>8</v>
      </c>
      <c r="F974" s="7" t="str">
        <f t="shared" si="109"/>
        <v>01</v>
      </c>
      <c r="G974" s="7" t="str">
        <f t="shared" si="110"/>
        <v>1</v>
      </c>
      <c r="H974" s="7" t="str">
        <f t="shared" si="111"/>
        <v>0</v>
      </c>
      <c r="I974" s="7">
        <v>24480110</v>
      </c>
      <c r="J974" s="8" t="s">
        <v>1028</v>
      </c>
      <c r="K974" s="8" t="s">
        <v>1031</v>
      </c>
      <c r="L974" s="8"/>
    </row>
    <row r="975" spans="2:12" ht="60" x14ac:dyDescent="0.25">
      <c r="B975" s="11" t="str">
        <f t="shared" si="105"/>
        <v>2</v>
      </c>
      <c r="C975" s="11" t="str">
        <f t="shared" si="106"/>
        <v>4</v>
      </c>
      <c r="D975" s="11" t="str">
        <f t="shared" si="107"/>
        <v>4</v>
      </c>
      <c r="E975" s="11" t="str">
        <f t="shared" si="108"/>
        <v>8</v>
      </c>
      <c r="F975" s="11" t="str">
        <f t="shared" si="109"/>
        <v>01</v>
      </c>
      <c r="G975" s="11" t="str">
        <f t="shared" si="110"/>
        <v>2</v>
      </c>
      <c r="H975" s="11" t="str">
        <f t="shared" si="111"/>
        <v>0</v>
      </c>
      <c r="I975" s="11">
        <v>24480120</v>
      </c>
      <c r="J975" s="14" t="s">
        <v>1424</v>
      </c>
      <c r="K975" s="14" t="s">
        <v>1425</v>
      </c>
      <c r="L975" s="14" t="s">
        <v>1459</v>
      </c>
    </row>
    <row r="976" spans="2:12" ht="60" x14ac:dyDescent="0.25">
      <c r="B976" s="11" t="str">
        <f t="shared" si="105"/>
        <v>2</v>
      </c>
      <c r="C976" s="11" t="str">
        <f t="shared" si="106"/>
        <v>4</v>
      </c>
      <c r="D976" s="11" t="str">
        <f t="shared" si="107"/>
        <v>4</v>
      </c>
      <c r="E976" s="11" t="str">
        <f t="shared" si="108"/>
        <v>8</v>
      </c>
      <c r="F976" s="11" t="str">
        <f t="shared" si="109"/>
        <v>01</v>
      </c>
      <c r="G976" s="11" t="str">
        <f t="shared" si="110"/>
        <v>9</v>
      </c>
      <c r="H976" s="11" t="str">
        <f t="shared" si="111"/>
        <v>0</v>
      </c>
      <c r="I976" s="11">
        <v>24480190</v>
      </c>
      <c r="J976" s="14" t="s">
        <v>1431</v>
      </c>
      <c r="K976" s="14" t="s">
        <v>1432</v>
      </c>
      <c r="L976" s="14" t="s">
        <v>1459</v>
      </c>
    </row>
    <row r="977" spans="2:12" ht="60" x14ac:dyDescent="0.25">
      <c r="B977" s="2" t="str">
        <f t="shared" si="105"/>
        <v>2</v>
      </c>
      <c r="C977" s="2" t="str">
        <f t="shared" si="106"/>
        <v>4</v>
      </c>
      <c r="D977" s="2" t="str">
        <f t="shared" si="107"/>
        <v>4</v>
      </c>
      <c r="E977" s="2" t="str">
        <f t="shared" si="108"/>
        <v>8</v>
      </c>
      <c r="F977" s="2" t="str">
        <f t="shared" si="109"/>
        <v>10</v>
      </c>
      <c r="G977" s="2" t="str">
        <f t="shared" si="110"/>
        <v>0</v>
      </c>
      <c r="H977" s="2" t="str">
        <f t="shared" si="111"/>
        <v>0</v>
      </c>
      <c r="I977" s="2">
        <v>24481000</v>
      </c>
      <c r="J977" s="3" t="s">
        <v>1029</v>
      </c>
      <c r="K977" s="3" t="s">
        <v>1433</v>
      </c>
      <c r="L977" s="3"/>
    </row>
    <row r="978" spans="2:12" ht="60" x14ac:dyDescent="0.25">
      <c r="B978" s="7" t="str">
        <f t="shared" si="105"/>
        <v>2</v>
      </c>
      <c r="C978" s="7" t="str">
        <f t="shared" si="106"/>
        <v>4</v>
      </c>
      <c r="D978" s="7" t="str">
        <f t="shared" si="107"/>
        <v>4</v>
      </c>
      <c r="E978" s="7" t="str">
        <f t="shared" si="108"/>
        <v>8</v>
      </c>
      <c r="F978" s="7" t="str">
        <f t="shared" si="109"/>
        <v>10</v>
      </c>
      <c r="G978" s="7" t="str">
        <f t="shared" si="110"/>
        <v>1</v>
      </c>
      <c r="H978" s="7" t="str">
        <f t="shared" si="111"/>
        <v>0</v>
      </c>
      <c r="I978" s="7">
        <v>24481010</v>
      </c>
      <c r="J978" s="8" t="s">
        <v>1029</v>
      </c>
      <c r="K978" s="8" t="s">
        <v>1433</v>
      </c>
      <c r="L978" s="8"/>
    </row>
    <row r="979" spans="2:12" ht="75" x14ac:dyDescent="0.25">
      <c r="B979" s="27" t="str">
        <f t="shared" si="105"/>
        <v>2</v>
      </c>
      <c r="C979" s="27" t="str">
        <f t="shared" si="106"/>
        <v>4</v>
      </c>
      <c r="D979" s="27" t="str">
        <f t="shared" si="107"/>
        <v>5</v>
      </c>
      <c r="E979" s="27" t="str">
        <f t="shared" si="108"/>
        <v>0</v>
      </c>
      <c r="F979" s="27" t="str">
        <f t="shared" si="109"/>
        <v>00</v>
      </c>
      <c r="G979" s="27" t="str">
        <f t="shared" si="110"/>
        <v>0</v>
      </c>
      <c r="H979" s="27" t="str">
        <f t="shared" si="111"/>
        <v>0</v>
      </c>
      <c r="I979" s="27">
        <v>24500000</v>
      </c>
      <c r="J979" s="26" t="s">
        <v>675</v>
      </c>
      <c r="K979" s="26" t="s">
        <v>855</v>
      </c>
      <c r="L979" s="26"/>
    </row>
    <row r="980" spans="2:12" ht="75" x14ac:dyDescent="0.25">
      <c r="B980" s="7" t="str">
        <f t="shared" si="105"/>
        <v>2</v>
      </c>
      <c r="C980" s="7" t="str">
        <f t="shared" si="106"/>
        <v>4</v>
      </c>
      <c r="D980" s="7" t="str">
        <f t="shared" si="107"/>
        <v>5</v>
      </c>
      <c r="E980" s="7" t="str">
        <f t="shared" si="108"/>
        <v>0</v>
      </c>
      <c r="F980" s="7" t="str">
        <f t="shared" si="109"/>
        <v>00</v>
      </c>
      <c r="G980" s="7" t="str">
        <f t="shared" si="110"/>
        <v>1</v>
      </c>
      <c r="H980" s="7" t="str">
        <f t="shared" si="111"/>
        <v>0</v>
      </c>
      <c r="I980" s="7">
        <v>24500010</v>
      </c>
      <c r="J980" s="8" t="s">
        <v>675</v>
      </c>
      <c r="K980" s="8" t="s">
        <v>855</v>
      </c>
      <c r="L980" s="8"/>
    </row>
    <row r="981" spans="2:12" ht="75" x14ac:dyDescent="0.25">
      <c r="B981" s="17" t="str">
        <f t="shared" si="105"/>
        <v>2</v>
      </c>
      <c r="C981" s="17" t="str">
        <f t="shared" si="106"/>
        <v>4</v>
      </c>
      <c r="D981" s="17" t="str">
        <f t="shared" si="107"/>
        <v>5</v>
      </c>
      <c r="E981" s="17" t="str">
        <f t="shared" si="108"/>
        <v>8</v>
      </c>
      <c r="F981" s="17" t="str">
        <f t="shared" si="109"/>
        <v>00</v>
      </c>
      <c r="G981" s="17" t="str">
        <f t="shared" si="110"/>
        <v>0</v>
      </c>
      <c r="H981" s="17" t="str">
        <f t="shared" si="111"/>
        <v>0</v>
      </c>
      <c r="I981" s="17">
        <v>24580000</v>
      </c>
      <c r="J981" s="16" t="s">
        <v>903</v>
      </c>
      <c r="K981" s="16" t="s">
        <v>919</v>
      </c>
      <c r="L981" s="16"/>
    </row>
    <row r="982" spans="2:12" ht="75" x14ac:dyDescent="0.25">
      <c r="B982" s="2" t="str">
        <f t="shared" si="105"/>
        <v>2</v>
      </c>
      <c r="C982" s="2" t="str">
        <f t="shared" si="106"/>
        <v>4</v>
      </c>
      <c r="D982" s="2" t="str">
        <f t="shared" si="107"/>
        <v>5</v>
      </c>
      <c r="E982" s="2" t="str">
        <f t="shared" si="108"/>
        <v>8</v>
      </c>
      <c r="F982" s="2" t="str">
        <f t="shared" si="109"/>
        <v>01</v>
      </c>
      <c r="G982" s="2" t="str">
        <f t="shared" si="110"/>
        <v>0</v>
      </c>
      <c r="H982" s="2" t="str">
        <f t="shared" si="111"/>
        <v>0</v>
      </c>
      <c r="I982" s="2">
        <v>24580100</v>
      </c>
      <c r="J982" s="3" t="s">
        <v>675</v>
      </c>
      <c r="K982" s="3" t="s">
        <v>855</v>
      </c>
      <c r="L982" s="3"/>
    </row>
    <row r="983" spans="2:12" ht="75" x14ac:dyDescent="0.25">
      <c r="B983" s="7" t="str">
        <f t="shared" si="105"/>
        <v>2</v>
      </c>
      <c r="C983" s="7" t="str">
        <f t="shared" si="106"/>
        <v>4</v>
      </c>
      <c r="D983" s="7" t="str">
        <f t="shared" si="107"/>
        <v>5</v>
      </c>
      <c r="E983" s="7" t="str">
        <f t="shared" si="108"/>
        <v>8</v>
      </c>
      <c r="F983" s="7" t="str">
        <f t="shared" si="109"/>
        <v>01</v>
      </c>
      <c r="G983" s="7" t="str">
        <f t="shared" si="110"/>
        <v>1</v>
      </c>
      <c r="H983" s="7" t="str">
        <f t="shared" si="111"/>
        <v>0</v>
      </c>
      <c r="I983" s="7">
        <v>24580110</v>
      </c>
      <c r="J983" s="8" t="s">
        <v>675</v>
      </c>
      <c r="K983" s="8" t="s">
        <v>855</v>
      </c>
      <c r="L983" s="8"/>
    </row>
    <row r="984" spans="2:12" ht="45" x14ac:dyDescent="0.25">
      <c r="B984" s="27" t="str">
        <f t="shared" si="105"/>
        <v>2</v>
      </c>
      <c r="C984" s="27" t="str">
        <f t="shared" si="106"/>
        <v>4</v>
      </c>
      <c r="D984" s="27" t="str">
        <f t="shared" si="107"/>
        <v>6</v>
      </c>
      <c r="E984" s="27" t="str">
        <f t="shared" si="108"/>
        <v>0</v>
      </c>
      <c r="F984" s="27" t="str">
        <f t="shared" si="109"/>
        <v>00</v>
      </c>
      <c r="G984" s="27" t="str">
        <f t="shared" si="110"/>
        <v>0</v>
      </c>
      <c r="H984" s="27" t="str">
        <f t="shared" si="111"/>
        <v>0</v>
      </c>
      <c r="I984" s="27">
        <v>24600000</v>
      </c>
      <c r="J984" s="26" t="s">
        <v>171</v>
      </c>
      <c r="K984" s="26" t="s">
        <v>856</v>
      </c>
      <c r="L984" s="26"/>
    </row>
    <row r="985" spans="2:12" ht="45" x14ac:dyDescent="0.25">
      <c r="B985" s="7" t="str">
        <f t="shared" si="105"/>
        <v>2</v>
      </c>
      <c r="C985" s="7" t="str">
        <f t="shared" si="106"/>
        <v>4</v>
      </c>
      <c r="D985" s="7" t="str">
        <f t="shared" si="107"/>
        <v>6</v>
      </c>
      <c r="E985" s="7" t="str">
        <f t="shared" si="108"/>
        <v>0</v>
      </c>
      <c r="F985" s="7" t="str">
        <f t="shared" si="109"/>
        <v>00</v>
      </c>
      <c r="G985" s="7" t="str">
        <f t="shared" si="110"/>
        <v>1</v>
      </c>
      <c r="H985" s="7" t="str">
        <f t="shared" si="111"/>
        <v>0</v>
      </c>
      <c r="I985" s="7">
        <v>24600010</v>
      </c>
      <c r="J985" s="8" t="s">
        <v>171</v>
      </c>
      <c r="K985" s="8" t="s">
        <v>856</v>
      </c>
      <c r="L985" s="8"/>
    </row>
    <row r="986" spans="2:12" ht="60" x14ac:dyDescent="0.25">
      <c r="B986" s="17" t="str">
        <f t="shared" si="105"/>
        <v>2</v>
      </c>
      <c r="C986" s="17" t="str">
        <f t="shared" si="106"/>
        <v>4</v>
      </c>
      <c r="D986" s="17" t="str">
        <f t="shared" si="107"/>
        <v>6</v>
      </c>
      <c r="E986" s="17" t="str">
        <f t="shared" si="108"/>
        <v>8</v>
      </c>
      <c r="F986" s="17" t="str">
        <f t="shared" si="109"/>
        <v>00</v>
      </c>
      <c r="G986" s="17" t="str">
        <f t="shared" si="110"/>
        <v>0</v>
      </c>
      <c r="H986" s="17" t="str">
        <f t="shared" si="111"/>
        <v>0</v>
      </c>
      <c r="I986" s="17">
        <v>24680000</v>
      </c>
      <c r="J986" s="16" t="s">
        <v>904</v>
      </c>
      <c r="K986" s="16" t="s">
        <v>920</v>
      </c>
      <c r="L986" s="16"/>
    </row>
    <row r="987" spans="2:12" ht="45" x14ac:dyDescent="0.25">
      <c r="B987" s="2" t="str">
        <f t="shared" si="105"/>
        <v>2</v>
      </c>
      <c r="C987" s="2" t="str">
        <f t="shared" si="106"/>
        <v>4</v>
      </c>
      <c r="D987" s="2" t="str">
        <f t="shared" si="107"/>
        <v>6</v>
      </c>
      <c r="E987" s="2" t="str">
        <f t="shared" si="108"/>
        <v>8</v>
      </c>
      <c r="F987" s="2" t="str">
        <f t="shared" si="109"/>
        <v>01</v>
      </c>
      <c r="G987" s="2" t="str">
        <f t="shared" si="110"/>
        <v>0</v>
      </c>
      <c r="H987" s="2" t="str">
        <f t="shared" si="111"/>
        <v>0</v>
      </c>
      <c r="I987" s="2">
        <v>24680100</v>
      </c>
      <c r="J987" s="3" t="s">
        <v>171</v>
      </c>
      <c r="K987" s="3" t="s">
        <v>856</v>
      </c>
      <c r="L987" s="3"/>
    </row>
    <row r="988" spans="2:12" ht="60" x14ac:dyDescent="0.25">
      <c r="B988" s="7" t="str">
        <f t="shared" si="105"/>
        <v>2</v>
      </c>
      <c r="C988" s="7" t="str">
        <f t="shared" si="106"/>
        <v>4</v>
      </c>
      <c r="D988" s="7" t="str">
        <f t="shared" si="107"/>
        <v>6</v>
      </c>
      <c r="E988" s="7" t="str">
        <f t="shared" si="108"/>
        <v>8</v>
      </c>
      <c r="F988" s="7" t="str">
        <f t="shared" si="109"/>
        <v>01</v>
      </c>
      <c r="G988" s="7" t="str">
        <f t="shared" si="110"/>
        <v>1</v>
      </c>
      <c r="H988" s="7" t="str">
        <f t="shared" si="111"/>
        <v>0</v>
      </c>
      <c r="I988" s="7">
        <v>24680110</v>
      </c>
      <c r="J988" s="8" t="s">
        <v>1033</v>
      </c>
      <c r="K988" s="8" t="s">
        <v>1035</v>
      </c>
      <c r="L988" s="8"/>
    </row>
    <row r="989" spans="2:12" ht="60" x14ac:dyDescent="0.25">
      <c r="B989" s="11" t="str">
        <f t="shared" si="105"/>
        <v>2</v>
      </c>
      <c r="C989" s="11" t="str">
        <f t="shared" si="106"/>
        <v>4</v>
      </c>
      <c r="D989" s="11" t="str">
        <f t="shared" si="107"/>
        <v>6</v>
      </c>
      <c r="E989" s="11" t="str">
        <f t="shared" si="108"/>
        <v>8</v>
      </c>
      <c r="F989" s="11" t="str">
        <f t="shared" si="109"/>
        <v>01</v>
      </c>
      <c r="G989" s="11" t="str">
        <f t="shared" si="110"/>
        <v>2</v>
      </c>
      <c r="H989" s="11" t="str">
        <f t="shared" si="111"/>
        <v>0</v>
      </c>
      <c r="I989" s="11">
        <v>24680120</v>
      </c>
      <c r="J989" s="14" t="s">
        <v>1426</v>
      </c>
      <c r="K989" s="14" t="s">
        <v>1427</v>
      </c>
      <c r="L989" s="14" t="s">
        <v>1459</v>
      </c>
    </row>
    <row r="990" spans="2:12" ht="60" x14ac:dyDescent="0.25">
      <c r="B990" s="11" t="str">
        <f t="shared" si="105"/>
        <v>2</v>
      </c>
      <c r="C990" s="11" t="str">
        <f t="shared" si="106"/>
        <v>4</v>
      </c>
      <c r="D990" s="11" t="str">
        <f t="shared" si="107"/>
        <v>6</v>
      </c>
      <c r="E990" s="11" t="str">
        <f t="shared" si="108"/>
        <v>8</v>
      </c>
      <c r="F990" s="11" t="str">
        <f t="shared" si="109"/>
        <v>01</v>
      </c>
      <c r="G990" s="11" t="str">
        <f t="shared" si="110"/>
        <v>9</v>
      </c>
      <c r="H990" s="11" t="str">
        <f t="shared" si="111"/>
        <v>0</v>
      </c>
      <c r="I990" s="11">
        <v>24680190</v>
      </c>
      <c r="J990" s="14" t="s">
        <v>1034</v>
      </c>
      <c r="K990" s="14" t="s">
        <v>1036</v>
      </c>
      <c r="L990" s="14" t="s">
        <v>1459</v>
      </c>
    </row>
    <row r="991" spans="2:12" ht="60" x14ac:dyDescent="0.25">
      <c r="B991" s="19" t="str">
        <f t="shared" si="105"/>
        <v>2</v>
      </c>
      <c r="C991" s="19" t="str">
        <f t="shared" si="106"/>
        <v>4</v>
      </c>
      <c r="D991" s="19" t="str">
        <f t="shared" si="107"/>
        <v>6</v>
      </c>
      <c r="E991" s="19" t="str">
        <f t="shared" si="108"/>
        <v>8</v>
      </c>
      <c r="F991" s="19" t="str">
        <f t="shared" si="109"/>
        <v>10</v>
      </c>
      <c r="G991" s="19" t="str">
        <f t="shared" si="110"/>
        <v>1</v>
      </c>
      <c r="H991" s="19" t="str">
        <f t="shared" si="111"/>
        <v>0</v>
      </c>
      <c r="I991" s="19">
        <v>24681010</v>
      </c>
      <c r="J991" s="18" t="s">
        <v>1034</v>
      </c>
      <c r="K991" s="18" t="s">
        <v>1036</v>
      </c>
      <c r="L991" s="21" t="s">
        <v>1504</v>
      </c>
    </row>
    <row r="992" spans="2:12" ht="60" x14ac:dyDescent="0.25">
      <c r="B992" s="27" t="str">
        <f t="shared" si="105"/>
        <v>2</v>
      </c>
      <c r="C992" s="27" t="str">
        <f t="shared" si="106"/>
        <v>4</v>
      </c>
      <c r="D992" s="27" t="str">
        <f t="shared" si="107"/>
        <v>7</v>
      </c>
      <c r="E992" s="27" t="str">
        <f t="shared" si="108"/>
        <v>0</v>
      </c>
      <c r="F992" s="27" t="str">
        <f t="shared" si="109"/>
        <v>00</v>
      </c>
      <c r="G992" s="27" t="str">
        <f t="shared" si="110"/>
        <v>0</v>
      </c>
      <c r="H992" s="27" t="str">
        <f t="shared" si="111"/>
        <v>0</v>
      </c>
      <c r="I992" s="27">
        <v>24700000</v>
      </c>
      <c r="J992" s="26" t="s">
        <v>678</v>
      </c>
      <c r="K992" s="26" t="s">
        <v>857</v>
      </c>
      <c r="L992" s="26"/>
    </row>
    <row r="993" spans="2:12" ht="60" x14ac:dyDescent="0.25">
      <c r="B993" s="7" t="str">
        <f t="shared" si="105"/>
        <v>2</v>
      </c>
      <c r="C993" s="7" t="str">
        <f t="shared" si="106"/>
        <v>4</v>
      </c>
      <c r="D993" s="7" t="str">
        <f t="shared" si="107"/>
        <v>7</v>
      </c>
      <c r="E993" s="7" t="str">
        <f t="shared" si="108"/>
        <v>0</v>
      </c>
      <c r="F993" s="7" t="str">
        <f t="shared" si="109"/>
        <v>00</v>
      </c>
      <c r="G993" s="7" t="str">
        <f t="shared" si="110"/>
        <v>1</v>
      </c>
      <c r="H993" s="7" t="str">
        <f t="shared" si="111"/>
        <v>0</v>
      </c>
      <c r="I993" s="7">
        <v>24700010</v>
      </c>
      <c r="J993" s="8" t="s">
        <v>678</v>
      </c>
      <c r="K993" s="8" t="s">
        <v>857</v>
      </c>
      <c r="L993" s="8"/>
    </row>
    <row r="994" spans="2:12" ht="60" x14ac:dyDescent="0.25">
      <c r="B994" s="17" t="str">
        <f t="shared" si="105"/>
        <v>2</v>
      </c>
      <c r="C994" s="17" t="str">
        <f t="shared" si="106"/>
        <v>4</v>
      </c>
      <c r="D994" s="17" t="str">
        <f t="shared" si="107"/>
        <v>7</v>
      </c>
      <c r="E994" s="17" t="str">
        <f t="shared" si="108"/>
        <v>8</v>
      </c>
      <c r="F994" s="17" t="str">
        <f t="shared" si="109"/>
        <v>00</v>
      </c>
      <c r="G994" s="17" t="str">
        <f t="shared" si="110"/>
        <v>0</v>
      </c>
      <c r="H994" s="17" t="str">
        <f t="shared" si="111"/>
        <v>0</v>
      </c>
      <c r="I994" s="17">
        <v>24780000</v>
      </c>
      <c r="J994" s="16" t="s">
        <v>905</v>
      </c>
      <c r="K994" s="16" t="s">
        <v>921</v>
      </c>
      <c r="L994" s="16"/>
    </row>
    <row r="995" spans="2:12" ht="30" x14ac:dyDescent="0.25">
      <c r="B995" s="2" t="str">
        <f t="shared" si="105"/>
        <v>2</v>
      </c>
      <c r="C995" s="2" t="str">
        <f t="shared" si="106"/>
        <v>4</v>
      </c>
      <c r="D995" s="2" t="str">
        <f t="shared" si="107"/>
        <v>7</v>
      </c>
      <c r="E995" s="2" t="str">
        <f t="shared" si="108"/>
        <v>8</v>
      </c>
      <c r="F995" s="2" t="str">
        <f t="shared" si="109"/>
        <v>01</v>
      </c>
      <c r="G995" s="2" t="str">
        <f t="shared" si="110"/>
        <v>0</v>
      </c>
      <c r="H995" s="2" t="str">
        <f t="shared" si="111"/>
        <v>0</v>
      </c>
      <c r="I995" s="2">
        <v>24780100</v>
      </c>
      <c r="J995" s="3" t="s">
        <v>678</v>
      </c>
      <c r="K995" s="3" t="s">
        <v>893</v>
      </c>
      <c r="L995" s="3"/>
    </row>
    <row r="996" spans="2:12" ht="30" x14ac:dyDescent="0.25">
      <c r="B996" s="7" t="str">
        <f t="shared" si="105"/>
        <v>2</v>
      </c>
      <c r="C996" s="7" t="str">
        <f t="shared" si="106"/>
        <v>4</v>
      </c>
      <c r="D996" s="7" t="str">
        <f t="shared" si="107"/>
        <v>7</v>
      </c>
      <c r="E996" s="7" t="str">
        <f t="shared" si="108"/>
        <v>8</v>
      </c>
      <c r="F996" s="7" t="str">
        <f t="shared" si="109"/>
        <v>01</v>
      </c>
      <c r="G996" s="7" t="str">
        <f t="shared" si="110"/>
        <v>1</v>
      </c>
      <c r="H996" s="7" t="str">
        <f t="shared" si="111"/>
        <v>0</v>
      </c>
      <c r="I996" s="7">
        <v>24780110</v>
      </c>
      <c r="J996" s="8" t="s">
        <v>1038</v>
      </c>
      <c r="K996" s="8" t="s">
        <v>1039</v>
      </c>
      <c r="L996" s="8"/>
    </row>
    <row r="997" spans="2:12" ht="30" x14ac:dyDescent="0.25">
      <c r="B997" s="11" t="str">
        <f t="shared" si="105"/>
        <v>2</v>
      </c>
      <c r="C997" s="11" t="str">
        <f t="shared" si="106"/>
        <v>4</v>
      </c>
      <c r="D997" s="11" t="str">
        <f t="shared" si="107"/>
        <v>7</v>
      </c>
      <c r="E997" s="11" t="str">
        <f t="shared" si="108"/>
        <v>8</v>
      </c>
      <c r="F997" s="11" t="str">
        <f t="shared" si="109"/>
        <v>01</v>
      </c>
      <c r="G997" s="11" t="str">
        <f t="shared" si="110"/>
        <v>2</v>
      </c>
      <c r="H997" s="11" t="str">
        <f t="shared" si="111"/>
        <v>0</v>
      </c>
      <c r="I997" s="11">
        <v>24780120</v>
      </c>
      <c r="J997" s="14" t="s">
        <v>1429</v>
      </c>
      <c r="K997" s="14" t="s">
        <v>1430</v>
      </c>
      <c r="L997" s="14" t="s">
        <v>1459</v>
      </c>
    </row>
    <row r="998" spans="2:12" ht="30" x14ac:dyDescent="0.25">
      <c r="B998" s="7" t="str">
        <f t="shared" si="105"/>
        <v>2</v>
      </c>
      <c r="C998" s="7" t="str">
        <f t="shared" si="106"/>
        <v>4</v>
      </c>
      <c r="D998" s="7" t="str">
        <f t="shared" si="107"/>
        <v>7</v>
      </c>
      <c r="E998" s="7" t="str">
        <f t="shared" si="108"/>
        <v>8</v>
      </c>
      <c r="F998" s="7" t="str">
        <f t="shared" si="109"/>
        <v>01</v>
      </c>
      <c r="G998" s="7" t="str">
        <f t="shared" si="110"/>
        <v>9</v>
      </c>
      <c r="H998" s="7" t="str">
        <f t="shared" si="111"/>
        <v>0</v>
      </c>
      <c r="I998" s="7">
        <v>24780190</v>
      </c>
      <c r="J998" s="8" t="s">
        <v>1037</v>
      </c>
      <c r="K998" s="8" t="s">
        <v>1040</v>
      </c>
      <c r="L998" s="8"/>
    </row>
    <row r="999" spans="2:12" ht="30" x14ac:dyDescent="0.25">
      <c r="B999" s="27" t="str">
        <f t="shared" si="105"/>
        <v>2</v>
      </c>
      <c r="C999" s="27" t="str">
        <f t="shared" si="106"/>
        <v>4</v>
      </c>
      <c r="D999" s="27" t="str">
        <f t="shared" si="107"/>
        <v>8</v>
      </c>
      <c r="E999" s="27" t="str">
        <f t="shared" si="108"/>
        <v>0</v>
      </c>
      <c r="F999" s="27" t="str">
        <f t="shared" si="109"/>
        <v>00</v>
      </c>
      <c r="G999" s="27" t="str">
        <f t="shared" si="110"/>
        <v>0</v>
      </c>
      <c r="H999" s="27" t="str">
        <f t="shared" si="111"/>
        <v>0</v>
      </c>
      <c r="I999" s="27">
        <v>24800000</v>
      </c>
      <c r="J999" s="26" t="s">
        <v>680</v>
      </c>
      <c r="K999" s="26" t="s">
        <v>858</v>
      </c>
      <c r="L999" s="26"/>
    </row>
    <row r="1000" spans="2:12" ht="30" x14ac:dyDescent="0.25">
      <c r="B1000" s="7" t="str">
        <f t="shared" si="105"/>
        <v>2</v>
      </c>
      <c r="C1000" s="7" t="str">
        <f t="shared" si="106"/>
        <v>4</v>
      </c>
      <c r="D1000" s="7" t="str">
        <f t="shared" si="107"/>
        <v>8</v>
      </c>
      <c r="E1000" s="7" t="str">
        <f t="shared" si="108"/>
        <v>0</v>
      </c>
      <c r="F1000" s="7" t="str">
        <f t="shared" si="109"/>
        <v>00</v>
      </c>
      <c r="G1000" s="7" t="str">
        <f t="shared" si="110"/>
        <v>1</v>
      </c>
      <c r="H1000" s="7" t="str">
        <f t="shared" si="111"/>
        <v>0</v>
      </c>
      <c r="I1000" s="7">
        <v>24800010</v>
      </c>
      <c r="J1000" s="8" t="s">
        <v>925</v>
      </c>
      <c r="K1000" s="8" t="s">
        <v>858</v>
      </c>
      <c r="L1000" s="8"/>
    </row>
    <row r="1001" spans="2:12" ht="45" x14ac:dyDescent="0.25">
      <c r="B1001" s="17" t="str">
        <f t="shared" si="105"/>
        <v>2</v>
      </c>
      <c r="C1001" s="17" t="str">
        <f t="shared" si="106"/>
        <v>4</v>
      </c>
      <c r="D1001" s="17" t="str">
        <f t="shared" si="107"/>
        <v>8</v>
      </c>
      <c r="E1001" s="17" t="str">
        <f t="shared" si="108"/>
        <v>8</v>
      </c>
      <c r="F1001" s="17" t="str">
        <f t="shared" si="109"/>
        <v>00</v>
      </c>
      <c r="G1001" s="17" t="str">
        <f t="shared" si="110"/>
        <v>0</v>
      </c>
      <c r="H1001" s="17" t="str">
        <f t="shared" si="111"/>
        <v>0</v>
      </c>
      <c r="I1001" s="17">
        <v>24880000</v>
      </c>
      <c r="J1001" s="16" t="s">
        <v>906</v>
      </c>
      <c r="K1001" s="16" t="s">
        <v>922</v>
      </c>
      <c r="L1001" s="16"/>
    </row>
    <row r="1002" spans="2:12" ht="30" x14ac:dyDescent="0.25">
      <c r="B1002" s="2" t="str">
        <f t="shared" si="105"/>
        <v>2</v>
      </c>
      <c r="C1002" s="2" t="str">
        <f t="shared" si="106"/>
        <v>4</v>
      </c>
      <c r="D1002" s="2" t="str">
        <f t="shared" si="107"/>
        <v>8</v>
      </c>
      <c r="E1002" s="2" t="str">
        <f t="shared" si="108"/>
        <v>8</v>
      </c>
      <c r="F1002" s="2" t="str">
        <f t="shared" si="109"/>
        <v>01</v>
      </c>
      <c r="G1002" s="2" t="str">
        <f t="shared" si="110"/>
        <v>0</v>
      </c>
      <c r="H1002" s="2" t="str">
        <f t="shared" si="111"/>
        <v>0</v>
      </c>
      <c r="I1002" s="2">
        <v>24880100</v>
      </c>
      <c r="J1002" s="3" t="s">
        <v>892</v>
      </c>
      <c r="K1002" s="3" t="s">
        <v>858</v>
      </c>
      <c r="L1002" s="3"/>
    </row>
    <row r="1003" spans="2:12" ht="30" x14ac:dyDescent="0.25">
      <c r="B1003" s="7" t="str">
        <f t="shared" si="105"/>
        <v>2</v>
      </c>
      <c r="C1003" s="7" t="str">
        <f t="shared" si="106"/>
        <v>4</v>
      </c>
      <c r="D1003" s="7" t="str">
        <f t="shared" si="107"/>
        <v>8</v>
      </c>
      <c r="E1003" s="7" t="str">
        <f t="shared" si="108"/>
        <v>8</v>
      </c>
      <c r="F1003" s="7" t="str">
        <f t="shared" si="109"/>
        <v>01</v>
      </c>
      <c r="G1003" s="7" t="str">
        <f t="shared" si="110"/>
        <v>1</v>
      </c>
      <c r="H1003" s="7" t="str">
        <f t="shared" si="111"/>
        <v>0</v>
      </c>
      <c r="I1003" s="7">
        <v>24880110</v>
      </c>
      <c r="J1003" s="8" t="s">
        <v>892</v>
      </c>
      <c r="K1003" s="8" t="s">
        <v>859</v>
      </c>
      <c r="L1003" s="8"/>
    </row>
    <row r="1004" spans="2:12" ht="45" x14ac:dyDescent="0.25">
      <c r="B1004" s="6" t="str">
        <f t="shared" si="105"/>
        <v>2</v>
      </c>
      <c r="C1004" s="6" t="str">
        <f t="shared" si="106"/>
        <v>9</v>
      </c>
      <c r="D1004" s="6" t="str">
        <f t="shared" si="107"/>
        <v>0</v>
      </c>
      <c r="E1004" s="6" t="str">
        <f t="shared" si="108"/>
        <v>0</v>
      </c>
      <c r="F1004" s="6" t="str">
        <f t="shared" si="109"/>
        <v>00</v>
      </c>
      <c r="G1004" s="6" t="str">
        <f t="shared" si="110"/>
        <v>0</v>
      </c>
      <c r="H1004" s="6" t="str">
        <f t="shared" si="111"/>
        <v>0</v>
      </c>
      <c r="I1004" s="6">
        <v>29000000</v>
      </c>
      <c r="J1004" s="5" t="s">
        <v>307</v>
      </c>
      <c r="K1004" s="5" t="s">
        <v>860</v>
      </c>
      <c r="L1004" s="5"/>
    </row>
    <row r="1005" spans="2:12" ht="60" x14ac:dyDescent="0.25">
      <c r="B1005" s="27" t="str">
        <f t="shared" si="105"/>
        <v>2</v>
      </c>
      <c r="C1005" s="27" t="str">
        <f t="shared" si="106"/>
        <v>9</v>
      </c>
      <c r="D1005" s="27" t="str">
        <f t="shared" si="107"/>
        <v>1</v>
      </c>
      <c r="E1005" s="27" t="str">
        <f t="shared" si="108"/>
        <v>0</v>
      </c>
      <c r="F1005" s="27" t="str">
        <f t="shared" si="109"/>
        <v>00</v>
      </c>
      <c r="G1005" s="27" t="str">
        <f t="shared" si="110"/>
        <v>0</v>
      </c>
      <c r="H1005" s="27" t="str">
        <f t="shared" si="111"/>
        <v>0</v>
      </c>
      <c r="I1005" s="27">
        <v>29100000</v>
      </c>
      <c r="J1005" s="26" t="s">
        <v>861</v>
      </c>
      <c r="K1005" s="26" t="s">
        <v>862</v>
      </c>
      <c r="L1005" s="26"/>
    </row>
    <row r="1006" spans="2:12" ht="60" x14ac:dyDescent="0.25">
      <c r="B1006" s="7" t="str">
        <f t="shared" si="105"/>
        <v>2</v>
      </c>
      <c r="C1006" s="7" t="str">
        <f t="shared" si="106"/>
        <v>9</v>
      </c>
      <c r="D1006" s="7" t="str">
        <f t="shared" si="107"/>
        <v>1</v>
      </c>
      <c r="E1006" s="7" t="str">
        <f t="shared" si="108"/>
        <v>0</v>
      </c>
      <c r="F1006" s="7" t="str">
        <f t="shared" si="109"/>
        <v>00</v>
      </c>
      <c r="G1006" s="7" t="str">
        <f t="shared" si="110"/>
        <v>1</v>
      </c>
      <c r="H1006" s="7" t="str">
        <f t="shared" si="111"/>
        <v>0</v>
      </c>
      <c r="I1006" s="7">
        <v>29100010</v>
      </c>
      <c r="J1006" s="8" t="s">
        <v>861</v>
      </c>
      <c r="K1006" s="8" t="s">
        <v>862</v>
      </c>
      <c r="L1006" s="8"/>
    </row>
    <row r="1007" spans="2:12" ht="45" x14ac:dyDescent="0.25">
      <c r="B1007" s="27" t="str">
        <f t="shared" si="105"/>
        <v>2</v>
      </c>
      <c r="C1007" s="27" t="str">
        <f t="shared" si="106"/>
        <v>9</v>
      </c>
      <c r="D1007" s="27" t="str">
        <f t="shared" si="107"/>
        <v>2</v>
      </c>
      <c r="E1007" s="27" t="str">
        <f t="shared" si="108"/>
        <v>0</v>
      </c>
      <c r="F1007" s="27" t="str">
        <f t="shared" si="109"/>
        <v>00</v>
      </c>
      <c r="G1007" s="27" t="str">
        <f t="shared" si="110"/>
        <v>0</v>
      </c>
      <c r="H1007" s="27" t="str">
        <f t="shared" si="111"/>
        <v>0</v>
      </c>
      <c r="I1007" s="27">
        <v>29200000</v>
      </c>
      <c r="J1007" s="26" t="s">
        <v>863</v>
      </c>
      <c r="K1007" s="26" t="s">
        <v>864</v>
      </c>
      <c r="L1007" s="26"/>
    </row>
    <row r="1008" spans="2:12" ht="45" x14ac:dyDescent="0.25">
      <c r="B1008" s="7" t="str">
        <f t="shared" si="105"/>
        <v>2</v>
      </c>
      <c r="C1008" s="7" t="str">
        <f t="shared" si="106"/>
        <v>9</v>
      </c>
      <c r="D1008" s="7" t="str">
        <f t="shared" si="107"/>
        <v>2</v>
      </c>
      <c r="E1008" s="7" t="str">
        <f t="shared" si="108"/>
        <v>0</v>
      </c>
      <c r="F1008" s="7" t="str">
        <f t="shared" si="109"/>
        <v>00</v>
      </c>
      <c r="G1008" s="7" t="str">
        <f t="shared" si="110"/>
        <v>1</v>
      </c>
      <c r="H1008" s="7" t="str">
        <f t="shared" si="111"/>
        <v>0</v>
      </c>
      <c r="I1008" s="7">
        <v>29200010</v>
      </c>
      <c r="J1008" s="8" t="s">
        <v>865</v>
      </c>
      <c r="K1008" s="8" t="s">
        <v>866</v>
      </c>
      <c r="L1008" s="8"/>
    </row>
    <row r="1009" spans="2:12" ht="45" x14ac:dyDescent="0.25">
      <c r="B1009" s="7" t="str">
        <f t="shared" si="105"/>
        <v>2</v>
      </c>
      <c r="C1009" s="7" t="str">
        <f t="shared" si="106"/>
        <v>9</v>
      </c>
      <c r="D1009" s="7" t="str">
        <f t="shared" si="107"/>
        <v>2</v>
      </c>
      <c r="E1009" s="7" t="str">
        <f t="shared" si="108"/>
        <v>0</v>
      </c>
      <c r="F1009" s="7" t="str">
        <f t="shared" si="109"/>
        <v>00</v>
      </c>
      <c r="G1009" s="7" t="str">
        <f t="shared" si="110"/>
        <v>2</v>
      </c>
      <c r="H1009" s="7" t="str">
        <f t="shared" si="111"/>
        <v>0</v>
      </c>
      <c r="I1009" s="7">
        <v>29200020</v>
      </c>
      <c r="J1009" s="8" t="s">
        <v>867</v>
      </c>
      <c r="K1009" s="8" t="s">
        <v>868</v>
      </c>
      <c r="L1009" s="8"/>
    </row>
    <row r="1010" spans="2:12" ht="60" x14ac:dyDescent="0.25">
      <c r="B1010" s="27" t="str">
        <f t="shared" ref="B1010:B1019" si="112">MID($I1010,1,1)</f>
        <v>2</v>
      </c>
      <c r="C1010" s="27" t="str">
        <f t="shared" ref="C1010:C1019" si="113">MID($I1010,2,1)</f>
        <v>9</v>
      </c>
      <c r="D1010" s="27" t="str">
        <f t="shared" ref="D1010:D1019" si="114">MID($I1010,3,1)</f>
        <v>3</v>
      </c>
      <c r="E1010" s="27" t="str">
        <f t="shared" ref="E1010:E1019" si="115">MID($I1010,4,1)</f>
        <v>0</v>
      </c>
      <c r="F1010" s="27" t="str">
        <f t="shared" ref="F1010:F1019" si="116">MID($I1010,5,2)</f>
        <v>00</v>
      </c>
      <c r="G1010" s="27" t="str">
        <f t="shared" ref="G1010:G1019" si="117">MID($I1010,7,1)</f>
        <v>0</v>
      </c>
      <c r="H1010" s="27" t="str">
        <f t="shared" ref="H1010:H1019" si="118">MID($I1010,8,1)</f>
        <v>0</v>
      </c>
      <c r="I1010" s="27">
        <v>29300000</v>
      </c>
      <c r="J1010" s="26" t="s">
        <v>869</v>
      </c>
      <c r="K1010" s="26" t="s">
        <v>870</v>
      </c>
      <c r="L1010" s="26"/>
    </row>
    <row r="1011" spans="2:12" ht="60" x14ac:dyDescent="0.25">
      <c r="B1011" s="7" t="str">
        <f t="shared" si="112"/>
        <v>2</v>
      </c>
      <c r="C1011" s="7" t="str">
        <f t="shared" si="113"/>
        <v>9</v>
      </c>
      <c r="D1011" s="7" t="str">
        <f t="shared" si="114"/>
        <v>3</v>
      </c>
      <c r="E1011" s="7" t="str">
        <f t="shared" si="115"/>
        <v>0</v>
      </c>
      <c r="F1011" s="7" t="str">
        <f t="shared" si="116"/>
        <v>00</v>
      </c>
      <c r="G1011" s="7" t="str">
        <f t="shared" si="117"/>
        <v>1</v>
      </c>
      <c r="H1011" s="7" t="str">
        <f t="shared" si="118"/>
        <v>0</v>
      </c>
      <c r="I1011" s="7">
        <v>29300010</v>
      </c>
      <c r="J1011" s="8" t="s">
        <v>869</v>
      </c>
      <c r="K1011" s="8" t="s">
        <v>870</v>
      </c>
      <c r="L1011" s="8"/>
    </row>
    <row r="1012" spans="2:12" ht="30" x14ac:dyDescent="0.25">
      <c r="B1012" s="27" t="str">
        <f t="shared" si="112"/>
        <v>2</v>
      </c>
      <c r="C1012" s="27" t="str">
        <f t="shared" si="113"/>
        <v>9</v>
      </c>
      <c r="D1012" s="27" t="str">
        <f t="shared" si="114"/>
        <v>4</v>
      </c>
      <c r="E1012" s="27" t="str">
        <f t="shared" si="115"/>
        <v>0</v>
      </c>
      <c r="F1012" s="27" t="str">
        <f t="shared" si="116"/>
        <v>00</v>
      </c>
      <c r="G1012" s="27" t="str">
        <f t="shared" si="117"/>
        <v>0</v>
      </c>
      <c r="H1012" s="27" t="str">
        <f t="shared" si="118"/>
        <v>0</v>
      </c>
      <c r="I1012" s="27">
        <v>29400000</v>
      </c>
      <c r="J1012" s="26" t="s">
        <v>871</v>
      </c>
      <c r="K1012" s="26" t="s">
        <v>872</v>
      </c>
      <c r="L1012" s="26"/>
    </row>
    <row r="1013" spans="2:12" ht="30" x14ac:dyDescent="0.25">
      <c r="B1013" s="7" t="str">
        <f t="shared" si="112"/>
        <v>2</v>
      </c>
      <c r="C1013" s="7" t="str">
        <f t="shared" si="113"/>
        <v>9</v>
      </c>
      <c r="D1013" s="7" t="str">
        <f t="shared" si="114"/>
        <v>4</v>
      </c>
      <c r="E1013" s="7" t="str">
        <f t="shared" si="115"/>
        <v>0</v>
      </c>
      <c r="F1013" s="7" t="str">
        <f t="shared" si="116"/>
        <v>00</v>
      </c>
      <c r="G1013" s="7" t="str">
        <f t="shared" si="117"/>
        <v>1</v>
      </c>
      <c r="H1013" s="7" t="str">
        <f t="shared" si="118"/>
        <v>0</v>
      </c>
      <c r="I1013" s="7">
        <v>29400010</v>
      </c>
      <c r="J1013" s="8" t="s">
        <v>871</v>
      </c>
      <c r="K1013" s="8" t="s">
        <v>872</v>
      </c>
      <c r="L1013" s="8"/>
    </row>
    <row r="1014" spans="2:12" ht="45" x14ac:dyDescent="0.25">
      <c r="B1014" s="27" t="str">
        <f t="shared" si="112"/>
        <v>2</v>
      </c>
      <c r="C1014" s="27" t="str">
        <f t="shared" si="113"/>
        <v>9</v>
      </c>
      <c r="D1014" s="27" t="str">
        <f t="shared" si="114"/>
        <v>9</v>
      </c>
      <c r="E1014" s="27" t="str">
        <f t="shared" si="115"/>
        <v>0</v>
      </c>
      <c r="F1014" s="27" t="str">
        <f t="shared" si="116"/>
        <v>00</v>
      </c>
      <c r="G1014" s="27" t="str">
        <f t="shared" si="117"/>
        <v>0</v>
      </c>
      <c r="H1014" s="27" t="str">
        <f t="shared" si="118"/>
        <v>0</v>
      </c>
      <c r="I1014" s="27">
        <v>29900000</v>
      </c>
      <c r="J1014" s="26" t="s">
        <v>873</v>
      </c>
      <c r="K1014" s="26" t="s">
        <v>874</v>
      </c>
      <c r="L1014" s="26"/>
    </row>
    <row r="1015" spans="2:12" ht="45" x14ac:dyDescent="0.25">
      <c r="B1015" s="7" t="str">
        <f t="shared" si="112"/>
        <v>2</v>
      </c>
      <c r="C1015" s="7" t="str">
        <f t="shared" si="113"/>
        <v>9</v>
      </c>
      <c r="D1015" s="7" t="str">
        <f t="shared" si="114"/>
        <v>9</v>
      </c>
      <c r="E1015" s="7" t="str">
        <f t="shared" si="115"/>
        <v>0</v>
      </c>
      <c r="F1015" s="7" t="str">
        <f t="shared" si="116"/>
        <v>00</v>
      </c>
      <c r="G1015" s="7" t="str">
        <f t="shared" si="117"/>
        <v>1</v>
      </c>
      <c r="H1015" s="7" t="str">
        <f t="shared" si="118"/>
        <v>0</v>
      </c>
      <c r="I1015" s="7">
        <v>29900010</v>
      </c>
      <c r="J1015" s="8" t="s">
        <v>873</v>
      </c>
      <c r="K1015" s="8" t="s">
        <v>874</v>
      </c>
      <c r="L1015" s="8"/>
    </row>
    <row r="1016" spans="2:12" ht="45" x14ac:dyDescent="0.25">
      <c r="B1016" s="17" t="str">
        <f t="shared" si="112"/>
        <v>2</v>
      </c>
      <c r="C1016" s="17" t="str">
        <f t="shared" si="113"/>
        <v>9</v>
      </c>
      <c r="D1016" s="17" t="str">
        <f t="shared" si="114"/>
        <v>9</v>
      </c>
      <c r="E1016" s="17" t="str">
        <f t="shared" si="115"/>
        <v>8</v>
      </c>
      <c r="F1016" s="17" t="str">
        <f t="shared" si="116"/>
        <v>00</v>
      </c>
      <c r="G1016" s="17" t="str">
        <f t="shared" si="117"/>
        <v>0</v>
      </c>
      <c r="H1016" s="17" t="str">
        <f t="shared" si="118"/>
        <v>0</v>
      </c>
      <c r="I1016" s="17">
        <v>29980000</v>
      </c>
      <c r="J1016" s="16" t="s">
        <v>907</v>
      </c>
      <c r="K1016" s="16" t="s">
        <v>895</v>
      </c>
      <c r="L1016" s="16"/>
    </row>
    <row r="1017" spans="2:12" ht="45" x14ac:dyDescent="0.25">
      <c r="B1017" s="2" t="str">
        <f t="shared" si="112"/>
        <v>2</v>
      </c>
      <c r="C1017" s="2" t="str">
        <f t="shared" si="113"/>
        <v>9</v>
      </c>
      <c r="D1017" s="2" t="str">
        <f t="shared" si="114"/>
        <v>9</v>
      </c>
      <c r="E1017" s="2" t="str">
        <f t="shared" si="115"/>
        <v>8</v>
      </c>
      <c r="F1017" s="2" t="str">
        <f t="shared" si="116"/>
        <v>01</v>
      </c>
      <c r="G1017" s="2" t="str">
        <f t="shared" si="117"/>
        <v>0</v>
      </c>
      <c r="H1017" s="2" t="str">
        <f t="shared" si="118"/>
        <v>0</v>
      </c>
      <c r="I1017" s="2">
        <v>29980100</v>
      </c>
      <c r="J1017" s="3" t="s">
        <v>894</v>
      </c>
      <c r="K1017" s="3" t="s">
        <v>895</v>
      </c>
      <c r="L1017" s="3"/>
    </row>
    <row r="1018" spans="2:12" ht="60" x14ac:dyDescent="0.25">
      <c r="B1018" s="7" t="str">
        <f t="shared" si="112"/>
        <v>2</v>
      </c>
      <c r="C1018" s="7" t="str">
        <f t="shared" si="113"/>
        <v>9</v>
      </c>
      <c r="D1018" s="7" t="str">
        <f t="shared" si="114"/>
        <v>9</v>
      </c>
      <c r="E1018" s="7" t="str">
        <f t="shared" si="115"/>
        <v>8</v>
      </c>
      <c r="F1018" s="7" t="str">
        <f t="shared" si="116"/>
        <v>01</v>
      </c>
      <c r="G1018" s="7" t="str">
        <f t="shared" si="117"/>
        <v>1</v>
      </c>
      <c r="H1018" s="7" t="str">
        <f t="shared" si="118"/>
        <v>0</v>
      </c>
      <c r="I1018" s="7">
        <v>29980110</v>
      </c>
      <c r="J1018" s="8" t="s">
        <v>308</v>
      </c>
      <c r="K1018" s="8" t="s">
        <v>309</v>
      </c>
      <c r="L1018" s="8"/>
    </row>
    <row r="1019" spans="2:12" ht="60" x14ac:dyDescent="0.25">
      <c r="B1019" s="27" t="str">
        <f t="shared" si="112"/>
        <v>9</v>
      </c>
      <c r="C1019" s="27" t="str">
        <f t="shared" si="113"/>
        <v>9</v>
      </c>
      <c r="D1019" s="27" t="str">
        <f t="shared" si="114"/>
        <v>9</v>
      </c>
      <c r="E1019" s="27" t="str">
        <f t="shared" si="115"/>
        <v>0</v>
      </c>
      <c r="F1019" s="27" t="str">
        <f t="shared" si="116"/>
        <v>00</v>
      </c>
      <c r="G1019" s="27" t="str">
        <f t="shared" si="117"/>
        <v>0</v>
      </c>
      <c r="H1019" s="27" t="str">
        <f t="shared" si="118"/>
        <v>0</v>
      </c>
      <c r="I1019" s="27">
        <v>99900000</v>
      </c>
      <c r="J1019" s="26" t="s">
        <v>310</v>
      </c>
      <c r="K1019" s="26" t="s">
        <v>311</v>
      </c>
      <c r="L1019" s="26"/>
    </row>
  </sheetData>
  <autoFilter ref="B2:L1019" xr:uid="{4C7634BA-1E8D-46AD-A441-5B0244AD401F}"/>
  <pageMargins left="0.511811024" right="0.511811024" top="0.78740157499999996" bottom="0.78740157499999996" header="0.31496062000000002" footer="0.31496062000000002"/>
  <pageSetup paperSize="9" scale="6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63C3F-229A-4039-8CB6-E66D607B1C57}">
  <dimension ref="B1:E126"/>
  <sheetViews>
    <sheetView showGridLines="0" zoomScaleNormal="100" workbookViewId="0">
      <selection activeCell="I7" sqref="I7"/>
    </sheetView>
  </sheetViews>
  <sheetFormatPr defaultRowHeight="15" x14ac:dyDescent="0.25"/>
  <cols>
    <col min="1" max="1" width="1.5703125" customWidth="1"/>
    <col min="2" max="2" width="12.42578125" bestFit="1" customWidth="1"/>
    <col min="3" max="3" width="59.5703125" customWidth="1"/>
    <col min="4" max="4" width="18.85546875" bestFit="1" customWidth="1"/>
    <col min="5" max="5" width="17.42578125" bestFit="1" customWidth="1"/>
    <col min="6" max="6" width="15.140625" bestFit="1" customWidth="1"/>
  </cols>
  <sheetData>
    <row r="1" spans="2:5" ht="15.75" x14ac:dyDescent="0.25">
      <c r="B1" s="65" t="s">
        <v>1435</v>
      </c>
      <c r="C1" s="66"/>
      <c r="D1" s="66"/>
    </row>
    <row r="2" spans="2:5" ht="15.75" x14ac:dyDescent="0.25">
      <c r="B2" s="67" t="s">
        <v>1501</v>
      </c>
      <c r="C2" s="66"/>
      <c r="D2" s="66"/>
    </row>
    <row r="3" spans="2:5" ht="15.75" x14ac:dyDescent="0.25">
      <c r="B3" s="68" t="s">
        <v>1500</v>
      </c>
      <c r="C3" s="69"/>
      <c r="D3" s="69"/>
    </row>
    <row r="4" spans="2:5" ht="16.5" thickBot="1" x14ac:dyDescent="0.3">
      <c r="B4" s="70" t="s">
        <v>1514</v>
      </c>
      <c r="C4" s="66"/>
      <c r="D4" s="66"/>
    </row>
    <row r="5" spans="2:5" ht="15.75" thickBot="1" x14ac:dyDescent="0.3">
      <c r="B5" s="77" t="s">
        <v>1515</v>
      </c>
      <c r="C5" s="78"/>
      <c r="D5" s="79"/>
      <c r="E5" s="80"/>
    </row>
    <row r="6" spans="2:5" ht="15.75" thickBot="1" x14ac:dyDescent="0.3">
      <c r="B6" s="59" t="s">
        <v>312</v>
      </c>
      <c r="C6" s="60" t="s">
        <v>0</v>
      </c>
      <c r="D6" s="74" t="s">
        <v>1516</v>
      </c>
      <c r="E6" s="75" t="s">
        <v>1511</v>
      </c>
    </row>
    <row r="7" spans="2:5" ht="30" x14ac:dyDescent="0.25">
      <c r="B7" s="58">
        <v>11210210</v>
      </c>
      <c r="C7" s="61" t="s">
        <v>1392</v>
      </c>
      <c r="D7" s="72" t="s">
        <v>1517</v>
      </c>
      <c r="E7" s="73" t="s">
        <v>1512</v>
      </c>
    </row>
    <row r="8" spans="2:5" ht="30" x14ac:dyDescent="0.25">
      <c r="B8" s="58">
        <v>11210220</v>
      </c>
      <c r="C8" s="61" t="s">
        <v>1393</v>
      </c>
      <c r="D8" s="61" t="s">
        <v>1517</v>
      </c>
      <c r="E8" s="54" t="s">
        <v>1512</v>
      </c>
    </row>
    <row r="9" spans="2:5" ht="30" x14ac:dyDescent="0.25">
      <c r="B9" s="58">
        <v>11210230</v>
      </c>
      <c r="C9" s="62" t="s">
        <v>1388</v>
      </c>
      <c r="D9" s="61" t="s">
        <v>1518</v>
      </c>
      <c r="E9" s="54" t="s">
        <v>1512</v>
      </c>
    </row>
    <row r="10" spans="2:5" ht="30" x14ac:dyDescent="0.25">
      <c r="B10" s="58">
        <v>11210240</v>
      </c>
      <c r="C10" s="62" t="s">
        <v>1389</v>
      </c>
      <c r="D10" s="61" t="s">
        <v>1518</v>
      </c>
      <c r="E10" s="54" t="s">
        <v>1512</v>
      </c>
    </row>
    <row r="11" spans="2:5" x14ac:dyDescent="0.25">
      <c r="B11" s="46">
        <v>11280230</v>
      </c>
      <c r="C11" s="63" t="s">
        <v>1413</v>
      </c>
      <c r="D11" s="61" t="s">
        <v>1518</v>
      </c>
      <c r="E11" s="54" t="s">
        <v>1513</v>
      </c>
    </row>
    <row r="12" spans="2:5" x14ac:dyDescent="0.25">
      <c r="B12" s="46">
        <v>11280210</v>
      </c>
      <c r="C12" s="63" t="s">
        <v>1397</v>
      </c>
      <c r="D12" s="61" t="s">
        <v>1518</v>
      </c>
      <c r="E12" s="54" t="s">
        <v>1513</v>
      </c>
    </row>
    <row r="13" spans="2:5" x14ac:dyDescent="0.25">
      <c r="B13" s="46">
        <v>11280220</v>
      </c>
      <c r="C13" s="63" t="s">
        <v>1400</v>
      </c>
      <c r="D13" s="61" t="s">
        <v>1518</v>
      </c>
      <c r="E13" s="54" t="s">
        <v>1513</v>
      </c>
    </row>
    <row r="14" spans="2:5" x14ac:dyDescent="0.25">
      <c r="B14" s="46">
        <v>11280290</v>
      </c>
      <c r="C14" s="63" t="s">
        <v>1436</v>
      </c>
      <c r="D14" s="61" t="s">
        <v>1518</v>
      </c>
      <c r="E14" s="54" t="s">
        <v>1513</v>
      </c>
    </row>
    <row r="15" spans="2:5" x14ac:dyDescent="0.25">
      <c r="B15" s="58">
        <v>12120100</v>
      </c>
      <c r="C15" s="62" t="s">
        <v>1405</v>
      </c>
      <c r="D15" s="61" t="s">
        <v>1517</v>
      </c>
      <c r="E15" s="54" t="s">
        <v>1512</v>
      </c>
    </row>
    <row r="16" spans="2:5" ht="30" x14ac:dyDescent="0.25">
      <c r="B16" s="58">
        <v>12120110</v>
      </c>
      <c r="C16" s="62" t="s">
        <v>1406</v>
      </c>
      <c r="D16" s="61" t="s">
        <v>1517</v>
      </c>
      <c r="E16" s="54" t="s">
        <v>1512</v>
      </c>
    </row>
    <row r="17" spans="2:5" ht="30" x14ac:dyDescent="0.25">
      <c r="B17" s="58">
        <v>12120120</v>
      </c>
      <c r="C17" s="62" t="s">
        <v>1411</v>
      </c>
      <c r="D17" s="61" t="s">
        <v>1518</v>
      </c>
      <c r="E17" s="54" t="s">
        <v>1512</v>
      </c>
    </row>
    <row r="18" spans="2:5" x14ac:dyDescent="0.25">
      <c r="B18" s="39">
        <v>12120200</v>
      </c>
      <c r="C18" s="64" t="s">
        <v>1054</v>
      </c>
      <c r="D18" s="61" t="s">
        <v>1519</v>
      </c>
      <c r="E18" s="54" t="s">
        <v>1512</v>
      </c>
    </row>
    <row r="19" spans="2:5" x14ac:dyDescent="0.25">
      <c r="B19" s="39">
        <v>12120210</v>
      </c>
      <c r="C19" s="64" t="s">
        <v>1054</v>
      </c>
      <c r="D19" s="61" t="s">
        <v>1519</v>
      </c>
      <c r="E19" s="54" t="s">
        <v>1512</v>
      </c>
    </row>
    <row r="20" spans="2:5" ht="30" x14ac:dyDescent="0.25">
      <c r="B20" s="39">
        <v>12120300</v>
      </c>
      <c r="C20" s="64" t="s">
        <v>1055</v>
      </c>
      <c r="D20" s="61" t="s">
        <v>1519</v>
      </c>
      <c r="E20" s="54" t="s">
        <v>1512</v>
      </c>
    </row>
    <row r="21" spans="2:5" ht="30" x14ac:dyDescent="0.25">
      <c r="B21" s="39">
        <v>12120310</v>
      </c>
      <c r="C21" s="64" t="s">
        <v>1055</v>
      </c>
      <c r="D21" s="61" t="s">
        <v>1519</v>
      </c>
      <c r="E21" s="54" t="s">
        <v>1512</v>
      </c>
    </row>
    <row r="22" spans="2:5" ht="30" x14ac:dyDescent="0.25">
      <c r="B22" s="39">
        <v>12120400</v>
      </c>
      <c r="C22" s="64" t="s">
        <v>1056</v>
      </c>
      <c r="D22" s="61" t="s">
        <v>1519</v>
      </c>
      <c r="E22" s="54" t="s">
        <v>1512</v>
      </c>
    </row>
    <row r="23" spans="2:5" ht="30" x14ac:dyDescent="0.25">
      <c r="B23" s="39">
        <v>12120410</v>
      </c>
      <c r="C23" s="64" t="s">
        <v>1056</v>
      </c>
      <c r="D23" s="61" t="s">
        <v>1519</v>
      </c>
      <c r="E23" s="54" t="s">
        <v>1512</v>
      </c>
    </row>
    <row r="24" spans="2:5" ht="45" x14ac:dyDescent="0.25">
      <c r="B24" s="39">
        <v>12120500</v>
      </c>
      <c r="C24" s="64" t="s">
        <v>1057</v>
      </c>
      <c r="D24" s="61" t="s">
        <v>1519</v>
      </c>
      <c r="E24" s="54" t="s">
        <v>1512</v>
      </c>
    </row>
    <row r="25" spans="2:5" ht="45" x14ac:dyDescent="0.25">
      <c r="B25" s="39">
        <v>12120510</v>
      </c>
      <c r="C25" s="64" t="s">
        <v>1057</v>
      </c>
      <c r="D25" s="61" t="s">
        <v>1519</v>
      </c>
      <c r="E25" s="54" t="s">
        <v>1512</v>
      </c>
    </row>
    <row r="26" spans="2:5" ht="45" x14ac:dyDescent="0.25">
      <c r="B26" s="39">
        <v>12120600</v>
      </c>
      <c r="C26" s="64" t="s">
        <v>1058</v>
      </c>
      <c r="D26" s="61" t="s">
        <v>1519</v>
      </c>
      <c r="E26" s="54" t="s">
        <v>1512</v>
      </c>
    </row>
    <row r="27" spans="2:5" ht="45" x14ac:dyDescent="0.25">
      <c r="B27" s="39">
        <v>12120610</v>
      </c>
      <c r="C27" s="64" t="s">
        <v>1058</v>
      </c>
      <c r="D27" s="61" t="s">
        <v>1519</v>
      </c>
      <c r="E27" s="54" t="s">
        <v>1512</v>
      </c>
    </row>
    <row r="28" spans="2:5" ht="30" x14ac:dyDescent="0.25">
      <c r="B28" s="39">
        <v>12120700</v>
      </c>
      <c r="C28" s="64" t="s">
        <v>1059</v>
      </c>
      <c r="D28" s="61" t="s">
        <v>1519</v>
      </c>
      <c r="E28" s="54" t="s">
        <v>1512</v>
      </c>
    </row>
    <row r="29" spans="2:5" ht="30" x14ac:dyDescent="0.25">
      <c r="B29" s="39">
        <v>12120710</v>
      </c>
      <c r="C29" s="64" t="s">
        <v>1059</v>
      </c>
      <c r="D29" s="61" t="s">
        <v>1519</v>
      </c>
      <c r="E29" s="54" t="s">
        <v>1512</v>
      </c>
    </row>
    <row r="30" spans="2:5" ht="30" x14ac:dyDescent="0.25">
      <c r="B30" s="39">
        <v>12120800</v>
      </c>
      <c r="C30" s="64" t="s">
        <v>1060</v>
      </c>
      <c r="D30" s="61" t="s">
        <v>1519</v>
      </c>
      <c r="E30" s="54" t="s">
        <v>1512</v>
      </c>
    </row>
    <row r="31" spans="2:5" ht="30" x14ac:dyDescent="0.25">
      <c r="B31" s="39">
        <v>12120810</v>
      </c>
      <c r="C31" s="64" t="s">
        <v>1060</v>
      </c>
      <c r="D31" s="61" t="s">
        <v>1519</v>
      </c>
      <c r="E31" s="54" t="s">
        <v>1512</v>
      </c>
    </row>
    <row r="32" spans="2:5" ht="30" x14ac:dyDescent="0.25">
      <c r="B32" s="39">
        <v>12120900</v>
      </c>
      <c r="C32" s="64" t="s">
        <v>1061</v>
      </c>
      <c r="D32" s="61" t="s">
        <v>1519</v>
      </c>
      <c r="E32" s="54" t="s">
        <v>1512</v>
      </c>
    </row>
    <row r="33" spans="2:5" ht="30" x14ac:dyDescent="0.25">
      <c r="B33" s="39">
        <v>12120910</v>
      </c>
      <c r="C33" s="64" t="s">
        <v>1061</v>
      </c>
      <c r="D33" s="61" t="s">
        <v>1519</v>
      </c>
      <c r="E33" s="54" t="s">
        <v>1512</v>
      </c>
    </row>
    <row r="34" spans="2:5" ht="30" x14ac:dyDescent="0.25">
      <c r="B34" s="39">
        <v>12121000</v>
      </c>
      <c r="C34" s="64" t="s">
        <v>1062</v>
      </c>
      <c r="D34" s="61" t="s">
        <v>1519</v>
      </c>
      <c r="E34" s="54" t="s">
        <v>1512</v>
      </c>
    </row>
    <row r="35" spans="2:5" ht="30" x14ac:dyDescent="0.25">
      <c r="B35" s="39">
        <v>12121010</v>
      </c>
      <c r="C35" s="64" t="s">
        <v>1062</v>
      </c>
      <c r="D35" s="61" t="s">
        <v>1519</v>
      </c>
      <c r="E35" s="54" t="s">
        <v>1512</v>
      </c>
    </row>
    <row r="36" spans="2:5" ht="45" x14ac:dyDescent="0.25">
      <c r="B36" s="39">
        <v>12121100</v>
      </c>
      <c r="C36" s="64" t="s">
        <v>1063</v>
      </c>
      <c r="D36" s="61" t="s">
        <v>1519</v>
      </c>
      <c r="E36" s="54" t="s">
        <v>1512</v>
      </c>
    </row>
    <row r="37" spans="2:5" ht="45" x14ac:dyDescent="0.25">
      <c r="B37" s="39">
        <v>12121110</v>
      </c>
      <c r="C37" s="64" t="s">
        <v>1063</v>
      </c>
      <c r="D37" s="61" t="s">
        <v>1519</v>
      </c>
      <c r="E37" s="54" t="s">
        <v>1512</v>
      </c>
    </row>
    <row r="38" spans="2:5" ht="45" x14ac:dyDescent="0.25">
      <c r="B38" s="39">
        <v>12121200</v>
      </c>
      <c r="C38" s="64" t="s">
        <v>1064</v>
      </c>
      <c r="D38" s="61" t="s">
        <v>1519</v>
      </c>
      <c r="E38" s="54" t="s">
        <v>1512</v>
      </c>
    </row>
    <row r="39" spans="2:5" ht="45" x14ac:dyDescent="0.25">
      <c r="B39" s="39">
        <v>12121210</v>
      </c>
      <c r="C39" s="64" t="s">
        <v>1064</v>
      </c>
      <c r="D39" s="61" t="s">
        <v>1519</v>
      </c>
      <c r="E39" s="54" t="s">
        <v>1512</v>
      </c>
    </row>
    <row r="40" spans="2:5" x14ac:dyDescent="0.25">
      <c r="B40" s="58">
        <v>12130100</v>
      </c>
      <c r="C40" s="62" t="s">
        <v>384</v>
      </c>
      <c r="D40" s="61" t="s">
        <v>1517</v>
      </c>
      <c r="E40" s="54" t="s">
        <v>1512</v>
      </c>
    </row>
    <row r="41" spans="2:5" ht="30" x14ac:dyDescent="0.25">
      <c r="B41" s="58">
        <v>12130110</v>
      </c>
      <c r="C41" s="62" t="s">
        <v>1403</v>
      </c>
      <c r="D41" s="61" t="s">
        <v>1517</v>
      </c>
      <c r="E41" s="54" t="s">
        <v>1512</v>
      </c>
    </row>
    <row r="42" spans="2:5" ht="30" x14ac:dyDescent="0.25">
      <c r="B42" s="58">
        <v>12130120</v>
      </c>
      <c r="C42" s="62" t="s">
        <v>1409</v>
      </c>
      <c r="D42" s="61" t="s">
        <v>1518</v>
      </c>
      <c r="E42" s="54" t="s">
        <v>1512</v>
      </c>
    </row>
    <row r="43" spans="2:5" ht="30" x14ac:dyDescent="0.25">
      <c r="B43" s="39">
        <v>12130200</v>
      </c>
      <c r="C43" s="64" t="s">
        <v>1066</v>
      </c>
      <c r="D43" s="61" t="s">
        <v>1519</v>
      </c>
      <c r="E43" s="54" t="s">
        <v>1512</v>
      </c>
    </row>
    <row r="44" spans="2:5" ht="30" x14ac:dyDescent="0.25">
      <c r="B44" s="39">
        <v>12130210</v>
      </c>
      <c r="C44" s="64" t="s">
        <v>1066</v>
      </c>
      <c r="D44" s="61" t="s">
        <v>1519</v>
      </c>
      <c r="E44" s="54" t="s">
        <v>1512</v>
      </c>
    </row>
    <row r="45" spans="2:5" ht="30" x14ac:dyDescent="0.25">
      <c r="B45" s="39">
        <v>12130300</v>
      </c>
      <c r="C45" s="64" t="s">
        <v>1067</v>
      </c>
      <c r="D45" s="61" t="s">
        <v>1519</v>
      </c>
      <c r="E45" s="54" t="s">
        <v>1512</v>
      </c>
    </row>
    <row r="46" spans="2:5" ht="30" x14ac:dyDescent="0.25">
      <c r="B46" s="39">
        <v>12130310</v>
      </c>
      <c r="C46" s="64" t="s">
        <v>1067</v>
      </c>
      <c r="D46" s="61" t="s">
        <v>1519</v>
      </c>
      <c r="E46" s="54" t="s">
        <v>1512</v>
      </c>
    </row>
    <row r="47" spans="2:5" ht="30" x14ac:dyDescent="0.25">
      <c r="B47" s="39">
        <v>12139900</v>
      </c>
      <c r="C47" s="64" t="s">
        <v>1069</v>
      </c>
      <c r="D47" s="61" t="s">
        <v>1519</v>
      </c>
      <c r="E47" s="54" t="s">
        <v>1512</v>
      </c>
    </row>
    <row r="48" spans="2:5" ht="30" x14ac:dyDescent="0.25">
      <c r="B48" s="39">
        <v>12139910</v>
      </c>
      <c r="C48" s="64" t="s">
        <v>1069</v>
      </c>
      <c r="D48" s="61" t="s">
        <v>1519</v>
      </c>
      <c r="E48" s="54" t="s">
        <v>1512</v>
      </c>
    </row>
    <row r="49" spans="2:5" x14ac:dyDescent="0.25">
      <c r="B49" s="58">
        <v>12140100</v>
      </c>
      <c r="C49" s="62" t="s">
        <v>1486</v>
      </c>
      <c r="D49" s="61" t="s">
        <v>1517</v>
      </c>
      <c r="E49" s="54" t="s">
        <v>1512</v>
      </c>
    </row>
    <row r="50" spans="2:5" ht="30" x14ac:dyDescent="0.25">
      <c r="B50" s="58">
        <v>12140110</v>
      </c>
      <c r="C50" s="62" t="s">
        <v>1487</v>
      </c>
      <c r="D50" s="61" t="s">
        <v>1517</v>
      </c>
      <c r="E50" s="54" t="s">
        <v>1512</v>
      </c>
    </row>
    <row r="51" spans="2:5" ht="30" x14ac:dyDescent="0.25">
      <c r="B51" s="58">
        <v>12140120</v>
      </c>
      <c r="C51" s="62" t="s">
        <v>1456</v>
      </c>
      <c r="D51" s="61" t="s">
        <v>1518</v>
      </c>
      <c r="E51" s="54" t="s">
        <v>1512</v>
      </c>
    </row>
    <row r="52" spans="2:5" x14ac:dyDescent="0.25">
      <c r="B52" s="58">
        <v>12140200</v>
      </c>
      <c r="C52" s="62" t="s">
        <v>1490</v>
      </c>
      <c r="D52" s="61" t="s">
        <v>1517</v>
      </c>
      <c r="E52" s="54" t="s">
        <v>1512</v>
      </c>
    </row>
    <row r="53" spans="2:5" x14ac:dyDescent="0.25">
      <c r="B53" s="58">
        <v>12140210</v>
      </c>
      <c r="C53" s="62" t="s">
        <v>1490</v>
      </c>
      <c r="D53" s="61" t="s">
        <v>1517</v>
      </c>
      <c r="E53" s="54" t="s">
        <v>1512</v>
      </c>
    </row>
    <row r="54" spans="2:5" x14ac:dyDescent="0.25">
      <c r="B54" s="39">
        <v>12140300</v>
      </c>
      <c r="C54" s="64" t="s">
        <v>1070</v>
      </c>
      <c r="D54" s="61" t="s">
        <v>1519</v>
      </c>
      <c r="E54" s="54" t="s">
        <v>1512</v>
      </c>
    </row>
    <row r="55" spans="2:5" x14ac:dyDescent="0.25">
      <c r="B55" s="39">
        <v>12140310</v>
      </c>
      <c r="C55" s="64" t="s">
        <v>1071</v>
      </c>
      <c r="D55" s="61" t="s">
        <v>1519</v>
      </c>
      <c r="E55" s="54" t="s">
        <v>1512</v>
      </c>
    </row>
    <row r="56" spans="2:5" x14ac:dyDescent="0.25">
      <c r="B56" s="39">
        <v>12140320</v>
      </c>
      <c r="C56" s="64" t="s">
        <v>1072</v>
      </c>
      <c r="D56" s="61" t="s">
        <v>1519</v>
      </c>
      <c r="E56" s="54" t="s">
        <v>1512</v>
      </c>
    </row>
    <row r="57" spans="2:5" x14ac:dyDescent="0.25">
      <c r="B57" s="39">
        <v>12140330</v>
      </c>
      <c r="C57" s="64" t="s">
        <v>1073</v>
      </c>
      <c r="D57" s="61" t="s">
        <v>1519</v>
      </c>
      <c r="E57" s="54" t="s">
        <v>1512</v>
      </c>
    </row>
    <row r="58" spans="2:5" x14ac:dyDescent="0.25">
      <c r="B58" s="39">
        <v>12140340</v>
      </c>
      <c r="C58" s="64" t="s">
        <v>1074</v>
      </c>
      <c r="D58" s="61" t="s">
        <v>1519</v>
      </c>
      <c r="E58" s="54" t="s">
        <v>1512</v>
      </c>
    </row>
    <row r="59" spans="2:5" x14ac:dyDescent="0.25">
      <c r="B59" s="39">
        <v>12140350</v>
      </c>
      <c r="C59" s="64" t="s">
        <v>1075</v>
      </c>
      <c r="D59" s="61" t="s">
        <v>1519</v>
      </c>
      <c r="E59" s="54" t="s">
        <v>1512</v>
      </c>
    </row>
    <row r="60" spans="2:5" x14ac:dyDescent="0.25">
      <c r="B60" s="39">
        <v>12140400</v>
      </c>
      <c r="C60" s="64" t="s">
        <v>1076</v>
      </c>
      <c r="D60" s="61" t="s">
        <v>1519</v>
      </c>
      <c r="E60" s="54" t="s">
        <v>1512</v>
      </c>
    </row>
    <row r="61" spans="2:5" x14ac:dyDescent="0.25">
      <c r="B61" s="39">
        <v>12140410</v>
      </c>
      <c r="C61" s="64" t="s">
        <v>1076</v>
      </c>
      <c r="D61" s="61" t="s">
        <v>1519</v>
      </c>
      <c r="E61" s="54" t="s">
        <v>1512</v>
      </c>
    </row>
    <row r="62" spans="2:5" ht="30" x14ac:dyDescent="0.25">
      <c r="B62" s="39">
        <v>13330010</v>
      </c>
      <c r="C62" s="64" t="s">
        <v>489</v>
      </c>
      <c r="D62" s="61" t="s">
        <v>1519</v>
      </c>
      <c r="E62" s="54" t="s">
        <v>1512</v>
      </c>
    </row>
    <row r="63" spans="2:5" ht="30" x14ac:dyDescent="0.25">
      <c r="B63" s="39">
        <v>13330020</v>
      </c>
      <c r="C63" s="64" t="s">
        <v>490</v>
      </c>
      <c r="D63" s="61" t="s">
        <v>1519</v>
      </c>
      <c r="E63" s="54" t="s">
        <v>1512</v>
      </c>
    </row>
    <row r="64" spans="2:5" ht="30" x14ac:dyDescent="0.25">
      <c r="B64" s="39">
        <v>13330030</v>
      </c>
      <c r="C64" s="64" t="s">
        <v>492</v>
      </c>
      <c r="D64" s="61" t="s">
        <v>1519</v>
      </c>
      <c r="E64" s="54" t="s">
        <v>1512</v>
      </c>
    </row>
    <row r="65" spans="2:5" x14ac:dyDescent="0.25">
      <c r="B65" s="39">
        <v>13330040</v>
      </c>
      <c r="C65" s="64" t="s">
        <v>494</v>
      </c>
      <c r="D65" s="61" t="s">
        <v>1519</v>
      </c>
      <c r="E65" s="54" t="s">
        <v>1512</v>
      </c>
    </row>
    <row r="66" spans="2:5" x14ac:dyDescent="0.25">
      <c r="B66" s="39">
        <v>13330050</v>
      </c>
      <c r="C66" s="64" t="s">
        <v>496</v>
      </c>
      <c r="D66" s="61" t="s">
        <v>1519</v>
      </c>
      <c r="E66" s="54" t="s">
        <v>1512</v>
      </c>
    </row>
    <row r="67" spans="2:5" ht="30" x14ac:dyDescent="0.25">
      <c r="B67" s="39">
        <v>13330060</v>
      </c>
      <c r="C67" s="64" t="s">
        <v>498</v>
      </c>
      <c r="D67" s="61" t="s">
        <v>1519</v>
      </c>
      <c r="E67" s="54" t="s">
        <v>1512</v>
      </c>
    </row>
    <row r="68" spans="2:5" ht="30" x14ac:dyDescent="0.25">
      <c r="B68" s="39">
        <v>13330070</v>
      </c>
      <c r="C68" s="64" t="s">
        <v>500</v>
      </c>
      <c r="D68" s="61" t="s">
        <v>1519</v>
      </c>
      <c r="E68" s="54" t="s">
        <v>1512</v>
      </c>
    </row>
    <row r="69" spans="2:5" x14ac:dyDescent="0.25">
      <c r="B69" s="39">
        <v>13330090</v>
      </c>
      <c r="C69" s="64" t="s">
        <v>502</v>
      </c>
      <c r="D69" s="61" t="s">
        <v>1519</v>
      </c>
      <c r="E69" s="54" t="s">
        <v>1512</v>
      </c>
    </row>
    <row r="70" spans="2:5" ht="30" x14ac:dyDescent="0.25">
      <c r="B70" s="58">
        <v>13330100</v>
      </c>
      <c r="C70" s="62" t="s">
        <v>489</v>
      </c>
      <c r="D70" s="61" t="s">
        <v>1518</v>
      </c>
      <c r="E70" s="54" t="s">
        <v>1512</v>
      </c>
    </row>
    <row r="71" spans="2:5" ht="45" x14ac:dyDescent="0.25">
      <c r="B71" s="58">
        <v>13330110</v>
      </c>
      <c r="C71" s="62" t="s">
        <v>1376</v>
      </c>
      <c r="D71" s="61" t="s">
        <v>1518</v>
      </c>
      <c r="E71" s="54" t="s">
        <v>1512</v>
      </c>
    </row>
    <row r="72" spans="2:5" ht="45" x14ac:dyDescent="0.25">
      <c r="B72" s="58">
        <v>13330120</v>
      </c>
      <c r="C72" s="62" t="s">
        <v>1377</v>
      </c>
      <c r="D72" s="61" t="s">
        <v>1518</v>
      </c>
      <c r="E72" s="54" t="s">
        <v>1512</v>
      </c>
    </row>
    <row r="73" spans="2:5" ht="30" x14ac:dyDescent="0.25">
      <c r="B73" s="58">
        <v>13330200</v>
      </c>
      <c r="C73" s="62" t="s">
        <v>490</v>
      </c>
      <c r="D73" s="61" t="s">
        <v>1518</v>
      </c>
      <c r="E73" s="54" t="s">
        <v>1512</v>
      </c>
    </row>
    <row r="74" spans="2:5" ht="45" x14ac:dyDescent="0.25">
      <c r="B74" s="58">
        <v>13330210</v>
      </c>
      <c r="C74" s="62" t="s">
        <v>1378</v>
      </c>
      <c r="D74" s="61" t="s">
        <v>1518</v>
      </c>
      <c r="E74" s="54" t="s">
        <v>1512</v>
      </c>
    </row>
    <row r="75" spans="2:5" ht="45" x14ac:dyDescent="0.25">
      <c r="B75" s="58">
        <v>13330220</v>
      </c>
      <c r="C75" s="62" t="s">
        <v>1379</v>
      </c>
      <c r="D75" s="61" t="s">
        <v>1518</v>
      </c>
      <c r="E75" s="54" t="s">
        <v>1512</v>
      </c>
    </row>
    <row r="76" spans="2:5" ht="30" x14ac:dyDescent="0.25">
      <c r="B76" s="58">
        <v>13330300</v>
      </c>
      <c r="C76" s="62" t="s">
        <v>492</v>
      </c>
      <c r="D76" s="61" t="s">
        <v>1518</v>
      </c>
      <c r="E76" s="54" t="s">
        <v>1512</v>
      </c>
    </row>
    <row r="77" spans="2:5" ht="30" x14ac:dyDescent="0.25">
      <c r="B77" s="58">
        <v>13330310</v>
      </c>
      <c r="C77" s="62" t="s">
        <v>1380</v>
      </c>
      <c r="D77" s="61" t="s">
        <v>1518</v>
      </c>
      <c r="E77" s="54" t="s">
        <v>1512</v>
      </c>
    </row>
    <row r="78" spans="2:5" ht="30" x14ac:dyDescent="0.25">
      <c r="B78" s="58">
        <v>13330320</v>
      </c>
      <c r="C78" s="62" t="s">
        <v>1381</v>
      </c>
      <c r="D78" s="61" t="s">
        <v>1518</v>
      </c>
      <c r="E78" s="54" t="s">
        <v>1512</v>
      </c>
    </row>
    <row r="79" spans="2:5" x14ac:dyDescent="0.25">
      <c r="B79" s="58">
        <v>13330400</v>
      </c>
      <c r="C79" s="62" t="s">
        <v>494</v>
      </c>
      <c r="D79" s="61" t="s">
        <v>1518</v>
      </c>
      <c r="E79" s="54" t="s">
        <v>1512</v>
      </c>
    </row>
    <row r="80" spans="2:5" ht="30" x14ac:dyDescent="0.25">
      <c r="B80" s="58">
        <v>13330410</v>
      </c>
      <c r="C80" s="62" t="s">
        <v>1382</v>
      </c>
      <c r="D80" s="61" t="s">
        <v>1518</v>
      </c>
      <c r="E80" s="54" t="s">
        <v>1512</v>
      </c>
    </row>
    <row r="81" spans="2:5" ht="30" x14ac:dyDescent="0.25">
      <c r="B81" s="58">
        <v>13330420</v>
      </c>
      <c r="C81" s="62" t="s">
        <v>1383</v>
      </c>
      <c r="D81" s="61" t="s">
        <v>1518</v>
      </c>
      <c r="E81" s="54" t="s">
        <v>1512</v>
      </c>
    </row>
    <row r="82" spans="2:5" x14ac:dyDescent="0.25">
      <c r="B82" s="58">
        <v>13330500</v>
      </c>
      <c r="C82" s="62" t="s">
        <v>496</v>
      </c>
      <c r="D82" s="61" t="s">
        <v>1518</v>
      </c>
      <c r="E82" s="54" t="s">
        <v>1512</v>
      </c>
    </row>
    <row r="83" spans="2:5" x14ac:dyDescent="0.25">
      <c r="B83" s="58">
        <v>13330510</v>
      </c>
      <c r="C83" s="62" t="s">
        <v>496</v>
      </c>
      <c r="D83" s="61" t="s">
        <v>1518</v>
      </c>
      <c r="E83" s="54" t="s">
        <v>1512</v>
      </c>
    </row>
    <row r="84" spans="2:5" ht="30" x14ac:dyDescent="0.25">
      <c r="B84" s="58">
        <v>13330600</v>
      </c>
      <c r="C84" s="62" t="s">
        <v>498</v>
      </c>
      <c r="D84" s="61" t="s">
        <v>1518</v>
      </c>
      <c r="E84" s="54" t="s">
        <v>1512</v>
      </c>
    </row>
    <row r="85" spans="2:5" ht="45" x14ac:dyDescent="0.25">
      <c r="B85" s="58">
        <v>13330610</v>
      </c>
      <c r="C85" s="62" t="s">
        <v>1384</v>
      </c>
      <c r="D85" s="61" t="s">
        <v>1518</v>
      </c>
      <c r="E85" s="54" t="s">
        <v>1512</v>
      </c>
    </row>
    <row r="86" spans="2:5" ht="45" x14ac:dyDescent="0.25">
      <c r="B86" s="58">
        <v>13330620</v>
      </c>
      <c r="C86" s="62" t="s">
        <v>1385</v>
      </c>
      <c r="D86" s="61" t="s">
        <v>1518</v>
      </c>
      <c r="E86" s="54" t="s">
        <v>1512</v>
      </c>
    </row>
    <row r="87" spans="2:5" ht="30" x14ac:dyDescent="0.25">
      <c r="B87" s="58">
        <v>13330700</v>
      </c>
      <c r="C87" s="62" t="s">
        <v>500</v>
      </c>
      <c r="D87" s="61" t="s">
        <v>1518</v>
      </c>
      <c r="E87" s="54" t="s">
        <v>1512</v>
      </c>
    </row>
    <row r="88" spans="2:5" ht="30" x14ac:dyDescent="0.25">
      <c r="B88" s="58">
        <v>13330710</v>
      </c>
      <c r="C88" s="62" t="s">
        <v>500</v>
      </c>
      <c r="D88" s="61" t="s">
        <v>1518</v>
      </c>
      <c r="E88" s="54" t="s">
        <v>1512</v>
      </c>
    </row>
    <row r="89" spans="2:5" x14ac:dyDescent="0.25">
      <c r="B89" s="58">
        <v>13334900</v>
      </c>
      <c r="C89" s="62" t="s">
        <v>502</v>
      </c>
      <c r="D89" s="61" t="s">
        <v>1518</v>
      </c>
      <c r="E89" s="54" t="s">
        <v>1512</v>
      </c>
    </row>
    <row r="90" spans="2:5" ht="30" x14ac:dyDescent="0.25">
      <c r="B90" s="58">
        <v>13334910</v>
      </c>
      <c r="C90" s="62" t="s">
        <v>1386</v>
      </c>
      <c r="D90" s="61" t="s">
        <v>1518</v>
      </c>
      <c r="E90" s="54" t="s">
        <v>1512</v>
      </c>
    </row>
    <row r="91" spans="2:5" ht="30" x14ac:dyDescent="0.25">
      <c r="B91" s="58">
        <v>13334920</v>
      </c>
      <c r="C91" s="62" t="s">
        <v>1387</v>
      </c>
      <c r="D91" s="61" t="s">
        <v>1518</v>
      </c>
      <c r="E91" s="54" t="s">
        <v>1512</v>
      </c>
    </row>
    <row r="92" spans="2:5" x14ac:dyDescent="0.25">
      <c r="B92" s="39">
        <v>13390100</v>
      </c>
      <c r="C92" s="64" t="s">
        <v>504</v>
      </c>
      <c r="D92" s="61" t="s">
        <v>1519</v>
      </c>
      <c r="E92" s="54" t="s">
        <v>1512</v>
      </c>
    </row>
    <row r="93" spans="2:5" x14ac:dyDescent="0.25">
      <c r="B93" s="39">
        <v>13390110</v>
      </c>
      <c r="C93" s="64" t="s">
        <v>504</v>
      </c>
      <c r="D93" s="61" t="s">
        <v>1519</v>
      </c>
      <c r="E93" s="54" t="s">
        <v>1512</v>
      </c>
    </row>
    <row r="94" spans="2:5" x14ac:dyDescent="0.25">
      <c r="B94" s="58">
        <v>16100500</v>
      </c>
      <c r="C94" s="62" t="s">
        <v>1390</v>
      </c>
      <c r="D94" s="61" t="s">
        <v>1518</v>
      </c>
      <c r="E94" s="54" t="s">
        <v>1512</v>
      </c>
    </row>
    <row r="95" spans="2:5" x14ac:dyDescent="0.25">
      <c r="B95" s="58">
        <v>16100510</v>
      </c>
      <c r="C95" s="62" t="s">
        <v>1390</v>
      </c>
      <c r="D95" s="61" t="s">
        <v>1518</v>
      </c>
      <c r="E95" s="54" t="s">
        <v>1512</v>
      </c>
    </row>
    <row r="96" spans="2:5" x14ac:dyDescent="0.25">
      <c r="B96" s="39">
        <v>17180800</v>
      </c>
      <c r="C96" s="64" t="s">
        <v>936</v>
      </c>
      <c r="D96" s="61" t="s">
        <v>1519</v>
      </c>
      <c r="E96" s="54" t="s">
        <v>1513</v>
      </c>
    </row>
    <row r="97" spans="2:5" x14ac:dyDescent="0.25">
      <c r="B97" s="39">
        <v>17180810</v>
      </c>
      <c r="C97" s="64" t="s">
        <v>936</v>
      </c>
      <c r="D97" s="61" t="s">
        <v>1519</v>
      </c>
      <c r="E97" s="54" t="s">
        <v>1513</v>
      </c>
    </row>
    <row r="98" spans="2:5" x14ac:dyDescent="0.25">
      <c r="B98" s="46">
        <v>17180550</v>
      </c>
      <c r="C98" s="63" t="s">
        <v>1438</v>
      </c>
      <c r="D98" s="61" t="s">
        <v>1518</v>
      </c>
      <c r="E98" s="54" t="s">
        <v>1513</v>
      </c>
    </row>
    <row r="99" spans="2:5" x14ac:dyDescent="0.25">
      <c r="B99" s="46">
        <v>17180560</v>
      </c>
      <c r="C99" s="63" t="s">
        <v>1439</v>
      </c>
      <c r="D99" s="61" t="s">
        <v>1518</v>
      </c>
      <c r="E99" s="54" t="s">
        <v>1513</v>
      </c>
    </row>
    <row r="100" spans="2:5" x14ac:dyDescent="0.25">
      <c r="B100" s="46">
        <v>17180570</v>
      </c>
      <c r="C100" s="63" t="s">
        <v>1440</v>
      </c>
      <c r="D100" s="61" t="s">
        <v>1518</v>
      </c>
      <c r="E100" s="54" t="s">
        <v>1513</v>
      </c>
    </row>
    <row r="101" spans="2:5" ht="30" x14ac:dyDescent="0.25">
      <c r="B101" s="46">
        <v>17180580</v>
      </c>
      <c r="C101" s="63" t="s">
        <v>1441</v>
      </c>
      <c r="D101" s="61" t="s">
        <v>1518</v>
      </c>
      <c r="E101" s="54" t="s">
        <v>1513</v>
      </c>
    </row>
    <row r="102" spans="2:5" ht="45" x14ac:dyDescent="0.25">
      <c r="B102" s="46">
        <v>17181300</v>
      </c>
      <c r="C102" s="63" t="s">
        <v>1375</v>
      </c>
      <c r="D102" s="61" t="s">
        <v>1518</v>
      </c>
      <c r="E102" s="54" t="s">
        <v>1513</v>
      </c>
    </row>
    <row r="103" spans="2:5" ht="45" x14ac:dyDescent="0.25">
      <c r="B103" s="46">
        <v>17181310</v>
      </c>
      <c r="C103" s="63" t="s">
        <v>1375</v>
      </c>
      <c r="D103" s="61" t="s">
        <v>1518</v>
      </c>
      <c r="E103" s="54" t="s">
        <v>1513</v>
      </c>
    </row>
    <row r="104" spans="2:5" ht="30" x14ac:dyDescent="0.25">
      <c r="B104" s="46">
        <v>17480120</v>
      </c>
      <c r="C104" s="63" t="s">
        <v>1415</v>
      </c>
      <c r="D104" s="61" t="s">
        <v>1518</v>
      </c>
      <c r="E104" s="54" t="s">
        <v>1513</v>
      </c>
    </row>
    <row r="105" spans="2:5" x14ac:dyDescent="0.25">
      <c r="B105" s="46">
        <v>17480190</v>
      </c>
      <c r="C105" s="63" t="s">
        <v>1431</v>
      </c>
      <c r="D105" s="61" t="s">
        <v>1518</v>
      </c>
      <c r="E105" s="54" t="s">
        <v>1513</v>
      </c>
    </row>
    <row r="106" spans="2:5" x14ac:dyDescent="0.25">
      <c r="B106" s="46">
        <v>17680120</v>
      </c>
      <c r="C106" s="63" t="s">
        <v>1417</v>
      </c>
      <c r="D106" s="61" t="s">
        <v>1518</v>
      </c>
      <c r="E106" s="54" t="s">
        <v>1513</v>
      </c>
    </row>
    <row r="107" spans="2:5" ht="30" x14ac:dyDescent="0.25">
      <c r="B107" s="46">
        <v>17680190</v>
      </c>
      <c r="C107" s="63" t="s">
        <v>997</v>
      </c>
      <c r="D107" s="61" t="s">
        <v>1518</v>
      </c>
      <c r="E107" s="54" t="s">
        <v>1513</v>
      </c>
    </row>
    <row r="108" spans="2:5" ht="30" x14ac:dyDescent="0.25">
      <c r="B108" s="39">
        <v>17681010</v>
      </c>
      <c r="C108" s="64" t="s">
        <v>997</v>
      </c>
      <c r="D108" s="61" t="s">
        <v>1519</v>
      </c>
      <c r="E108" s="54" t="s">
        <v>1513</v>
      </c>
    </row>
    <row r="109" spans="2:5" ht="30" x14ac:dyDescent="0.25">
      <c r="B109" s="46">
        <v>17780120</v>
      </c>
      <c r="C109" s="63" t="s">
        <v>1421</v>
      </c>
      <c r="D109" s="61" t="s">
        <v>1518</v>
      </c>
      <c r="E109" s="54" t="s">
        <v>1513</v>
      </c>
    </row>
    <row r="110" spans="2:5" ht="30" x14ac:dyDescent="0.25">
      <c r="B110" s="46">
        <v>17780190</v>
      </c>
      <c r="C110" s="63" t="s">
        <v>1335</v>
      </c>
      <c r="D110" s="61" t="s">
        <v>1518</v>
      </c>
      <c r="E110" s="54" t="s">
        <v>1513</v>
      </c>
    </row>
    <row r="111" spans="2:5" ht="30" x14ac:dyDescent="0.25">
      <c r="B111" s="39">
        <v>17781010</v>
      </c>
      <c r="C111" s="64" t="s">
        <v>1335</v>
      </c>
      <c r="D111" s="61" t="s">
        <v>1519</v>
      </c>
      <c r="E111" s="54" t="s">
        <v>1513</v>
      </c>
    </row>
    <row r="112" spans="2:5" x14ac:dyDescent="0.25">
      <c r="B112" s="58">
        <v>19100210</v>
      </c>
      <c r="C112" s="76" t="s">
        <v>204</v>
      </c>
      <c r="D112" s="61" t="s">
        <v>1517</v>
      </c>
      <c r="E112" s="54" t="s">
        <v>1512</v>
      </c>
    </row>
    <row r="113" spans="2:5" ht="30" x14ac:dyDescent="0.25">
      <c r="B113" s="58">
        <v>19100220</v>
      </c>
      <c r="C113" s="62" t="s">
        <v>1391</v>
      </c>
      <c r="D113" s="61" t="s">
        <v>1518</v>
      </c>
      <c r="E113" s="54" t="s">
        <v>1512</v>
      </c>
    </row>
    <row r="114" spans="2:5" ht="30" x14ac:dyDescent="0.25">
      <c r="B114" s="58">
        <v>19221300</v>
      </c>
      <c r="C114" s="62" t="s">
        <v>1396</v>
      </c>
      <c r="D114" s="61" t="s">
        <v>1518</v>
      </c>
      <c r="E114" s="54" t="s">
        <v>1512</v>
      </c>
    </row>
    <row r="115" spans="2:5" ht="30" x14ac:dyDescent="0.25">
      <c r="B115" s="58">
        <v>19221310</v>
      </c>
      <c r="C115" s="62" t="s">
        <v>1396</v>
      </c>
      <c r="D115" s="61" t="s">
        <v>1518</v>
      </c>
      <c r="E115" s="54" t="s">
        <v>1512</v>
      </c>
    </row>
    <row r="116" spans="2:5" ht="30" x14ac:dyDescent="0.25">
      <c r="B116" s="46">
        <v>24180510</v>
      </c>
      <c r="C116" s="63" t="s">
        <v>1446</v>
      </c>
      <c r="D116" s="61" t="s">
        <v>1518</v>
      </c>
      <c r="E116" s="54" t="s">
        <v>1513</v>
      </c>
    </row>
    <row r="117" spans="2:5" ht="45" x14ac:dyDescent="0.25">
      <c r="B117" s="46">
        <v>24180520</v>
      </c>
      <c r="C117" s="63" t="s">
        <v>1447</v>
      </c>
      <c r="D117" s="61" t="s">
        <v>1518</v>
      </c>
      <c r="E117" s="54" t="s">
        <v>1513</v>
      </c>
    </row>
    <row r="118" spans="2:5" x14ac:dyDescent="0.25">
      <c r="B118" s="46">
        <v>24180590</v>
      </c>
      <c r="C118" s="63" t="s">
        <v>1448</v>
      </c>
      <c r="D118" s="61" t="s">
        <v>1518</v>
      </c>
      <c r="E118" s="54" t="s">
        <v>1513</v>
      </c>
    </row>
    <row r="119" spans="2:5" x14ac:dyDescent="0.25">
      <c r="B119" s="39">
        <v>24180800</v>
      </c>
      <c r="C119" s="64" t="s">
        <v>936</v>
      </c>
      <c r="D119" s="61" t="s">
        <v>1519</v>
      </c>
      <c r="E119" s="54" t="s">
        <v>1513</v>
      </c>
    </row>
    <row r="120" spans="2:5" x14ac:dyDescent="0.25">
      <c r="B120" s="39">
        <v>24180810</v>
      </c>
      <c r="C120" s="64" t="s">
        <v>936</v>
      </c>
      <c r="D120" s="61" t="s">
        <v>1519</v>
      </c>
      <c r="E120" s="54" t="s">
        <v>1513</v>
      </c>
    </row>
    <row r="121" spans="2:5" ht="30" x14ac:dyDescent="0.25">
      <c r="B121" s="46">
        <v>24480120</v>
      </c>
      <c r="C121" s="63" t="s">
        <v>1424</v>
      </c>
      <c r="D121" s="61" t="s">
        <v>1518</v>
      </c>
      <c r="E121" s="54" t="s">
        <v>1513</v>
      </c>
    </row>
    <row r="122" spans="2:5" x14ac:dyDescent="0.25">
      <c r="B122" s="46">
        <v>24480190</v>
      </c>
      <c r="C122" s="63" t="s">
        <v>1431</v>
      </c>
      <c r="D122" s="61" t="s">
        <v>1518</v>
      </c>
      <c r="E122" s="54" t="s">
        <v>1513</v>
      </c>
    </row>
    <row r="123" spans="2:5" x14ac:dyDescent="0.25">
      <c r="B123" s="46">
        <v>24680120</v>
      </c>
      <c r="C123" s="63" t="s">
        <v>1426</v>
      </c>
      <c r="D123" s="61" t="s">
        <v>1518</v>
      </c>
      <c r="E123" s="54" t="s">
        <v>1513</v>
      </c>
    </row>
    <row r="124" spans="2:5" ht="30" x14ac:dyDescent="0.25">
      <c r="B124" s="46">
        <v>24680190</v>
      </c>
      <c r="C124" s="63" t="s">
        <v>1034</v>
      </c>
      <c r="D124" s="61" t="s">
        <v>1518</v>
      </c>
      <c r="E124" s="54" t="s">
        <v>1513</v>
      </c>
    </row>
    <row r="125" spans="2:5" ht="30" x14ac:dyDescent="0.25">
      <c r="B125" s="39">
        <v>24681010</v>
      </c>
      <c r="C125" s="64" t="s">
        <v>1034</v>
      </c>
      <c r="D125" s="61" t="s">
        <v>1519</v>
      </c>
      <c r="E125" s="54" t="s">
        <v>1513</v>
      </c>
    </row>
    <row r="126" spans="2:5" x14ac:dyDescent="0.25">
      <c r="B126" s="46">
        <v>24780120</v>
      </c>
      <c r="C126" s="63" t="s">
        <v>1429</v>
      </c>
      <c r="D126" s="61" t="s">
        <v>1518</v>
      </c>
      <c r="E126" s="54" t="s">
        <v>1513</v>
      </c>
    </row>
  </sheetData>
  <autoFilter ref="B6:E252" xr:uid="{47B48F36-257A-4E69-971B-21446EFB4CC8}"/>
  <mergeCells count="1">
    <mergeCell ref="B5:E5"/>
  </mergeCells>
  <pageMargins left="0.511811024" right="0.511811024" top="0.78740157499999996" bottom="0.78740157499999996" header="0.31496062000000002" footer="0.31496062000000002"/>
  <pageSetup paperSize="9" scale="7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7176B-154D-416F-AD06-B2018B3CC611}">
  <dimension ref="A1:H9"/>
  <sheetViews>
    <sheetView showGridLines="0" zoomScale="90" zoomScaleNormal="90" workbookViewId="0">
      <selection activeCell="G4" sqref="G4"/>
    </sheetView>
  </sheetViews>
  <sheetFormatPr defaultRowHeight="15" x14ac:dyDescent="0.25"/>
  <cols>
    <col min="1" max="1" width="4.42578125" customWidth="1"/>
    <col min="2" max="2" width="14.28515625" customWidth="1"/>
    <col min="3" max="4" width="40.7109375" customWidth="1"/>
    <col min="5" max="5" width="14.42578125" customWidth="1"/>
    <col min="6" max="8" width="40.7109375" customWidth="1"/>
  </cols>
  <sheetData>
    <row r="1" spans="1:8" s="47" customFormat="1" x14ac:dyDescent="0.25"/>
    <row r="2" spans="1:8" x14ac:dyDescent="0.25">
      <c r="A2" s="31"/>
      <c r="B2" s="81" t="s">
        <v>1338</v>
      </c>
      <c r="C2" s="81"/>
      <c r="D2" s="71" t="s">
        <v>1341</v>
      </c>
      <c r="E2" s="81" t="s">
        <v>1339</v>
      </c>
      <c r="F2" s="81"/>
      <c r="G2" s="71" t="s">
        <v>1341</v>
      </c>
      <c r="H2" s="71" t="s">
        <v>1337</v>
      </c>
    </row>
    <row r="3" spans="1:8" ht="90" x14ac:dyDescent="0.25">
      <c r="B3" s="32">
        <v>17180800</v>
      </c>
      <c r="C3" s="33" t="s">
        <v>936</v>
      </c>
      <c r="D3" s="33" t="s">
        <v>937</v>
      </c>
      <c r="E3" s="48" t="s">
        <v>1428</v>
      </c>
      <c r="F3" s="49" t="s">
        <v>1428</v>
      </c>
      <c r="G3" s="49" t="s">
        <v>1428</v>
      </c>
      <c r="H3" s="34" t="s">
        <v>1420</v>
      </c>
    </row>
    <row r="4" spans="1:8" ht="90" x14ac:dyDescent="0.25">
      <c r="B4" s="19">
        <v>17180810</v>
      </c>
      <c r="C4" s="18" t="s">
        <v>936</v>
      </c>
      <c r="D4" s="18" t="s">
        <v>937</v>
      </c>
      <c r="E4" s="50" t="s">
        <v>1428</v>
      </c>
      <c r="F4" s="51" t="s">
        <v>1428</v>
      </c>
      <c r="G4" s="51" t="s">
        <v>1428</v>
      </c>
      <c r="H4" s="21" t="s">
        <v>1420</v>
      </c>
    </row>
    <row r="5" spans="1:8" ht="90" x14ac:dyDescent="0.25">
      <c r="B5" s="19">
        <v>17681010</v>
      </c>
      <c r="C5" s="18" t="s">
        <v>997</v>
      </c>
      <c r="D5" s="18" t="s">
        <v>998</v>
      </c>
      <c r="E5" s="11">
        <v>17680190</v>
      </c>
      <c r="F5" s="8" t="s">
        <v>997</v>
      </c>
      <c r="G5" s="8" t="s">
        <v>997</v>
      </c>
      <c r="H5" s="8" t="s">
        <v>1419</v>
      </c>
    </row>
    <row r="6" spans="1:8" ht="135" x14ac:dyDescent="0.25">
      <c r="B6" s="19">
        <v>17781010</v>
      </c>
      <c r="C6" s="18" t="s">
        <v>1335</v>
      </c>
      <c r="D6" s="18" t="s">
        <v>1005</v>
      </c>
      <c r="E6" s="11">
        <v>17780190</v>
      </c>
      <c r="F6" s="8" t="s">
        <v>1335</v>
      </c>
      <c r="G6" s="8" t="s">
        <v>1005</v>
      </c>
      <c r="H6" s="8" t="s">
        <v>1419</v>
      </c>
    </row>
    <row r="7" spans="1:8" ht="90" x14ac:dyDescent="0.25">
      <c r="B7" s="32">
        <v>24180800</v>
      </c>
      <c r="C7" s="33" t="s">
        <v>936</v>
      </c>
      <c r="D7" s="33" t="s">
        <v>955</v>
      </c>
      <c r="E7" s="48" t="s">
        <v>1428</v>
      </c>
      <c r="F7" s="49" t="s">
        <v>1428</v>
      </c>
      <c r="G7" s="49" t="s">
        <v>1428</v>
      </c>
      <c r="H7" s="34" t="s">
        <v>1420</v>
      </c>
    </row>
    <row r="8" spans="1:8" ht="90" x14ac:dyDescent="0.25">
      <c r="B8" s="19">
        <v>24180810</v>
      </c>
      <c r="C8" s="18" t="s">
        <v>936</v>
      </c>
      <c r="D8" s="18" t="s">
        <v>955</v>
      </c>
      <c r="E8" s="50" t="s">
        <v>1428</v>
      </c>
      <c r="F8" s="51" t="s">
        <v>1428</v>
      </c>
      <c r="G8" s="51" t="s">
        <v>1428</v>
      </c>
      <c r="H8" s="21" t="s">
        <v>1420</v>
      </c>
    </row>
    <row r="9" spans="1:8" ht="120" x14ac:dyDescent="0.25">
      <c r="B9" s="32">
        <v>24481000</v>
      </c>
      <c r="C9" s="33" t="s">
        <v>1029</v>
      </c>
      <c r="D9" s="33" t="s">
        <v>1032</v>
      </c>
      <c r="E9" s="48" t="s">
        <v>1428</v>
      </c>
      <c r="F9" s="49" t="s">
        <v>1428</v>
      </c>
      <c r="G9" s="49" t="s">
        <v>1428</v>
      </c>
      <c r="H9" s="8" t="s">
        <v>1419</v>
      </c>
    </row>
  </sheetData>
  <mergeCells count="2">
    <mergeCell ref="B2:C2"/>
    <mergeCell ref="E2:F2"/>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198CF79E9C4C0449FD4E6C5F11B6B94" ma:contentTypeVersion="2" ma:contentTypeDescription="Crie um novo documento." ma:contentTypeScope="" ma:versionID="2a6b5170be39c66bc1f78ab40fd3eec8">
  <xsd:schema xmlns:xsd="http://www.w3.org/2001/XMLSchema" xmlns:xs="http://www.w3.org/2001/XMLSchema" xmlns:p="http://schemas.microsoft.com/office/2006/metadata/properties" xmlns:ns2="02b59cef-0636-4c64-bd56-9ca8586173f9" targetNamespace="http://schemas.microsoft.com/office/2006/metadata/properties" ma:root="true" ma:fieldsID="865b19e9cc64ccdbe36d94f3558cbce2" ns2:_="">
    <xsd:import namespace="02b59cef-0636-4c64-bd56-9ca8586173f9"/>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59cef-0636-4c64-bd56-9ca8586173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EB9F53-5DF2-4670-B7D9-083AF4DF4FB5}">
  <ds:schemaRefs>
    <ds:schemaRef ds:uri="http://schemas.microsoft.com/sharepoint/v3/contenttype/forms"/>
  </ds:schemaRefs>
</ds:datastoreItem>
</file>

<file path=customXml/itemProps2.xml><?xml version="1.0" encoding="utf-8"?>
<ds:datastoreItem xmlns:ds="http://schemas.openxmlformats.org/officeDocument/2006/customXml" ds:itemID="{E85D771C-1619-4F6C-8B5C-4D6C6C0BC54A}">
  <ds:schemaRefs>
    <ds:schemaRef ds:uri="http://schemas.microsoft.com/office/2006/metadata/properties"/>
    <ds:schemaRef ds:uri="http://www.w3.org/XML/1998/namespace"/>
    <ds:schemaRef ds:uri="http://purl.org/dc/dcmitype/"/>
    <ds:schemaRef ds:uri="02b59cef-0636-4c64-bd56-9ca8586173f9"/>
    <ds:schemaRef ds:uri="http://purl.org/dc/term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s>
</ds:datastoreItem>
</file>

<file path=customXml/itemProps3.xml><?xml version="1.0" encoding="utf-8"?>
<ds:datastoreItem xmlns:ds="http://schemas.openxmlformats.org/officeDocument/2006/customXml" ds:itemID="{1DCD84E4-F88F-4752-9406-349A74FAB4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b59cef-0636-4c64-bd56-9ca8586173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3</vt:i4>
      </vt:variant>
    </vt:vector>
  </HeadingPairs>
  <TitlesOfParts>
    <vt:vector size="3" baseType="lpstr">
      <vt:lpstr>NovoEmentárioNR-2020</vt:lpstr>
      <vt:lpstr>Controle de Alterações</vt:lpstr>
      <vt:lpstr>De-Para_Exclusoes_Nr8permance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STN;washington.nunes@tesouro.gov.br;gabriela.abreu@tesouro.gov.br</dc:creator>
  <cp:lastModifiedBy>STN</cp:lastModifiedBy>
  <cp:lastPrinted>2019-06-14T17:22:46Z</cp:lastPrinted>
  <dcterms:created xsi:type="dcterms:W3CDTF">2016-06-23T18:04:26Z</dcterms:created>
  <dcterms:modified xsi:type="dcterms:W3CDTF">2019-06-19T14:30:15Z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0x0101008198CF79E9C4C0449FD4E6C5F11B6B94</vt:lpwstr>
  </property>
  <property fmtid="{D5CDD505-2E9C-101B-9397-08002B2CF9AE}" pid="3" name="AuthorIds_UIVersion_155648">
    <vt:lpwstr>16</vt:lpwstr>
  </property>
</Properties>
</file>
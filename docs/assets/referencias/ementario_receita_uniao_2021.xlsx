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07"/>
  <workbookPr/>
  <mc:AlternateContent xmlns:mc="http://schemas.openxmlformats.org/markup-compatibility/2006">
    <mc:Choice Requires="x15">
      <x15ac:absPath xmlns:x15ac="http://schemas.microsoft.com/office/spreadsheetml/2010/11/ac" url="https://tesouro.sharepoint.com/sites/Genoc/Documentos Compartilhados/Ementário da NR/Ementário de NR_2021/"/>
    </mc:Choice>
  </mc:AlternateContent>
  <xr:revisionPtr revIDLastSave="144" documentId="8_{B712692B-B5C7-4785-8D76-1C078B4C5CEC}" xr6:coauthVersionLast="45" xr6:coauthVersionMax="45" xr10:uidLastSave="{B04036F5-6D4B-4278-951B-C648804F12AD}"/>
  <bookViews>
    <workbookView xWindow="-120" yWindow="-120" windowWidth="20730" windowHeight="11160" tabRatio="866" activeTab="1" xr2:uid="{00000000-000D-0000-FFFF-FFFF00000000}"/>
  </bookViews>
  <sheets>
    <sheet name="Tabelas" sheetId="37" state="hidden" r:id="rId1"/>
    <sheet name="ENR-2021_Geral" sheetId="36" r:id="rId2"/>
    <sheet name="Legenda" sheetId="42" r:id="rId3"/>
    <sheet name="Controle de Alteracoes" sheetId="33" r:id="rId4"/>
    <sheet name="De-Para Exclusões e Alterações" sheetId="35" r:id="rId5"/>
  </sheets>
  <definedNames>
    <definedName name="_xlnm._FilterDatabase" localSheetId="3" hidden="1">'Controle de Alteracoes'!$B$7:$E$155</definedName>
    <definedName name="_xlnm._FilterDatabase" localSheetId="1" hidden="1">'ENR-2021_Geral'!$B$2:$M$1030</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414" i="36" l="1"/>
  <c r="C414" i="36"/>
  <c r="D414" i="36"/>
  <c r="E414" i="36"/>
  <c r="F414" i="36"/>
  <c r="G414" i="36"/>
  <c r="H414" i="36"/>
  <c r="B413" i="36"/>
  <c r="C413" i="36"/>
  <c r="D413" i="36"/>
  <c r="E413" i="36"/>
  <c r="F413" i="36"/>
  <c r="G413" i="36"/>
  <c r="H413" i="36"/>
  <c r="B412" i="36"/>
  <c r="C412" i="36"/>
  <c r="D412" i="36"/>
  <c r="E412" i="36"/>
  <c r="F412" i="36"/>
  <c r="G412" i="36"/>
  <c r="H412" i="36"/>
  <c r="H933" i="36" l="1"/>
  <c r="G933" i="36"/>
  <c r="F933" i="36"/>
  <c r="E933" i="36"/>
  <c r="D933" i="36"/>
  <c r="C933" i="36"/>
  <c r="B933" i="36"/>
  <c r="H585" i="36" l="1"/>
  <c r="G585" i="36"/>
  <c r="F585" i="36"/>
  <c r="E585" i="36"/>
  <c r="D585" i="36"/>
  <c r="C585" i="36"/>
  <c r="B585" i="36"/>
  <c r="B615" i="36" l="1"/>
  <c r="C615" i="36"/>
  <c r="D615" i="36"/>
  <c r="E615" i="36"/>
  <c r="F615" i="36"/>
  <c r="G615" i="36"/>
  <c r="H615" i="36"/>
  <c r="B614" i="36"/>
  <c r="C614" i="36"/>
  <c r="D614" i="36"/>
  <c r="E614" i="36"/>
  <c r="F614" i="36"/>
  <c r="G614" i="36"/>
  <c r="H614" i="36"/>
  <c r="B613" i="36"/>
  <c r="C613" i="36"/>
  <c r="D613" i="36"/>
  <c r="E613" i="36"/>
  <c r="F613" i="36"/>
  <c r="G613" i="36"/>
  <c r="H613" i="36"/>
  <c r="B497" i="36" l="1"/>
  <c r="C497" i="36"/>
  <c r="D497" i="36"/>
  <c r="E497" i="36"/>
  <c r="F497" i="36"/>
  <c r="G497" i="36"/>
  <c r="H497" i="36"/>
  <c r="B910" i="36"/>
  <c r="C910" i="36"/>
  <c r="D910" i="36"/>
  <c r="E910" i="36"/>
  <c r="F910" i="36"/>
  <c r="G910" i="36"/>
  <c r="H910" i="36"/>
  <c r="B909" i="36"/>
  <c r="C909" i="36"/>
  <c r="D909" i="36"/>
  <c r="E909" i="36"/>
  <c r="F909" i="36"/>
  <c r="G909" i="36"/>
  <c r="H909" i="36"/>
  <c r="H1030" i="36" l="1"/>
  <c r="G1030" i="36"/>
  <c r="F1030" i="36"/>
  <c r="E1030" i="36"/>
  <c r="D1030" i="36"/>
  <c r="C1030" i="36"/>
  <c r="B1030" i="36"/>
  <c r="H1029" i="36"/>
  <c r="G1029" i="36"/>
  <c r="F1029" i="36"/>
  <c r="E1029" i="36"/>
  <c r="D1029" i="36"/>
  <c r="C1029" i="36"/>
  <c r="B1029" i="36"/>
  <c r="H1028" i="36"/>
  <c r="G1028" i="36"/>
  <c r="F1028" i="36"/>
  <c r="E1028" i="36"/>
  <c r="D1028" i="36"/>
  <c r="C1028" i="36"/>
  <c r="B1028" i="36"/>
  <c r="H1027" i="36"/>
  <c r="G1027" i="36"/>
  <c r="F1027" i="36"/>
  <c r="E1027" i="36"/>
  <c r="D1027" i="36"/>
  <c r="C1027" i="36"/>
  <c r="B1027" i="36"/>
  <c r="H1026" i="36"/>
  <c r="G1026" i="36"/>
  <c r="F1026" i="36"/>
  <c r="E1026" i="36"/>
  <c r="D1026" i="36"/>
  <c r="C1026" i="36"/>
  <c r="B1026" i="36"/>
  <c r="H1025" i="36"/>
  <c r="G1025" i="36"/>
  <c r="F1025" i="36"/>
  <c r="E1025" i="36"/>
  <c r="D1025" i="36"/>
  <c r="C1025" i="36"/>
  <c r="B1025" i="36"/>
  <c r="H1024" i="36"/>
  <c r="G1024" i="36"/>
  <c r="F1024" i="36"/>
  <c r="E1024" i="36"/>
  <c r="D1024" i="36"/>
  <c r="C1024" i="36"/>
  <c r="B1024" i="36"/>
  <c r="H1023" i="36"/>
  <c r="G1023" i="36"/>
  <c r="F1023" i="36"/>
  <c r="E1023" i="36"/>
  <c r="D1023" i="36"/>
  <c r="C1023" i="36"/>
  <c r="B1023" i="36"/>
  <c r="H1022" i="36"/>
  <c r="G1022" i="36"/>
  <c r="F1022" i="36"/>
  <c r="E1022" i="36"/>
  <c r="D1022" i="36"/>
  <c r="C1022" i="36"/>
  <c r="B1022" i="36"/>
  <c r="H1021" i="36"/>
  <c r="G1021" i="36"/>
  <c r="F1021" i="36"/>
  <c r="E1021" i="36"/>
  <c r="D1021" i="36"/>
  <c r="C1021" i="36"/>
  <c r="B1021" i="36"/>
  <c r="H1020" i="36"/>
  <c r="G1020" i="36"/>
  <c r="F1020" i="36"/>
  <c r="E1020" i="36"/>
  <c r="D1020" i="36"/>
  <c r="C1020" i="36"/>
  <c r="B1020" i="36"/>
  <c r="H1019" i="36"/>
  <c r="G1019" i="36"/>
  <c r="F1019" i="36"/>
  <c r="E1019" i="36"/>
  <c r="D1019" i="36"/>
  <c r="C1019" i="36"/>
  <c r="B1019" i="36"/>
  <c r="H1018" i="36"/>
  <c r="G1018" i="36"/>
  <c r="F1018" i="36"/>
  <c r="E1018" i="36"/>
  <c r="D1018" i="36"/>
  <c r="C1018" i="36"/>
  <c r="B1018" i="36"/>
  <c r="H1017" i="36"/>
  <c r="G1017" i="36"/>
  <c r="F1017" i="36"/>
  <c r="E1017" i="36"/>
  <c r="D1017" i="36"/>
  <c r="C1017" i="36"/>
  <c r="B1017" i="36"/>
  <c r="H1016" i="36"/>
  <c r="G1016" i="36"/>
  <c r="F1016" i="36"/>
  <c r="E1016" i="36"/>
  <c r="D1016" i="36"/>
  <c r="C1016" i="36"/>
  <c r="B1016" i="36"/>
  <c r="H1015" i="36"/>
  <c r="G1015" i="36"/>
  <c r="F1015" i="36"/>
  <c r="E1015" i="36"/>
  <c r="D1015" i="36"/>
  <c r="C1015" i="36"/>
  <c r="B1015" i="36"/>
  <c r="H1014" i="36"/>
  <c r="G1014" i="36"/>
  <c r="F1014" i="36"/>
  <c r="E1014" i="36"/>
  <c r="D1014" i="36"/>
  <c r="C1014" i="36"/>
  <c r="B1014" i="36"/>
  <c r="H1013" i="36"/>
  <c r="G1013" i="36"/>
  <c r="F1013" i="36"/>
  <c r="E1013" i="36"/>
  <c r="D1013" i="36"/>
  <c r="C1013" i="36"/>
  <c r="B1013" i="36"/>
  <c r="H1012" i="36"/>
  <c r="G1012" i="36"/>
  <c r="F1012" i="36"/>
  <c r="E1012" i="36"/>
  <c r="D1012" i="36"/>
  <c r="C1012" i="36"/>
  <c r="B1012" i="36"/>
  <c r="H1011" i="36"/>
  <c r="G1011" i="36"/>
  <c r="F1011" i="36"/>
  <c r="E1011" i="36"/>
  <c r="D1011" i="36"/>
  <c r="C1011" i="36"/>
  <c r="B1011" i="36"/>
  <c r="H1010" i="36"/>
  <c r="G1010" i="36"/>
  <c r="F1010" i="36"/>
  <c r="E1010" i="36"/>
  <c r="D1010" i="36"/>
  <c r="C1010" i="36"/>
  <c r="B1010" i="36"/>
  <c r="H1009" i="36"/>
  <c r="G1009" i="36"/>
  <c r="F1009" i="36"/>
  <c r="E1009" i="36"/>
  <c r="D1009" i="36"/>
  <c r="C1009" i="36"/>
  <c r="B1009" i="36"/>
  <c r="H1008" i="36"/>
  <c r="G1008" i="36"/>
  <c r="F1008" i="36"/>
  <c r="E1008" i="36"/>
  <c r="D1008" i="36"/>
  <c r="C1008" i="36"/>
  <c r="B1008" i="36"/>
  <c r="H1007" i="36"/>
  <c r="G1007" i="36"/>
  <c r="F1007" i="36"/>
  <c r="E1007" i="36"/>
  <c r="D1007" i="36"/>
  <c r="C1007" i="36"/>
  <c r="B1007" i="36"/>
  <c r="H1006" i="36"/>
  <c r="G1006" i="36"/>
  <c r="F1006" i="36"/>
  <c r="E1006" i="36"/>
  <c r="D1006" i="36"/>
  <c r="C1006" i="36"/>
  <c r="B1006" i="36"/>
  <c r="H1005" i="36"/>
  <c r="G1005" i="36"/>
  <c r="F1005" i="36"/>
  <c r="E1005" i="36"/>
  <c r="D1005" i="36"/>
  <c r="C1005" i="36"/>
  <c r="B1005" i="36"/>
  <c r="H1004" i="36"/>
  <c r="G1004" i="36"/>
  <c r="F1004" i="36"/>
  <c r="E1004" i="36"/>
  <c r="D1004" i="36"/>
  <c r="C1004" i="36"/>
  <c r="B1004" i="36"/>
  <c r="H1003" i="36"/>
  <c r="G1003" i="36"/>
  <c r="F1003" i="36"/>
  <c r="E1003" i="36"/>
  <c r="D1003" i="36"/>
  <c r="C1003" i="36"/>
  <c r="B1003" i="36"/>
  <c r="H1002" i="36"/>
  <c r="G1002" i="36"/>
  <c r="F1002" i="36"/>
  <c r="E1002" i="36"/>
  <c r="D1002" i="36"/>
  <c r="C1002" i="36"/>
  <c r="B1002" i="36"/>
  <c r="H1001" i="36"/>
  <c r="G1001" i="36"/>
  <c r="F1001" i="36"/>
  <c r="E1001" i="36"/>
  <c r="D1001" i="36"/>
  <c r="C1001" i="36"/>
  <c r="B1001" i="36"/>
  <c r="H1000" i="36"/>
  <c r="G1000" i="36"/>
  <c r="F1000" i="36"/>
  <c r="E1000" i="36"/>
  <c r="D1000" i="36"/>
  <c r="C1000" i="36"/>
  <c r="B1000" i="36"/>
  <c r="H999" i="36"/>
  <c r="G999" i="36"/>
  <c r="F999" i="36"/>
  <c r="E999" i="36"/>
  <c r="D999" i="36"/>
  <c r="C999" i="36"/>
  <c r="B999" i="36"/>
  <c r="H998" i="36"/>
  <c r="G998" i="36"/>
  <c r="F998" i="36"/>
  <c r="E998" i="36"/>
  <c r="D998" i="36"/>
  <c r="C998" i="36"/>
  <c r="B998" i="36"/>
  <c r="H997" i="36"/>
  <c r="G997" i="36"/>
  <c r="F997" i="36"/>
  <c r="E997" i="36"/>
  <c r="D997" i="36"/>
  <c r="C997" i="36"/>
  <c r="B997" i="36"/>
  <c r="H996" i="36"/>
  <c r="G996" i="36"/>
  <c r="F996" i="36"/>
  <c r="E996" i="36"/>
  <c r="D996" i="36"/>
  <c r="C996" i="36"/>
  <c r="B996" i="36"/>
  <c r="H995" i="36"/>
  <c r="G995" i="36"/>
  <c r="F995" i="36"/>
  <c r="E995" i="36"/>
  <c r="D995" i="36"/>
  <c r="C995" i="36"/>
  <c r="B995" i="36"/>
  <c r="H994" i="36"/>
  <c r="G994" i="36"/>
  <c r="F994" i="36"/>
  <c r="E994" i="36"/>
  <c r="D994" i="36"/>
  <c r="C994" i="36"/>
  <c r="B994" i="36"/>
  <c r="H993" i="36"/>
  <c r="G993" i="36"/>
  <c r="F993" i="36"/>
  <c r="E993" i="36"/>
  <c r="D993" i="36"/>
  <c r="C993" i="36"/>
  <c r="B993" i="36"/>
  <c r="H992" i="36"/>
  <c r="G992" i="36"/>
  <c r="F992" i="36"/>
  <c r="E992" i="36"/>
  <c r="D992" i="36"/>
  <c r="C992" i="36"/>
  <c r="B992" i="36"/>
  <c r="H991" i="36"/>
  <c r="G991" i="36"/>
  <c r="F991" i="36"/>
  <c r="E991" i="36"/>
  <c r="D991" i="36"/>
  <c r="C991" i="36"/>
  <c r="B991" i="36"/>
  <c r="H990" i="36"/>
  <c r="G990" i="36"/>
  <c r="F990" i="36"/>
  <c r="E990" i="36"/>
  <c r="D990" i="36"/>
  <c r="C990" i="36"/>
  <c r="B990" i="36"/>
  <c r="H989" i="36"/>
  <c r="G989" i="36"/>
  <c r="F989" i="36"/>
  <c r="E989" i="36"/>
  <c r="D989" i="36"/>
  <c r="C989" i="36"/>
  <c r="B989" i="36"/>
  <c r="H988" i="36"/>
  <c r="G988" i="36"/>
  <c r="F988" i="36"/>
  <c r="E988" i="36"/>
  <c r="D988" i="36"/>
  <c r="C988" i="36"/>
  <c r="B988" i="36"/>
  <c r="H987" i="36"/>
  <c r="G987" i="36"/>
  <c r="F987" i="36"/>
  <c r="E987" i="36"/>
  <c r="D987" i="36"/>
  <c r="C987" i="36"/>
  <c r="B987" i="36"/>
  <c r="H986" i="36"/>
  <c r="G986" i="36"/>
  <c r="F986" i="36"/>
  <c r="E986" i="36"/>
  <c r="D986" i="36"/>
  <c r="C986" i="36"/>
  <c r="B986" i="36"/>
  <c r="H985" i="36"/>
  <c r="G985" i="36"/>
  <c r="F985" i="36"/>
  <c r="E985" i="36"/>
  <c r="D985" i="36"/>
  <c r="C985" i="36"/>
  <c r="B985" i="36"/>
  <c r="H984" i="36"/>
  <c r="G984" i="36"/>
  <c r="F984" i="36"/>
  <c r="E984" i="36"/>
  <c r="D984" i="36"/>
  <c r="C984" i="36"/>
  <c r="B984" i="36"/>
  <c r="H983" i="36"/>
  <c r="G983" i="36"/>
  <c r="F983" i="36"/>
  <c r="E983" i="36"/>
  <c r="D983" i="36"/>
  <c r="C983" i="36"/>
  <c r="B983" i="36"/>
  <c r="H982" i="36"/>
  <c r="G982" i="36"/>
  <c r="F982" i="36"/>
  <c r="E982" i="36"/>
  <c r="D982" i="36"/>
  <c r="C982" i="36"/>
  <c r="B982" i="36"/>
  <c r="H981" i="36"/>
  <c r="G981" i="36"/>
  <c r="F981" i="36"/>
  <c r="E981" i="36"/>
  <c r="D981" i="36"/>
  <c r="C981" i="36"/>
  <c r="B981" i="36"/>
  <c r="H980" i="36"/>
  <c r="G980" i="36"/>
  <c r="F980" i="36"/>
  <c r="E980" i="36"/>
  <c r="D980" i="36"/>
  <c r="C980" i="36"/>
  <c r="B980" i="36"/>
  <c r="H979" i="36"/>
  <c r="G979" i="36"/>
  <c r="F979" i="36"/>
  <c r="E979" i="36"/>
  <c r="D979" i="36"/>
  <c r="C979" i="36"/>
  <c r="B979" i="36"/>
  <c r="H978" i="36"/>
  <c r="G978" i="36"/>
  <c r="F978" i="36"/>
  <c r="E978" i="36"/>
  <c r="D978" i="36"/>
  <c r="C978" i="36"/>
  <c r="B978" i="36"/>
  <c r="H977" i="36"/>
  <c r="G977" i="36"/>
  <c r="F977" i="36"/>
  <c r="E977" i="36"/>
  <c r="D977" i="36"/>
  <c r="C977" i="36"/>
  <c r="B977" i="36"/>
  <c r="H976" i="36"/>
  <c r="G976" i="36"/>
  <c r="F976" i="36"/>
  <c r="E976" i="36"/>
  <c r="D976" i="36"/>
  <c r="C976" i="36"/>
  <c r="B976" i="36"/>
  <c r="H975" i="36"/>
  <c r="G975" i="36"/>
  <c r="F975" i="36"/>
  <c r="E975" i="36"/>
  <c r="D975" i="36"/>
  <c r="C975" i="36"/>
  <c r="B975" i="36"/>
  <c r="H974" i="36"/>
  <c r="G974" i="36"/>
  <c r="F974" i="36"/>
  <c r="E974" i="36"/>
  <c r="D974" i="36"/>
  <c r="C974" i="36"/>
  <c r="B974" i="36"/>
  <c r="H973" i="36"/>
  <c r="G973" i="36"/>
  <c r="F973" i="36"/>
  <c r="E973" i="36"/>
  <c r="D973" i="36"/>
  <c r="C973" i="36"/>
  <c r="B973" i="36"/>
  <c r="H972" i="36"/>
  <c r="G972" i="36"/>
  <c r="F972" i="36"/>
  <c r="E972" i="36"/>
  <c r="D972" i="36"/>
  <c r="C972" i="36"/>
  <c r="B972" i="36"/>
  <c r="H971" i="36"/>
  <c r="G971" i="36"/>
  <c r="F971" i="36"/>
  <c r="E971" i="36"/>
  <c r="D971" i="36"/>
  <c r="C971" i="36"/>
  <c r="B971" i="36"/>
  <c r="H970" i="36"/>
  <c r="G970" i="36"/>
  <c r="F970" i="36"/>
  <c r="E970" i="36"/>
  <c r="D970" i="36"/>
  <c r="C970" i="36"/>
  <c r="B970" i="36"/>
  <c r="H969" i="36"/>
  <c r="G969" i="36"/>
  <c r="F969" i="36"/>
  <c r="E969" i="36"/>
  <c r="D969" i="36"/>
  <c r="C969" i="36"/>
  <c r="B969" i="36"/>
  <c r="H968" i="36"/>
  <c r="G968" i="36"/>
  <c r="F968" i="36"/>
  <c r="E968" i="36"/>
  <c r="D968" i="36"/>
  <c r="C968" i="36"/>
  <c r="B968" i="36"/>
  <c r="H967" i="36"/>
  <c r="G967" i="36"/>
  <c r="F967" i="36"/>
  <c r="E967" i="36"/>
  <c r="D967" i="36"/>
  <c r="C967" i="36"/>
  <c r="B967" i="36"/>
  <c r="H966" i="36"/>
  <c r="G966" i="36"/>
  <c r="F966" i="36"/>
  <c r="E966" i="36"/>
  <c r="D966" i="36"/>
  <c r="C966" i="36"/>
  <c r="B966" i="36"/>
  <c r="H965" i="36"/>
  <c r="G965" i="36"/>
  <c r="F965" i="36"/>
  <c r="E965" i="36"/>
  <c r="D965" i="36"/>
  <c r="C965" i="36"/>
  <c r="B965" i="36"/>
  <c r="H964" i="36"/>
  <c r="G964" i="36"/>
  <c r="F964" i="36"/>
  <c r="E964" i="36"/>
  <c r="D964" i="36"/>
  <c r="C964" i="36"/>
  <c r="B964" i="36"/>
  <c r="H963" i="36"/>
  <c r="G963" i="36"/>
  <c r="F963" i="36"/>
  <c r="E963" i="36"/>
  <c r="D963" i="36"/>
  <c r="C963" i="36"/>
  <c r="B963" i="36"/>
  <c r="H962" i="36"/>
  <c r="G962" i="36"/>
  <c r="F962" i="36"/>
  <c r="E962" i="36"/>
  <c r="D962" i="36"/>
  <c r="C962" i="36"/>
  <c r="B962" i="36"/>
  <c r="H961" i="36"/>
  <c r="G961" i="36"/>
  <c r="F961" i="36"/>
  <c r="E961" i="36"/>
  <c r="D961" i="36"/>
  <c r="C961" i="36"/>
  <c r="B961" i="36"/>
  <c r="H960" i="36"/>
  <c r="G960" i="36"/>
  <c r="F960" i="36"/>
  <c r="E960" i="36"/>
  <c r="D960" i="36"/>
  <c r="C960" i="36"/>
  <c r="B960" i="36"/>
  <c r="H959" i="36"/>
  <c r="G959" i="36"/>
  <c r="F959" i="36"/>
  <c r="E959" i="36"/>
  <c r="D959" i="36"/>
  <c r="C959" i="36"/>
  <c r="B959" i="36"/>
  <c r="H958" i="36"/>
  <c r="G958" i="36"/>
  <c r="F958" i="36"/>
  <c r="E958" i="36"/>
  <c r="D958" i="36"/>
  <c r="C958" i="36"/>
  <c r="B958" i="36"/>
  <c r="H957" i="36"/>
  <c r="G957" i="36"/>
  <c r="F957" i="36"/>
  <c r="E957" i="36"/>
  <c r="D957" i="36"/>
  <c r="C957" i="36"/>
  <c r="B957" i="36"/>
  <c r="H956" i="36"/>
  <c r="G956" i="36"/>
  <c r="F956" i="36"/>
  <c r="E956" i="36"/>
  <c r="D956" i="36"/>
  <c r="C956" i="36"/>
  <c r="B956" i="36"/>
  <c r="H955" i="36"/>
  <c r="G955" i="36"/>
  <c r="F955" i="36"/>
  <c r="E955" i="36"/>
  <c r="D955" i="36"/>
  <c r="C955" i="36"/>
  <c r="B955" i="36"/>
  <c r="H954" i="36"/>
  <c r="G954" i="36"/>
  <c r="F954" i="36"/>
  <c r="E954" i="36"/>
  <c r="D954" i="36"/>
  <c r="C954" i="36"/>
  <c r="B954" i="36"/>
  <c r="H953" i="36"/>
  <c r="G953" i="36"/>
  <c r="F953" i="36"/>
  <c r="E953" i="36"/>
  <c r="D953" i="36"/>
  <c r="C953" i="36"/>
  <c r="B953" i="36"/>
  <c r="H952" i="36"/>
  <c r="G952" i="36"/>
  <c r="F952" i="36"/>
  <c r="E952" i="36"/>
  <c r="D952" i="36"/>
  <c r="C952" i="36"/>
  <c r="B952" i="36"/>
  <c r="H951" i="36"/>
  <c r="G951" i="36"/>
  <c r="F951" i="36"/>
  <c r="E951" i="36"/>
  <c r="D951" i="36"/>
  <c r="C951" i="36"/>
  <c r="B951" i="36"/>
  <c r="H950" i="36"/>
  <c r="G950" i="36"/>
  <c r="F950" i="36"/>
  <c r="E950" i="36"/>
  <c r="D950" i="36"/>
  <c r="C950" i="36"/>
  <c r="B950" i="36"/>
  <c r="H949" i="36"/>
  <c r="G949" i="36"/>
  <c r="F949" i="36"/>
  <c r="E949" i="36"/>
  <c r="D949" i="36"/>
  <c r="C949" i="36"/>
  <c r="B949" i="36"/>
  <c r="H948" i="36"/>
  <c r="G948" i="36"/>
  <c r="F948" i="36"/>
  <c r="E948" i="36"/>
  <c r="D948" i="36"/>
  <c r="C948" i="36"/>
  <c r="B948" i="36"/>
  <c r="H947" i="36"/>
  <c r="G947" i="36"/>
  <c r="F947" i="36"/>
  <c r="E947" i="36"/>
  <c r="D947" i="36"/>
  <c r="C947" i="36"/>
  <c r="B947" i="36"/>
  <c r="H946" i="36"/>
  <c r="G946" i="36"/>
  <c r="F946" i="36"/>
  <c r="E946" i="36"/>
  <c r="D946" i="36"/>
  <c r="C946" i="36"/>
  <c r="B946" i="36"/>
  <c r="H945" i="36"/>
  <c r="G945" i="36"/>
  <c r="F945" i="36"/>
  <c r="E945" i="36"/>
  <c r="D945" i="36"/>
  <c r="C945" i="36"/>
  <c r="B945" i="36"/>
  <c r="H944" i="36"/>
  <c r="G944" i="36"/>
  <c r="F944" i="36"/>
  <c r="E944" i="36"/>
  <c r="D944" i="36"/>
  <c r="C944" i="36"/>
  <c r="B944" i="36"/>
  <c r="H943" i="36"/>
  <c r="G943" i="36"/>
  <c r="F943" i="36"/>
  <c r="E943" i="36"/>
  <c r="D943" i="36"/>
  <c r="C943" i="36"/>
  <c r="B943" i="36"/>
  <c r="H942" i="36"/>
  <c r="G942" i="36"/>
  <c r="F942" i="36"/>
  <c r="E942" i="36"/>
  <c r="D942" i="36"/>
  <c r="C942" i="36"/>
  <c r="B942" i="36"/>
  <c r="H941" i="36"/>
  <c r="G941" i="36"/>
  <c r="F941" i="36"/>
  <c r="E941" i="36"/>
  <c r="D941" i="36"/>
  <c r="C941" i="36"/>
  <c r="B941" i="36"/>
  <c r="H940" i="36"/>
  <c r="G940" i="36"/>
  <c r="F940" i="36"/>
  <c r="E940" i="36"/>
  <c r="D940" i="36"/>
  <c r="C940" i="36"/>
  <c r="B940" i="36"/>
  <c r="H939" i="36"/>
  <c r="G939" i="36"/>
  <c r="F939" i="36"/>
  <c r="E939" i="36"/>
  <c r="D939" i="36"/>
  <c r="C939" i="36"/>
  <c r="B939" i="36"/>
  <c r="H938" i="36"/>
  <c r="G938" i="36"/>
  <c r="F938" i="36"/>
  <c r="E938" i="36"/>
  <c r="D938" i="36"/>
  <c r="C938" i="36"/>
  <c r="B938" i="36"/>
  <c r="H937" i="36"/>
  <c r="G937" i="36"/>
  <c r="F937" i="36"/>
  <c r="E937" i="36"/>
  <c r="D937" i="36"/>
  <c r="C937" i="36"/>
  <c r="B937" i="36"/>
  <c r="H936" i="36"/>
  <c r="G936" i="36"/>
  <c r="F936" i="36"/>
  <c r="E936" i="36"/>
  <c r="D936" i="36"/>
  <c r="C936" i="36"/>
  <c r="B936" i="36"/>
  <c r="H935" i="36"/>
  <c r="G935" i="36"/>
  <c r="F935" i="36"/>
  <c r="E935" i="36"/>
  <c r="D935" i="36"/>
  <c r="C935" i="36"/>
  <c r="B935" i="36"/>
  <c r="H934" i="36"/>
  <c r="G934" i="36"/>
  <c r="F934" i="36"/>
  <c r="E934" i="36"/>
  <c r="D934" i="36"/>
  <c r="C934" i="36"/>
  <c r="B934" i="36"/>
  <c r="H932" i="36"/>
  <c r="G932" i="36"/>
  <c r="F932" i="36"/>
  <c r="E932" i="36"/>
  <c r="D932" i="36"/>
  <c r="C932" i="36"/>
  <c r="B932" i="36"/>
  <c r="H931" i="36"/>
  <c r="G931" i="36"/>
  <c r="F931" i="36"/>
  <c r="E931" i="36"/>
  <c r="D931" i="36"/>
  <c r="C931" i="36"/>
  <c r="B931" i="36"/>
  <c r="H930" i="36"/>
  <c r="G930" i="36"/>
  <c r="F930" i="36"/>
  <c r="E930" i="36"/>
  <c r="D930" i="36"/>
  <c r="C930" i="36"/>
  <c r="B930" i="36"/>
  <c r="H929" i="36"/>
  <c r="G929" i="36"/>
  <c r="F929" i="36"/>
  <c r="E929" i="36"/>
  <c r="D929" i="36"/>
  <c r="C929" i="36"/>
  <c r="B929" i="36"/>
  <c r="H928" i="36"/>
  <c r="G928" i="36"/>
  <c r="F928" i="36"/>
  <c r="E928" i="36"/>
  <c r="D928" i="36"/>
  <c r="C928" i="36"/>
  <c r="B928" i="36"/>
  <c r="H927" i="36"/>
  <c r="G927" i="36"/>
  <c r="F927" i="36"/>
  <c r="E927" i="36"/>
  <c r="D927" i="36"/>
  <c r="C927" i="36"/>
  <c r="B927" i="36"/>
  <c r="H926" i="36"/>
  <c r="G926" i="36"/>
  <c r="F926" i="36"/>
  <c r="E926" i="36"/>
  <c r="D926" i="36"/>
  <c r="C926" i="36"/>
  <c r="B926" i="36"/>
  <c r="H925" i="36"/>
  <c r="G925" i="36"/>
  <c r="F925" i="36"/>
  <c r="E925" i="36"/>
  <c r="D925" i="36"/>
  <c r="C925" i="36"/>
  <c r="B925" i="36"/>
  <c r="H924" i="36"/>
  <c r="G924" i="36"/>
  <c r="F924" i="36"/>
  <c r="E924" i="36"/>
  <c r="D924" i="36"/>
  <c r="C924" i="36"/>
  <c r="B924" i="36"/>
  <c r="H923" i="36"/>
  <c r="G923" i="36"/>
  <c r="F923" i="36"/>
  <c r="E923" i="36"/>
  <c r="D923" i="36"/>
  <c r="C923" i="36"/>
  <c r="B923" i="36"/>
  <c r="H922" i="36"/>
  <c r="G922" i="36"/>
  <c r="F922" i="36"/>
  <c r="E922" i="36"/>
  <c r="D922" i="36"/>
  <c r="C922" i="36"/>
  <c r="B922" i="36"/>
  <c r="H921" i="36"/>
  <c r="G921" i="36"/>
  <c r="F921" i="36"/>
  <c r="E921" i="36"/>
  <c r="D921" i="36"/>
  <c r="C921" i="36"/>
  <c r="B921" i="36"/>
  <c r="H920" i="36"/>
  <c r="G920" i="36"/>
  <c r="F920" i="36"/>
  <c r="E920" i="36"/>
  <c r="D920" i="36"/>
  <c r="C920" i="36"/>
  <c r="B920" i="36"/>
  <c r="H919" i="36"/>
  <c r="G919" i="36"/>
  <c r="F919" i="36"/>
  <c r="E919" i="36"/>
  <c r="D919" i="36"/>
  <c r="C919" i="36"/>
  <c r="B919" i="36"/>
  <c r="H918" i="36"/>
  <c r="G918" i="36"/>
  <c r="F918" i="36"/>
  <c r="E918" i="36"/>
  <c r="D918" i="36"/>
  <c r="C918" i="36"/>
  <c r="B918" i="36"/>
  <c r="H917" i="36"/>
  <c r="G917" i="36"/>
  <c r="F917" i="36"/>
  <c r="E917" i="36"/>
  <c r="D917" i="36"/>
  <c r="C917" i="36"/>
  <c r="B917" i="36"/>
  <c r="H916" i="36"/>
  <c r="G916" i="36"/>
  <c r="F916" i="36"/>
  <c r="E916" i="36"/>
  <c r="D916" i="36"/>
  <c r="C916" i="36"/>
  <c r="B916" i="36"/>
  <c r="H915" i="36"/>
  <c r="G915" i="36"/>
  <c r="F915" i="36"/>
  <c r="E915" i="36"/>
  <c r="D915" i="36"/>
  <c r="C915" i="36"/>
  <c r="B915" i="36"/>
  <c r="H914" i="36"/>
  <c r="G914" i="36"/>
  <c r="F914" i="36"/>
  <c r="E914" i="36"/>
  <c r="D914" i="36"/>
  <c r="C914" i="36"/>
  <c r="B914" i="36"/>
  <c r="H913" i="36"/>
  <c r="G913" i="36"/>
  <c r="F913" i="36"/>
  <c r="E913" i="36"/>
  <c r="D913" i="36"/>
  <c r="C913" i="36"/>
  <c r="B913" i="36"/>
  <c r="H912" i="36"/>
  <c r="G912" i="36"/>
  <c r="F912" i="36"/>
  <c r="E912" i="36"/>
  <c r="D912" i="36"/>
  <c r="C912" i="36"/>
  <c r="B912" i="36"/>
  <c r="H911" i="36"/>
  <c r="G911" i="36"/>
  <c r="F911" i="36"/>
  <c r="E911" i="36"/>
  <c r="D911" i="36"/>
  <c r="C911" i="36"/>
  <c r="B911" i="36"/>
  <c r="H908" i="36"/>
  <c r="G908" i="36"/>
  <c r="F908" i="36"/>
  <c r="E908" i="36"/>
  <c r="D908" i="36"/>
  <c r="C908" i="36"/>
  <c r="B908" i="36"/>
  <c r="H907" i="36"/>
  <c r="G907" i="36"/>
  <c r="F907" i="36"/>
  <c r="E907" i="36"/>
  <c r="D907" i="36"/>
  <c r="C907" i="36"/>
  <c r="B907" i="36"/>
  <c r="H906" i="36"/>
  <c r="G906" i="36"/>
  <c r="F906" i="36"/>
  <c r="E906" i="36"/>
  <c r="D906" i="36"/>
  <c r="C906" i="36"/>
  <c r="B906" i="36"/>
  <c r="H905" i="36"/>
  <c r="G905" i="36"/>
  <c r="F905" i="36"/>
  <c r="E905" i="36"/>
  <c r="D905" i="36"/>
  <c r="C905" i="36"/>
  <c r="B905" i="36"/>
  <c r="H904" i="36"/>
  <c r="G904" i="36"/>
  <c r="F904" i="36"/>
  <c r="E904" i="36"/>
  <c r="D904" i="36"/>
  <c r="C904" i="36"/>
  <c r="B904" i="36"/>
  <c r="H903" i="36"/>
  <c r="G903" i="36"/>
  <c r="F903" i="36"/>
  <c r="E903" i="36"/>
  <c r="D903" i="36"/>
  <c r="C903" i="36"/>
  <c r="B903" i="36"/>
  <c r="H902" i="36"/>
  <c r="G902" i="36"/>
  <c r="F902" i="36"/>
  <c r="E902" i="36"/>
  <c r="D902" i="36"/>
  <c r="C902" i="36"/>
  <c r="B902" i="36"/>
  <c r="H901" i="36"/>
  <c r="G901" i="36"/>
  <c r="F901" i="36"/>
  <c r="E901" i="36"/>
  <c r="D901" i="36"/>
  <c r="C901" i="36"/>
  <c r="B901" i="36"/>
  <c r="H900" i="36"/>
  <c r="G900" i="36"/>
  <c r="F900" i="36"/>
  <c r="E900" i="36"/>
  <c r="D900" i="36"/>
  <c r="C900" i="36"/>
  <c r="B900" i="36"/>
  <c r="H899" i="36"/>
  <c r="G899" i="36"/>
  <c r="F899" i="36"/>
  <c r="E899" i="36"/>
  <c r="D899" i="36"/>
  <c r="C899" i="36"/>
  <c r="B899" i="36"/>
  <c r="H898" i="36"/>
  <c r="G898" i="36"/>
  <c r="F898" i="36"/>
  <c r="E898" i="36"/>
  <c r="D898" i="36"/>
  <c r="C898" i="36"/>
  <c r="B898" i="36"/>
  <c r="H897" i="36"/>
  <c r="G897" i="36"/>
  <c r="F897" i="36"/>
  <c r="E897" i="36"/>
  <c r="D897" i="36"/>
  <c r="C897" i="36"/>
  <c r="B897" i="36"/>
  <c r="H896" i="36"/>
  <c r="G896" i="36"/>
  <c r="F896" i="36"/>
  <c r="E896" i="36"/>
  <c r="D896" i="36"/>
  <c r="C896" i="36"/>
  <c r="B896" i="36"/>
  <c r="H895" i="36"/>
  <c r="G895" i="36"/>
  <c r="F895" i="36"/>
  <c r="E895" i="36"/>
  <c r="D895" i="36"/>
  <c r="C895" i="36"/>
  <c r="B895" i="36"/>
  <c r="H894" i="36"/>
  <c r="G894" i="36"/>
  <c r="F894" i="36"/>
  <c r="E894" i="36"/>
  <c r="D894" i="36"/>
  <c r="C894" i="36"/>
  <c r="B894" i="36"/>
  <c r="H893" i="36"/>
  <c r="G893" i="36"/>
  <c r="F893" i="36"/>
  <c r="E893" i="36"/>
  <c r="D893" i="36"/>
  <c r="C893" i="36"/>
  <c r="B893" i="36"/>
  <c r="H892" i="36"/>
  <c r="G892" i="36"/>
  <c r="F892" i="36"/>
  <c r="E892" i="36"/>
  <c r="D892" i="36"/>
  <c r="C892" i="36"/>
  <c r="B892" i="36"/>
  <c r="H891" i="36"/>
  <c r="G891" i="36"/>
  <c r="F891" i="36"/>
  <c r="E891" i="36"/>
  <c r="D891" i="36"/>
  <c r="C891" i="36"/>
  <c r="B891" i="36"/>
  <c r="H890" i="36"/>
  <c r="G890" i="36"/>
  <c r="F890" i="36"/>
  <c r="E890" i="36"/>
  <c r="D890" i="36"/>
  <c r="C890" i="36"/>
  <c r="B890" i="36"/>
  <c r="H889" i="36"/>
  <c r="G889" i="36"/>
  <c r="F889" i="36"/>
  <c r="E889" i="36"/>
  <c r="D889" i="36"/>
  <c r="C889" i="36"/>
  <c r="B889" i="36"/>
  <c r="H888" i="36"/>
  <c r="G888" i="36"/>
  <c r="F888" i="36"/>
  <c r="E888" i="36"/>
  <c r="D888" i="36"/>
  <c r="C888" i="36"/>
  <c r="B888" i="36"/>
  <c r="H887" i="36"/>
  <c r="G887" i="36"/>
  <c r="F887" i="36"/>
  <c r="E887" i="36"/>
  <c r="D887" i="36"/>
  <c r="C887" i="36"/>
  <c r="B887" i="36"/>
  <c r="H886" i="36"/>
  <c r="G886" i="36"/>
  <c r="F886" i="36"/>
  <c r="E886" i="36"/>
  <c r="D886" i="36"/>
  <c r="C886" i="36"/>
  <c r="B886" i="36"/>
  <c r="H885" i="36"/>
  <c r="G885" i="36"/>
  <c r="F885" i="36"/>
  <c r="E885" i="36"/>
  <c r="D885" i="36"/>
  <c r="C885" i="36"/>
  <c r="B885" i="36"/>
  <c r="H884" i="36"/>
  <c r="G884" i="36"/>
  <c r="F884" i="36"/>
  <c r="E884" i="36"/>
  <c r="D884" i="36"/>
  <c r="C884" i="36"/>
  <c r="B884" i="36"/>
  <c r="H883" i="36"/>
  <c r="G883" i="36"/>
  <c r="F883" i="36"/>
  <c r="E883" i="36"/>
  <c r="D883" i="36"/>
  <c r="C883" i="36"/>
  <c r="B883" i="36"/>
  <c r="H882" i="36"/>
  <c r="G882" i="36"/>
  <c r="F882" i="36"/>
  <c r="E882" i="36"/>
  <c r="D882" i="36"/>
  <c r="C882" i="36"/>
  <c r="B882" i="36"/>
  <c r="H881" i="36"/>
  <c r="G881" i="36"/>
  <c r="F881" i="36"/>
  <c r="E881" i="36"/>
  <c r="D881" i="36"/>
  <c r="C881" i="36"/>
  <c r="B881" i="36"/>
  <c r="H880" i="36"/>
  <c r="G880" i="36"/>
  <c r="F880" i="36"/>
  <c r="E880" i="36"/>
  <c r="D880" i="36"/>
  <c r="C880" i="36"/>
  <c r="B880" i="36"/>
  <c r="H879" i="36"/>
  <c r="G879" i="36"/>
  <c r="F879" i="36"/>
  <c r="E879" i="36"/>
  <c r="D879" i="36"/>
  <c r="C879" i="36"/>
  <c r="B879" i="36"/>
  <c r="H878" i="36"/>
  <c r="G878" i="36"/>
  <c r="F878" i="36"/>
  <c r="E878" i="36"/>
  <c r="D878" i="36"/>
  <c r="C878" i="36"/>
  <c r="B878" i="36"/>
  <c r="H877" i="36"/>
  <c r="G877" i="36"/>
  <c r="F877" i="36"/>
  <c r="E877" i="36"/>
  <c r="D877" i="36"/>
  <c r="C877" i="36"/>
  <c r="B877" i="36"/>
  <c r="H876" i="36"/>
  <c r="G876" i="36"/>
  <c r="F876" i="36"/>
  <c r="E876" i="36"/>
  <c r="D876" i="36"/>
  <c r="C876" i="36"/>
  <c r="B876" i="36"/>
  <c r="H875" i="36"/>
  <c r="G875" i="36"/>
  <c r="F875" i="36"/>
  <c r="E875" i="36"/>
  <c r="D875" i="36"/>
  <c r="C875" i="36"/>
  <c r="B875" i="36"/>
  <c r="H874" i="36"/>
  <c r="G874" i="36"/>
  <c r="F874" i="36"/>
  <c r="E874" i="36"/>
  <c r="D874" i="36"/>
  <c r="C874" i="36"/>
  <c r="B874" i="36"/>
  <c r="H873" i="36"/>
  <c r="G873" i="36"/>
  <c r="F873" i="36"/>
  <c r="E873" i="36"/>
  <c r="D873" i="36"/>
  <c r="C873" i="36"/>
  <c r="B873" i="36"/>
  <c r="H872" i="36"/>
  <c r="G872" i="36"/>
  <c r="F872" i="36"/>
  <c r="E872" i="36"/>
  <c r="D872" i="36"/>
  <c r="C872" i="36"/>
  <c r="B872" i="36"/>
  <c r="H871" i="36"/>
  <c r="G871" i="36"/>
  <c r="F871" i="36"/>
  <c r="E871" i="36"/>
  <c r="D871" i="36"/>
  <c r="C871" i="36"/>
  <c r="B871" i="36"/>
  <c r="H870" i="36"/>
  <c r="G870" i="36"/>
  <c r="F870" i="36"/>
  <c r="E870" i="36"/>
  <c r="D870" i="36"/>
  <c r="C870" i="36"/>
  <c r="B870" i="36"/>
  <c r="H869" i="36"/>
  <c r="G869" i="36"/>
  <c r="F869" i="36"/>
  <c r="E869" i="36"/>
  <c r="D869" i="36"/>
  <c r="C869" i="36"/>
  <c r="B869" i="36"/>
  <c r="H868" i="36"/>
  <c r="G868" i="36"/>
  <c r="F868" i="36"/>
  <c r="E868" i="36"/>
  <c r="D868" i="36"/>
  <c r="C868" i="36"/>
  <c r="B868" i="36"/>
  <c r="H867" i="36"/>
  <c r="G867" i="36"/>
  <c r="F867" i="36"/>
  <c r="E867" i="36"/>
  <c r="D867" i="36"/>
  <c r="C867" i="36"/>
  <c r="B867" i="36"/>
  <c r="H866" i="36"/>
  <c r="G866" i="36"/>
  <c r="F866" i="36"/>
  <c r="E866" i="36"/>
  <c r="D866" i="36"/>
  <c r="C866" i="36"/>
  <c r="B866" i="36"/>
  <c r="H865" i="36"/>
  <c r="G865" i="36"/>
  <c r="F865" i="36"/>
  <c r="E865" i="36"/>
  <c r="D865" i="36"/>
  <c r="C865" i="36"/>
  <c r="B865" i="36"/>
  <c r="H864" i="36"/>
  <c r="G864" i="36"/>
  <c r="F864" i="36"/>
  <c r="E864" i="36"/>
  <c r="D864" i="36"/>
  <c r="C864" i="36"/>
  <c r="B864" i="36"/>
  <c r="H863" i="36"/>
  <c r="G863" i="36"/>
  <c r="F863" i="36"/>
  <c r="E863" i="36"/>
  <c r="D863" i="36"/>
  <c r="C863" i="36"/>
  <c r="B863" i="36"/>
  <c r="H862" i="36"/>
  <c r="G862" i="36"/>
  <c r="F862" i="36"/>
  <c r="E862" i="36"/>
  <c r="D862" i="36"/>
  <c r="C862" i="36"/>
  <c r="B862" i="36"/>
  <c r="H861" i="36"/>
  <c r="G861" i="36"/>
  <c r="F861" i="36"/>
  <c r="E861" i="36"/>
  <c r="D861" i="36"/>
  <c r="C861" i="36"/>
  <c r="B861" i="36"/>
  <c r="H860" i="36"/>
  <c r="G860" i="36"/>
  <c r="F860" i="36"/>
  <c r="E860" i="36"/>
  <c r="D860" i="36"/>
  <c r="C860" i="36"/>
  <c r="B860" i="36"/>
  <c r="H859" i="36"/>
  <c r="G859" i="36"/>
  <c r="F859" i="36"/>
  <c r="E859" i="36"/>
  <c r="D859" i="36"/>
  <c r="C859" i="36"/>
  <c r="B859" i="36"/>
  <c r="H858" i="36"/>
  <c r="G858" i="36"/>
  <c r="F858" i="36"/>
  <c r="E858" i="36"/>
  <c r="D858" i="36"/>
  <c r="C858" i="36"/>
  <c r="B858" i="36"/>
  <c r="H857" i="36"/>
  <c r="G857" i="36"/>
  <c r="F857" i="36"/>
  <c r="E857" i="36"/>
  <c r="D857" i="36"/>
  <c r="C857" i="36"/>
  <c r="B857" i="36"/>
  <c r="H856" i="36"/>
  <c r="G856" i="36"/>
  <c r="F856" i="36"/>
  <c r="E856" i="36"/>
  <c r="D856" i="36"/>
  <c r="C856" i="36"/>
  <c r="B856" i="36"/>
  <c r="H855" i="36"/>
  <c r="G855" i="36"/>
  <c r="F855" i="36"/>
  <c r="E855" i="36"/>
  <c r="D855" i="36"/>
  <c r="C855" i="36"/>
  <c r="B855" i="36"/>
  <c r="H854" i="36"/>
  <c r="G854" i="36"/>
  <c r="F854" i="36"/>
  <c r="E854" i="36"/>
  <c r="D854" i="36"/>
  <c r="C854" i="36"/>
  <c r="B854" i="36"/>
  <c r="H853" i="36"/>
  <c r="G853" i="36"/>
  <c r="F853" i="36"/>
  <c r="E853" i="36"/>
  <c r="D853" i="36"/>
  <c r="C853" i="36"/>
  <c r="B853" i="36"/>
  <c r="H852" i="36"/>
  <c r="G852" i="36"/>
  <c r="F852" i="36"/>
  <c r="E852" i="36"/>
  <c r="D852" i="36"/>
  <c r="C852" i="36"/>
  <c r="B852" i="36"/>
  <c r="H851" i="36"/>
  <c r="G851" i="36"/>
  <c r="F851" i="36"/>
  <c r="E851" i="36"/>
  <c r="D851" i="36"/>
  <c r="C851" i="36"/>
  <c r="B851" i="36"/>
  <c r="H850" i="36"/>
  <c r="G850" i="36"/>
  <c r="F850" i="36"/>
  <c r="E850" i="36"/>
  <c r="D850" i="36"/>
  <c r="C850" i="36"/>
  <c r="B850" i="36"/>
  <c r="H849" i="36"/>
  <c r="G849" i="36"/>
  <c r="F849" i="36"/>
  <c r="E849" i="36"/>
  <c r="D849" i="36"/>
  <c r="C849" i="36"/>
  <c r="B849" i="36"/>
  <c r="H848" i="36"/>
  <c r="G848" i="36"/>
  <c r="F848" i="36"/>
  <c r="E848" i="36"/>
  <c r="D848" i="36"/>
  <c r="C848" i="36"/>
  <c r="B848" i="36"/>
  <c r="H847" i="36"/>
  <c r="G847" i="36"/>
  <c r="F847" i="36"/>
  <c r="E847" i="36"/>
  <c r="D847" i="36"/>
  <c r="C847" i="36"/>
  <c r="B847" i="36"/>
  <c r="H846" i="36"/>
  <c r="G846" i="36"/>
  <c r="F846" i="36"/>
  <c r="E846" i="36"/>
  <c r="D846" i="36"/>
  <c r="C846" i="36"/>
  <c r="B846" i="36"/>
  <c r="H845" i="36"/>
  <c r="G845" i="36"/>
  <c r="F845" i="36"/>
  <c r="E845" i="36"/>
  <c r="D845" i="36"/>
  <c r="C845" i="36"/>
  <c r="B845" i="36"/>
  <c r="H844" i="36"/>
  <c r="G844" i="36"/>
  <c r="F844" i="36"/>
  <c r="E844" i="36"/>
  <c r="D844" i="36"/>
  <c r="C844" i="36"/>
  <c r="B844" i="36"/>
  <c r="H843" i="36"/>
  <c r="G843" i="36"/>
  <c r="F843" i="36"/>
  <c r="E843" i="36"/>
  <c r="D843" i="36"/>
  <c r="C843" i="36"/>
  <c r="B843" i="36"/>
  <c r="H842" i="36"/>
  <c r="G842" i="36"/>
  <c r="F842" i="36"/>
  <c r="E842" i="36"/>
  <c r="D842" i="36"/>
  <c r="C842" i="36"/>
  <c r="B842" i="36"/>
  <c r="H841" i="36"/>
  <c r="G841" i="36"/>
  <c r="F841" i="36"/>
  <c r="E841" i="36"/>
  <c r="D841" i="36"/>
  <c r="C841" i="36"/>
  <c r="B841" i="36"/>
  <c r="H840" i="36"/>
  <c r="G840" i="36"/>
  <c r="F840" i="36"/>
  <c r="E840" i="36"/>
  <c r="D840" i="36"/>
  <c r="C840" i="36"/>
  <c r="B840" i="36"/>
  <c r="H839" i="36"/>
  <c r="G839" i="36"/>
  <c r="F839" i="36"/>
  <c r="E839" i="36"/>
  <c r="D839" i="36"/>
  <c r="C839" i="36"/>
  <c r="B839" i="36"/>
  <c r="H838" i="36"/>
  <c r="G838" i="36"/>
  <c r="F838" i="36"/>
  <c r="E838" i="36"/>
  <c r="D838" i="36"/>
  <c r="C838" i="36"/>
  <c r="B838" i="36"/>
  <c r="H837" i="36"/>
  <c r="G837" i="36"/>
  <c r="F837" i="36"/>
  <c r="E837" i="36"/>
  <c r="D837" i="36"/>
  <c r="C837" i="36"/>
  <c r="B837" i="36"/>
  <c r="H836" i="36"/>
  <c r="G836" i="36"/>
  <c r="F836" i="36"/>
  <c r="E836" i="36"/>
  <c r="D836" i="36"/>
  <c r="C836" i="36"/>
  <c r="B836" i="36"/>
  <c r="H835" i="36"/>
  <c r="G835" i="36"/>
  <c r="F835" i="36"/>
  <c r="E835" i="36"/>
  <c r="D835" i="36"/>
  <c r="C835" i="36"/>
  <c r="B835" i="36"/>
  <c r="H834" i="36"/>
  <c r="G834" i="36"/>
  <c r="F834" i="36"/>
  <c r="E834" i="36"/>
  <c r="D834" i="36"/>
  <c r="C834" i="36"/>
  <c r="B834" i="36"/>
  <c r="H833" i="36"/>
  <c r="G833" i="36"/>
  <c r="F833" i="36"/>
  <c r="E833" i="36"/>
  <c r="D833" i="36"/>
  <c r="C833" i="36"/>
  <c r="B833" i="36"/>
  <c r="H832" i="36"/>
  <c r="G832" i="36"/>
  <c r="F832" i="36"/>
  <c r="E832" i="36"/>
  <c r="D832" i="36"/>
  <c r="C832" i="36"/>
  <c r="B832" i="36"/>
  <c r="H831" i="36"/>
  <c r="G831" i="36"/>
  <c r="F831" i="36"/>
  <c r="E831" i="36"/>
  <c r="D831" i="36"/>
  <c r="C831" i="36"/>
  <c r="B831" i="36"/>
  <c r="H830" i="36"/>
  <c r="G830" i="36"/>
  <c r="F830" i="36"/>
  <c r="E830" i="36"/>
  <c r="D830" i="36"/>
  <c r="C830" i="36"/>
  <c r="B830" i="36"/>
  <c r="H829" i="36"/>
  <c r="G829" i="36"/>
  <c r="F829" i="36"/>
  <c r="E829" i="36"/>
  <c r="D829" i="36"/>
  <c r="C829" i="36"/>
  <c r="B829" i="36"/>
  <c r="H828" i="36"/>
  <c r="G828" i="36"/>
  <c r="F828" i="36"/>
  <c r="E828" i="36"/>
  <c r="D828" i="36"/>
  <c r="C828" i="36"/>
  <c r="B828" i="36"/>
  <c r="H827" i="36"/>
  <c r="G827" i="36"/>
  <c r="F827" i="36"/>
  <c r="E827" i="36"/>
  <c r="D827" i="36"/>
  <c r="C827" i="36"/>
  <c r="B827" i="36"/>
  <c r="H826" i="36"/>
  <c r="G826" i="36"/>
  <c r="F826" i="36"/>
  <c r="E826" i="36"/>
  <c r="D826" i="36"/>
  <c r="C826" i="36"/>
  <c r="B826" i="36"/>
  <c r="H825" i="36"/>
  <c r="G825" i="36"/>
  <c r="F825" i="36"/>
  <c r="E825" i="36"/>
  <c r="D825" i="36"/>
  <c r="C825" i="36"/>
  <c r="B825" i="36"/>
  <c r="H824" i="36"/>
  <c r="G824" i="36"/>
  <c r="F824" i="36"/>
  <c r="E824" i="36"/>
  <c r="D824" i="36"/>
  <c r="C824" i="36"/>
  <c r="B824" i="36"/>
  <c r="H823" i="36"/>
  <c r="G823" i="36"/>
  <c r="F823" i="36"/>
  <c r="E823" i="36"/>
  <c r="D823" i="36"/>
  <c r="C823" i="36"/>
  <c r="B823" i="36"/>
  <c r="H822" i="36"/>
  <c r="G822" i="36"/>
  <c r="F822" i="36"/>
  <c r="E822" i="36"/>
  <c r="D822" i="36"/>
  <c r="C822" i="36"/>
  <c r="B822" i="36"/>
  <c r="H821" i="36"/>
  <c r="G821" i="36"/>
  <c r="F821" i="36"/>
  <c r="E821" i="36"/>
  <c r="D821" i="36"/>
  <c r="C821" i="36"/>
  <c r="B821" i="36"/>
  <c r="H820" i="36"/>
  <c r="G820" i="36"/>
  <c r="F820" i="36"/>
  <c r="E820" i="36"/>
  <c r="D820" i="36"/>
  <c r="C820" i="36"/>
  <c r="B820" i="36"/>
  <c r="H819" i="36"/>
  <c r="G819" i="36"/>
  <c r="F819" i="36"/>
  <c r="E819" i="36"/>
  <c r="D819" i="36"/>
  <c r="C819" i="36"/>
  <c r="B819" i="36"/>
  <c r="H818" i="36"/>
  <c r="G818" i="36"/>
  <c r="F818" i="36"/>
  <c r="E818" i="36"/>
  <c r="D818" i="36"/>
  <c r="C818" i="36"/>
  <c r="B818" i="36"/>
  <c r="H817" i="36"/>
  <c r="G817" i="36"/>
  <c r="F817" i="36"/>
  <c r="E817" i="36"/>
  <c r="D817" i="36"/>
  <c r="C817" i="36"/>
  <c r="B817" i="36"/>
  <c r="H816" i="36"/>
  <c r="G816" i="36"/>
  <c r="F816" i="36"/>
  <c r="E816" i="36"/>
  <c r="D816" i="36"/>
  <c r="C816" i="36"/>
  <c r="B816" i="36"/>
  <c r="H815" i="36"/>
  <c r="G815" i="36"/>
  <c r="F815" i="36"/>
  <c r="E815" i="36"/>
  <c r="D815" i="36"/>
  <c r="C815" i="36"/>
  <c r="B815" i="36"/>
  <c r="H814" i="36"/>
  <c r="G814" i="36"/>
  <c r="F814" i="36"/>
  <c r="E814" i="36"/>
  <c r="D814" i="36"/>
  <c r="C814" i="36"/>
  <c r="B814" i="36"/>
  <c r="H813" i="36"/>
  <c r="G813" i="36"/>
  <c r="F813" i="36"/>
  <c r="E813" i="36"/>
  <c r="D813" i="36"/>
  <c r="C813" i="36"/>
  <c r="B813" i="36"/>
  <c r="H812" i="36"/>
  <c r="G812" i="36"/>
  <c r="F812" i="36"/>
  <c r="E812" i="36"/>
  <c r="D812" i="36"/>
  <c r="C812" i="36"/>
  <c r="B812" i="36"/>
  <c r="H811" i="36"/>
  <c r="G811" i="36"/>
  <c r="F811" i="36"/>
  <c r="E811" i="36"/>
  <c r="D811" i="36"/>
  <c r="C811" i="36"/>
  <c r="B811" i="36"/>
  <c r="H810" i="36"/>
  <c r="G810" i="36"/>
  <c r="F810" i="36"/>
  <c r="E810" i="36"/>
  <c r="D810" i="36"/>
  <c r="C810" i="36"/>
  <c r="B810" i="36"/>
  <c r="H809" i="36"/>
  <c r="G809" i="36"/>
  <c r="F809" i="36"/>
  <c r="E809" i="36"/>
  <c r="D809" i="36"/>
  <c r="C809" i="36"/>
  <c r="B809" i="36"/>
  <c r="H808" i="36"/>
  <c r="G808" i="36"/>
  <c r="F808" i="36"/>
  <c r="E808" i="36"/>
  <c r="D808" i="36"/>
  <c r="C808" i="36"/>
  <c r="B808" i="36"/>
  <c r="H807" i="36"/>
  <c r="G807" i="36"/>
  <c r="F807" i="36"/>
  <c r="E807" i="36"/>
  <c r="D807" i="36"/>
  <c r="C807" i="36"/>
  <c r="B807" i="36"/>
  <c r="H806" i="36"/>
  <c r="G806" i="36"/>
  <c r="F806" i="36"/>
  <c r="E806" i="36"/>
  <c r="D806" i="36"/>
  <c r="C806" i="36"/>
  <c r="B806" i="36"/>
  <c r="H805" i="36"/>
  <c r="G805" i="36"/>
  <c r="F805" i="36"/>
  <c r="E805" i="36"/>
  <c r="D805" i="36"/>
  <c r="C805" i="36"/>
  <c r="B805" i="36"/>
  <c r="H804" i="36"/>
  <c r="G804" i="36"/>
  <c r="F804" i="36"/>
  <c r="E804" i="36"/>
  <c r="D804" i="36"/>
  <c r="C804" i="36"/>
  <c r="B804" i="36"/>
  <c r="H803" i="36"/>
  <c r="G803" i="36"/>
  <c r="F803" i="36"/>
  <c r="E803" i="36"/>
  <c r="D803" i="36"/>
  <c r="C803" i="36"/>
  <c r="B803" i="36"/>
  <c r="H802" i="36"/>
  <c r="G802" i="36"/>
  <c r="F802" i="36"/>
  <c r="E802" i="36"/>
  <c r="D802" i="36"/>
  <c r="C802" i="36"/>
  <c r="B802" i="36"/>
  <c r="H801" i="36"/>
  <c r="G801" i="36"/>
  <c r="F801" i="36"/>
  <c r="E801" i="36"/>
  <c r="D801" i="36"/>
  <c r="C801" i="36"/>
  <c r="B801" i="36"/>
  <c r="H800" i="36"/>
  <c r="G800" i="36"/>
  <c r="F800" i="36"/>
  <c r="E800" i="36"/>
  <c r="D800" i="36"/>
  <c r="C800" i="36"/>
  <c r="B800" i="36"/>
  <c r="H799" i="36"/>
  <c r="G799" i="36"/>
  <c r="F799" i="36"/>
  <c r="E799" i="36"/>
  <c r="D799" i="36"/>
  <c r="C799" i="36"/>
  <c r="B799" i="36"/>
  <c r="H798" i="36"/>
  <c r="G798" i="36"/>
  <c r="F798" i="36"/>
  <c r="E798" i="36"/>
  <c r="D798" i="36"/>
  <c r="C798" i="36"/>
  <c r="B798" i="36"/>
  <c r="H797" i="36"/>
  <c r="G797" i="36"/>
  <c r="F797" i="36"/>
  <c r="E797" i="36"/>
  <c r="D797" i="36"/>
  <c r="C797" i="36"/>
  <c r="B797" i="36"/>
  <c r="H796" i="36"/>
  <c r="G796" i="36"/>
  <c r="F796" i="36"/>
  <c r="E796" i="36"/>
  <c r="D796" i="36"/>
  <c r="C796" i="36"/>
  <c r="B796" i="36"/>
  <c r="H795" i="36"/>
  <c r="G795" i="36"/>
  <c r="F795" i="36"/>
  <c r="E795" i="36"/>
  <c r="D795" i="36"/>
  <c r="C795" i="36"/>
  <c r="B795" i="36"/>
  <c r="H794" i="36"/>
  <c r="G794" i="36"/>
  <c r="F794" i="36"/>
  <c r="E794" i="36"/>
  <c r="D794" i="36"/>
  <c r="C794" i="36"/>
  <c r="B794" i="36"/>
  <c r="H793" i="36"/>
  <c r="G793" i="36"/>
  <c r="F793" i="36"/>
  <c r="E793" i="36"/>
  <c r="D793" i="36"/>
  <c r="C793" i="36"/>
  <c r="B793" i="36"/>
  <c r="H792" i="36"/>
  <c r="G792" i="36"/>
  <c r="F792" i="36"/>
  <c r="E792" i="36"/>
  <c r="D792" i="36"/>
  <c r="C792" i="36"/>
  <c r="B792" i="36"/>
  <c r="H791" i="36"/>
  <c r="G791" i="36"/>
  <c r="F791" i="36"/>
  <c r="E791" i="36"/>
  <c r="D791" i="36"/>
  <c r="C791" i="36"/>
  <c r="B791" i="36"/>
  <c r="H790" i="36"/>
  <c r="G790" i="36"/>
  <c r="F790" i="36"/>
  <c r="E790" i="36"/>
  <c r="D790" i="36"/>
  <c r="C790" i="36"/>
  <c r="B790" i="36"/>
  <c r="H789" i="36"/>
  <c r="G789" i="36"/>
  <c r="F789" i="36"/>
  <c r="E789" i="36"/>
  <c r="D789" i="36"/>
  <c r="C789" i="36"/>
  <c r="B789" i="36"/>
  <c r="H788" i="36"/>
  <c r="G788" i="36"/>
  <c r="F788" i="36"/>
  <c r="E788" i="36"/>
  <c r="D788" i="36"/>
  <c r="C788" i="36"/>
  <c r="B788" i="36"/>
  <c r="H787" i="36"/>
  <c r="G787" i="36"/>
  <c r="F787" i="36"/>
  <c r="E787" i="36"/>
  <c r="D787" i="36"/>
  <c r="C787" i="36"/>
  <c r="B787" i="36"/>
  <c r="H786" i="36"/>
  <c r="G786" i="36"/>
  <c r="F786" i="36"/>
  <c r="E786" i="36"/>
  <c r="D786" i="36"/>
  <c r="C786" i="36"/>
  <c r="B786" i="36"/>
  <c r="H785" i="36"/>
  <c r="G785" i="36"/>
  <c r="F785" i="36"/>
  <c r="E785" i="36"/>
  <c r="D785" i="36"/>
  <c r="C785" i="36"/>
  <c r="B785" i="36"/>
  <c r="H784" i="36"/>
  <c r="G784" i="36"/>
  <c r="F784" i="36"/>
  <c r="E784" i="36"/>
  <c r="D784" i="36"/>
  <c r="C784" i="36"/>
  <c r="B784" i="36"/>
  <c r="H783" i="36"/>
  <c r="G783" i="36"/>
  <c r="F783" i="36"/>
  <c r="E783" i="36"/>
  <c r="D783" i="36"/>
  <c r="C783" i="36"/>
  <c r="B783" i="36"/>
  <c r="H782" i="36"/>
  <c r="G782" i="36"/>
  <c r="F782" i="36"/>
  <c r="E782" i="36"/>
  <c r="D782" i="36"/>
  <c r="C782" i="36"/>
  <c r="B782" i="36"/>
  <c r="H781" i="36"/>
  <c r="G781" i="36"/>
  <c r="F781" i="36"/>
  <c r="E781" i="36"/>
  <c r="D781" i="36"/>
  <c r="C781" i="36"/>
  <c r="B781" i="36"/>
  <c r="H780" i="36"/>
  <c r="G780" i="36"/>
  <c r="F780" i="36"/>
  <c r="E780" i="36"/>
  <c r="D780" i="36"/>
  <c r="C780" i="36"/>
  <c r="B780" i="36"/>
  <c r="H779" i="36"/>
  <c r="G779" i="36"/>
  <c r="F779" i="36"/>
  <c r="E779" i="36"/>
  <c r="D779" i="36"/>
  <c r="C779" i="36"/>
  <c r="B779" i="36"/>
  <c r="H778" i="36"/>
  <c r="G778" i="36"/>
  <c r="F778" i="36"/>
  <c r="E778" i="36"/>
  <c r="D778" i="36"/>
  <c r="C778" i="36"/>
  <c r="B778" i="36"/>
  <c r="H777" i="36"/>
  <c r="G777" i="36"/>
  <c r="F777" i="36"/>
  <c r="E777" i="36"/>
  <c r="D777" i="36"/>
  <c r="C777" i="36"/>
  <c r="B777" i="36"/>
  <c r="H776" i="36"/>
  <c r="G776" i="36"/>
  <c r="F776" i="36"/>
  <c r="E776" i="36"/>
  <c r="D776" i="36"/>
  <c r="C776" i="36"/>
  <c r="B776" i="36"/>
  <c r="H775" i="36"/>
  <c r="G775" i="36"/>
  <c r="F775" i="36"/>
  <c r="E775" i="36"/>
  <c r="D775" i="36"/>
  <c r="C775" i="36"/>
  <c r="B775" i="36"/>
  <c r="H774" i="36"/>
  <c r="G774" i="36"/>
  <c r="F774" i="36"/>
  <c r="E774" i="36"/>
  <c r="D774" i="36"/>
  <c r="C774" i="36"/>
  <c r="B774" i="36"/>
  <c r="H773" i="36"/>
  <c r="G773" i="36"/>
  <c r="F773" i="36"/>
  <c r="E773" i="36"/>
  <c r="D773" i="36"/>
  <c r="C773" i="36"/>
  <c r="B773" i="36"/>
  <c r="H772" i="36"/>
  <c r="G772" i="36"/>
  <c r="F772" i="36"/>
  <c r="E772" i="36"/>
  <c r="D772" i="36"/>
  <c r="C772" i="36"/>
  <c r="B772" i="36"/>
  <c r="H771" i="36"/>
  <c r="G771" i="36"/>
  <c r="F771" i="36"/>
  <c r="E771" i="36"/>
  <c r="D771" i="36"/>
  <c r="C771" i="36"/>
  <c r="B771" i="36"/>
  <c r="H770" i="36"/>
  <c r="G770" i="36"/>
  <c r="F770" i="36"/>
  <c r="E770" i="36"/>
  <c r="D770" i="36"/>
  <c r="C770" i="36"/>
  <c r="B770" i="36"/>
  <c r="H769" i="36"/>
  <c r="G769" i="36"/>
  <c r="F769" i="36"/>
  <c r="E769" i="36"/>
  <c r="D769" i="36"/>
  <c r="C769" i="36"/>
  <c r="B769" i="36"/>
  <c r="H768" i="36"/>
  <c r="G768" i="36"/>
  <c r="F768" i="36"/>
  <c r="E768" i="36"/>
  <c r="D768" i="36"/>
  <c r="C768" i="36"/>
  <c r="B768" i="36"/>
  <c r="H767" i="36"/>
  <c r="G767" i="36"/>
  <c r="F767" i="36"/>
  <c r="E767" i="36"/>
  <c r="D767" i="36"/>
  <c r="C767" i="36"/>
  <c r="B767" i="36"/>
  <c r="H766" i="36"/>
  <c r="G766" i="36"/>
  <c r="F766" i="36"/>
  <c r="E766" i="36"/>
  <c r="D766" i="36"/>
  <c r="C766" i="36"/>
  <c r="B766" i="36"/>
  <c r="H765" i="36"/>
  <c r="G765" i="36"/>
  <c r="F765" i="36"/>
  <c r="E765" i="36"/>
  <c r="D765" i="36"/>
  <c r="C765" i="36"/>
  <c r="B765" i="36"/>
  <c r="H764" i="36"/>
  <c r="G764" i="36"/>
  <c r="F764" i="36"/>
  <c r="E764" i="36"/>
  <c r="D764" i="36"/>
  <c r="C764" i="36"/>
  <c r="B764" i="36"/>
  <c r="H763" i="36"/>
  <c r="G763" i="36"/>
  <c r="F763" i="36"/>
  <c r="E763" i="36"/>
  <c r="D763" i="36"/>
  <c r="C763" i="36"/>
  <c r="B763" i="36"/>
  <c r="H762" i="36"/>
  <c r="G762" i="36"/>
  <c r="F762" i="36"/>
  <c r="E762" i="36"/>
  <c r="D762" i="36"/>
  <c r="C762" i="36"/>
  <c r="B762" i="36"/>
  <c r="H761" i="36"/>
  <c r="G761" i="36"/>
  <c r="F761" i="36"/>
  <c r="E761" i="36"/>
  <c r="D761" i="36"/>
  <c r="C761" i="36"/>
  <c r="B761" i="36"/>
  <c r="H760" i="36"/>
  <c r="G760" i="36"/>
  <c r="F760" i="36"/>
  <c r="E760" i="36"/>
  <c r="D760" i="36"/>
  <c r="C760" i="36"/>
  <c r="B760" i="36"/>
  <c r="H759" i="36"/>
  <c r="G759" i="36"/>
  <c r="F759" i="36"/>
  <c r="E759" i="36"/>
  <c r="D759" i="36"/>
  <c r="C759" i="36"/>
  <c r="B759" i="36"/>
  <c r="H758" i="36"/>
  <c r="G758" i="36"/>
  <c r="F758" i="36"/>
  <c r="E758" i="36"/>
  <c r="D758" i="36"/>
  <c r="C758" i="36"/>
  <c r="B758" i="36"/>
  <c r="H757" i="36"/>
  <c r="G757" i="36"/>
  <c r="F757" i="36"/>
  <c r="E757" i="36"/>
  <c r="D757" i="36"/>
  <c r="C757" i="36"/>
  <c r="B757" i="36"/>
  <c r="H756" i="36"/>
  <c r="G756" i="36"/>
  <c r="F756" i="36"/>
  <c r="E756" i="36"/>
  <c r="D756" i="36"/>
  <c r="C756" i="36"/>
  <c r="B756" i="36"/>
  <c r="H755" i="36"/>
  <c r="G755" i="36"/>
  <c r="F755" i="36"/>
  <c r="E755" i="36"/>
  <c r="D755" i="36"/>
  <c r="C755" i="36"/>
  <c r="B755" i="36"/>
  <c r="H754" i="36"/>
  <c r="G754" i="36"/>
  <c r="F754" i="36"/>
  <c r="E754" i="36"/>
  <c r="D754" i="36"/>
  <c r="C754" i="36"/>
  <c r="B754" i="36"/>
  <c r="H753" i="36"/>
  <c r="G753" i="36"/>
  <c r="F753" i="36"/>
  <c r="E753" i="36"/>
  <c r="D753" i="36"/>
  <c r="C753" i="36"/>
  <c r="B753" i="36"/>
  <c r="H752" i="36"/>
  <c r="G752" i="36"/>
  <c r="F752" i="36"/>
  <c r="E752" i="36"/>
  <c r="D752" i="36"/>
  <c r="C752" i="36"/>
  <c r="B752" i="36"/>
  <c r="H751" i="36"/>
  <c r="G751" i="36"/>
  <c r="F751" i="36"/>
  <c r="E751" i="36"/>
  <c r="D751" i="36"/>
  <c r="C751" i="36"/>
  <c r="B751" i="36"/>
  <c r="H750" i="36"/>
  <c r="G750" i="36"/>
  <c r="F750" i="36"/>
  <c r="E750" i="36"/>
  <c r="D750" i="36"/>
  <c r="C750" i="36"/>
  <c r="B750" i="36"/>
  <c r="H749" i="36"/>
  <c r="G749" i="36"/>
  <c r="F749" i="36"/>
  <c r="E749" i="36"/>
  <c r="D749" i="36"/>
  <c r="C749" i="36"/>
  <c r="B749" i="36"/>
  <c r="H748" i="36"/>
  <c r="G748" i="36"/>
  <c r="F748" i="36"/>
  <c r="E748" i="36"/>
  <c r="D748" i="36"/>
  <c r="C748" i="36"/>
  <c r="B748" i="36"/>
  <c r="H747" i="36"/>
  <c r="G747" i="36"/>
  <c r="F747" i="36"/>
  <c r="E747" i="36"/>
  <c r="D747" i="36"/>
  <c r="C747" i="36"/>
  <c r="B747" i="36"/>
  <c r="H746" i="36"/>
  <c r="G746" i="36"/>
  <c r="F746" i="36"/>
  <c r="E746" i="36"/>
  <c r="D746" i="36"/>
  <c r="C746" i="36"/>
  <c r="B746" i="36"/>
  <c r="H745" i="36"/>
  <c r="G745" i="36"/>
  <c r="F745" i="36"/>
  <c r="E745" i="36"/>
  <c r="D745" i="36"/>
  <c r="C745" i="36"/>
  <c r="B745" i="36"/>
  <c r="H744" i="36"/>
  <c r="G744" i="36"/>
  <c r="F744" i="36"/>
  <c r="E744" i="36"/>
  <c r="D744" i="36"/>
  <c r="C744" i="36"/>
  <c r="B744" i="36"/>
  <c r="H743" i="36"/>
  <c r="G743" i="36"/>
  <c r="F743" i="36"/>
  <c r="E743" i="36"/>
  <c r="D743" i="36"/>
  <c r="C743" i="36"/>
  <c r="B743" i="36"/>
  <c r="H742" i="36"/>
  <c r="G742" i="36"/>
  <c r="F742" i="36"/>
  <c r="E742" i="36"/>
  <c r="D742" i="36"/>
  <c r="C742" i="36"/>
  <c r="B742" i="36"/>
  <c r="H741" i="36"/>
  <c r="G741" i="36"/>
  <c r="F741" i="36"/>
  <c r="E741" i="36"/>
  <c r="D741" i="36"/>
  <c r="C741" i="36"/>
  <c r="B741" i="36"/>
  <c r="H740" i="36"/>
  <c r="G740" i="36"/>
  <c r="F740" i="36"/>
  <c r="E740" i="36"/>
  <c r="D740" i="36"/>
  <c r="C740" i="36"/>
  <c r="B740" i="36"/>
  <c r="H739" i="36"/>
  <c r="G739" i="36"/>
  <c r="F739" i="36"/>
  <c r="E739" i="36"/>
  <c r="D739" i="36"/>
  <c r="C739" i="36"/>
  <c r="B739" i="36"/>
  <c r="H738" i="36"/>
  <c r="G738" i="36"/>
  <c r="F738" i="36"/>
  <c r="E738" i="36"/>
  <c r="D738" i="36"/>
  <c r="C738" i="36"/>
  <c r="B738" i="36"/>
  <c r="H737" i="36"/>
  <c r="G737" i="36"/>
  <c r="F737" i="36"/>
  <c r="E737" i="36"/>
  <c r="D737" i="36"/>
  <c r="C737" i="36"/>
  <c r="B737" i="36"/>
  <c r="H736" i="36"/>
  <c r="G736" i="36"/>
  <c r="F736" i="36"/>
  <c r="E736" i="36"/>
  <c r="D736" i="36"/>
  <c r="C736" i="36"/>
  <c r="B736" i="36"/>
  <c r="H735" i="36"/>
  <c r="G735" i="36"/>
  <c r="F735" i="36"/>
  <c r="E735" i="36"/>
  <c r="D735" i="36"/>
  <c r="C735" i="36"/>
  <c r="B735" i="36"/>
  <c r="H734" i="36"/>
  <c r="G734" i="36"/>
  <c r="F734" i="36"/>
  <c r="E734" i="36"/>
  <c r="D734" i="36"/>
  <c r="C734" i="36"/>
  <c r="B734" i="36"/>
  <c r="H733" i="36"/>
  <c r="G733" i="36"/>
  <c r="F733" i="36"/>
  <c r="E733" i="36"/>
  <c r="D733" i="36"/>
  <c r="C733" i="36"/>
  <c r="B733" i="36"/>
  <c r="H732" i="36"/>
  <c r="G732" i="36"/>
  <c r="F732" i="36"/>
  <c r="E732" i="36"/>
  <c r="D732" i="36"/>
  <c r="C732" i="36"/>
  <c r="B732" i="36"/>
  <c r="H731" i="36"/>
  <c r="G731" i="36"/>
  <c r="F731" i="36"/>
  <c r="E731" i="36"/>
  <c r="D731" i="36"/>
  <c r="C731" i="36"/>
  <c r="B731" i="36"/>
  <c r="H730" i="36"/>
  <c r="G730" i="36"/>
  <c r="F730" i="36"/>
  <c r="E730" i="36"/>
  <c r="D730" i="36"/>
  <c r="C730" i="36"/>
  <c r="B730" i="36"/>
  <c r="H729" i="36"/>
  <c r="G729" i="36"/>
  <c r="F729" i="36"/>
  <c r="E729" i="36"/>
  <c r="D729" i="36"/>
  <c r="C729" i="36"/>
  <c r="B729" i="36"/>
  <c r="H728" i="36"/>
  <c r="G728" i="36"/>
  <c r="F728" i="36"/>
  <c r="E728" i="36"/>
  <c r="D728" i="36"/>
  <c r="C728" i="36"/>
  <c r="B728" i="36"/>
  <c r="H727" i="36"/>
  <c r="G727" i="36"/>
  <c r="F727" i="36"/>
  <c r="E727" i="36"/>
  <c r="D727" i="36"/>
  <c r="C727" i="36"/>
  <c r="B727" i="36"/>
  <c r="H726" i="36"/>
  <c r="G726" i="36"/>
  <c r="F726" i="36"/>
  <c r="E726" i="36"/>
  <c r="D726" i="36"/>
  <c r="C726" i="36"/>
  <c r="B726" i="36"/>
  <c r="H725" i="36"/>
  <c r="G725" i="36"/>
  <c r="F725" i="36"/>
  <c r="E725" i="36"/>
  <c r="D725" i="36"/>
  <c r="C725" i="36"/>
  <c r="B725" i="36"/>
  <c r="H724" i="36"/>
  <c r="G724" i="36"/>
  <c r="F724" i="36"/>
  <c r="E724" i="36"/>
  <c r="D724" i="36"/>
  <c r="C724" i="36"/>
  <c r="B724" i="36"/>
  <c r="H723" i="36"/>
  <c r="G723" i="36"/>
  <c r="F723" i="36"/>
  <c r="E723" i="36"/>
  <c r="D723" i="36"/>
  <c r="C723" i="36"/>
  <c r="B723" i="36"/>
  <c r="H722" i="36"/>
  <c r="G722" i="36"/>
  <c r="F722" i="36"/>
  <c r="E722" i="36"/>
  <c r="D722" i="36"/>
  <c r="C722" i="36"/>
  <c r="B722" i="36"/>
  <c r="H721" i="36"/>
  <c r="G721" i="36"/>
  <c r="F721" i="36"/>
  <c r="E721" i="36"/>
  <c r="D721" i="36"/>
  <c r="C721" i="36"/>
  <c r="B721" i="36"/>
  <c r="H720" i="36"/>
  <c r="G720" i="36"/>
  <c r="F720" i="36"/>
  <c r="E720" i="36"/>
  <c r="D720" i="36"/>
  <c r="C720" i="36"/>
  <c r="B720" i="36"/>
  <c r="H719" i="36"/>
  <c r="G719" i="36"/>
  <c r="F719" i="36"/>
  <c r="E719" i="36"/>
  <c r="D719" i="36"/>
  <c r="C719" i="36"/>
  <c r="B719" i="36"/>
  <c r="H718" i="36"/>
  <c r="G718" i="36"/>
  <c r="F718" i="36"/>
  <c r="E718" i="36"/>
  <c r="D718" i="36"/>
  <c r="C718" i="36"/>
  <c r="B718" i="36"/>
  <c r="H717" i="36"/>
  <c r="G717" i="36"/>
  <c r="F717" i="36"/>
  <c r="E717" i="36"/>
  <c r="D717" i="36"/>
  <c r="C717" i="36"/>
  <c r="B717" i="36"/>
  <c r="H716" i="36"/>
  <c r="G716" i="36"/>
  <c r="F716" i="36"/>
  <c r="E716" i="36"/>
  <c r="D716" i="36"/>
  <c r="C716" i="36"/>
  <c r="B716" i="36"/>
  <c r="H715" i="36"/>
  <c r="G715" i="36"/>
  <c r="F715" i="36"/>
  <c r="E715" i="36"/>
  <c r="D715" i="36"/>
  <c r="C715" i="36"/>
  <c r="B715" i="36"/>
  <c r="H714" i="36"/>
  <c r="G714" i="36"/>
  <c r="F714" i="36"/>
  <c r="E714" i="36"/>
  <c r="D714" i="36"/>
  <c r="C714" i="36"/>
  <c r="B714" i="36"/>
  <c r="H713" i="36"/>
  <c r="G713" i="36"/>
  <c r="F713" i="36"/>
  <c r="E713" i="36"/>
  <c r="D713" i="36"/>
  <c r="C713" i="36"/>
  <c r="B713" i="36"/>
  <c r="H712" i="36"/>
  <c r="G712" i="36"/>
  <c r="F712" i="36"/>
  <c r="E712" i="36"/>
  <c r="D712" i="36"/>
  <c r="C712" i="36"/>
  <c r="B712" i="36"/>
  <c r="H711" i="36"/>
  <c r="G711" i="36"/>
  <c r="F711" i="36"/>
  <c r="E711" i="36"/>
  <c r="D711" i="36"/>
  <c r="C711" i="36"/>
  <c r="B711" i="36"/>
  <c r="H710" i="36"/>
  <c r="G710" i="36"/>
  <c r="F710" i="36"/>
  <c r="E710" i="36"/>
  <c r="D710" i="36"/>
  <c r="C710" i="36"/>
  <c r="B710" i="36"/>
  <c r="H709" i="36"/>
  <c r="G709" i="36"/>
  <c r="F709" i="36"/>
  <c r="E709" i="36"/>
  <c r="D709" i="36"/>
  <c r="C709" i="36"/>
  <c r="B709" i="36"/>
  <c r="H708" i="36"/>
  <c r="G708" i="36"/>
  <c r="F708" i="36"/>
  <c r="E708" i="36"/>
  <c r="D708" i="36"/>
  <c r="C708" i="36"/>
  <c r="B708" i="36"/>
  <c r="H707" i="36"/>
  <c r="G707" i="36"/>
  <c r="F707" i="36"/>
  <c r="E707" i="36"/>
  <c r="D707" i="36"/>
  <c r="C707" i="36"/>
  <c r="B707" i="36"/>
  <c r="H706" i="36"/>
  <c r="G706" i="36"/>
  <c r="F706" i="36"/>
  <c r="E706" i="36"/>
  <c r="D706" i="36"/>
  <c r="C706" i="36"/>
  <c r="B706" i="36"/>
  <c r="H705" i="36"/>
  <c r="G705" i="36"/>
  <c r="F705" i="36"/>
  <c r="E705" i="36"/>
  <c r="D705" i="36"/>
  <c r="C705" i="36"/>
  <c r="B705" i="36"/>
  <c r="H704" i="36"/>
  <c r="G704" i="36"/>
  <c r="F704" i="36"/>
  <c r="E704" i="36"/>
  <c r="D704" i="36"/>
  <c r="C704" i="36"/>
  <c r="B704" i="36"/>
  <c r="H703" i="36"/>
  <c r="G703" i="36"/>
  <c r="F703" i="36"/>
  <c r="E703" i="36"/>
  <c r="D703" i="36"/>
  <c r="C703" i="36"/>
  <c r="B703" i="36"/>
  <c r="H702" i="36"/>
  <c r="G702" i="36"/>
  <c r="F702" i="36"/>
  <c r="E702" i="36"/>
  <c r="D702" i="36"/>
  <c r="C702" i="36"/>
  <c r="B702" i="36"/>
  <c r="H701" i="36"/>
  <c r="G701" i="36"/>
  <c r="F701" i="36"/>
  <c r="E701" i="36"/>
  <c r="D701" i="36"/>
  <c r="C701" i="36"/>
  <c r="B701" i="36"/>
  <c r="H700" i="36"/>
  <c r="G700" i="36"/>
  <c r="F700" i="36"/>
  <c r="E700" i="36"/>
  <c r="D700" i="36"/>
  <c r="C700" i="36"/>
  <c r="B700" i="36"/>
  <c r="H699" i="36"/>
  <c r="G699" i="36"/>
  <c r="F699" i="36"/>
  <c r="E699" i="36"/>
  <c r="D699" i="36"/>
  <c r="C699" i="36"/>
  <c r="B699" i="36"/>
  <c r="H698" i="36"/>
  <c r="G698" i="36"/>
  <c r="F698" i="36"/>
  <c r="E698" i="36"/>
  <c r="D698" i="36"/>
  <c r="C698" i="36"/>
  <c r="B698" i="36"/>
  <c r="H697" i="36"/>
  <c r="G697" i="36"/>
  <c r="F697" i="36"/>
  <c r="E697" i="36"/>
  <c r="D697" i="36"/>
  <c r="C697" i="36"/>
  <c r="B697" i="36"/>
  <c r="H696" i="36"/>
  <c r="G696" i="36"/>
  <c r="F696" i="36"/>
  <c r="E696" i="36"/>
  <c r="D696" i="36"/>
  <c r="C696" i="36"/>
  <c r="B696" i="36"/>
  <c r="H695" i="36"/>
  <c r="G695" i="36"/>
  <c r="F695" i="36"/>
  <c r="E695" i="36"/>
  <c r="D695" i="36"/>
  <c r="C695" i="36"/>
  <c r="B695" i="36"/>
  <c r="H694" i="36"/>
  <c r="G694" i="36"/>
  <c r="F694" i="36"/>
  <c r="E694" i="36"/>
  <c r="D694" i="36"/>
  <c r="C694" i="36"/>
  <c r="B694" i="36"/>
  <c r="H693" i="36"/>
  <c r="G693" i="36"/>
  <c r="F693" i="36"/>
  <c r="E693" i="36"/>
  <c r="D693" i="36"/>
  <c r="C693" i="36"/>
  <c r="B693" i="36"/>
  <c r="H692" i="36"/>
  <c r="G692" i="36"/>
  <c r="F692" i="36"/>
  <c r="E692" i="36"/>
  <c r="D692" i="36"/>
  <c r="C692" i="36"/>
  <c r="B692" i="36"/>
  <c r="H691" i="36"/>
  <c r="G691" i="36"/>
  <c r="F691" i="36"/>
  <c r="E691" i="36"/>
  <c r="D691" i="36"/>
  <c r="C691" i="36"/>
  <c r="B691" i="36"/>
  <c r="H690" i="36"/>
  <c r="G690" i="36"/>
  <c r="F690" i="36"/>
  <c r="E690" i="36"/>
  <c r="D690" i="36"/>
  <c r="C690" i="36"/>
  <c r="B690" i="36"/>
  <c r="H689" i="36"/>
  <c r="G689" i="36"/>
  <c r="F689" i="36"/>
  <c r="E689" i="36"/>
  <c r="D689" i="36"/>
  <c r="C689" i="36"/>
  <c r="B689" i="36"/>
  <c r="H688" i="36"/>
  <c r="G688" i="36"/>
  <c r="F688" i="36"/>
  <c r="E688" i="36"/>
  <c r="D688" i="36"/>
  <c r="C688" i="36"/>
  <c r="B688" i="36"/>
  <c r="H687" i="36"/>
  <c r="G687" i="36"/>
  <c r="F687" i="36"/>
  <c r="E687" i="36"/>
  <c r="D687" i="36"/>
  <c r="C687" i="36"/>
  <c r="B687" i="36"/>
  <c r="H686" i="36"/>
  <c r="G686" i="36"/>
  <c r="F686" i="36"/>
  <c r="E686" i="36"/>
  <c r="D686" i="36"/>
  <c r="C686" i="36"/>
  <c r="B686" i="36"/>
  <c r="H685" i="36"/>
  <c r="G685" i="36"/>
  <c r="F685" i="36"/>
  <c r="E685" i="36"/>
  <c r="D685" i="36"/>
  <c r="C685" i="36"/>
  <c r="B685" i="36"/>
  <c r="H684" i="36"/>
  <c r="G684" i="36"/>
  <c r="F684" i="36"/>
  <c r="E684" i="36"/>
  <c r="D684" i="36"/>
  <c r="C684" i="36"/>
  <c r="B684" i="36"/>
  <c r="H683" i="36"/>
  <c r="G683" i="36"/>
  <c r="F683" i="36"/>
  <c r="E683" i="36"/>
  <c r="D683" i="36"/>
  <c r="C683" i="36"/>
  <c r="B683" i="36"/>
  <c r="H682" i="36"/>
  <c r="G682" i="36"/>
  <c r="F682" i="36"/>
  <c r="E682" i="36"/>
  <c r="D682" i="36"/>
  <c r="C682" i="36"/>
  <c r="B682" i="36"/>
  <c r="H681" i="36"/>
  <c r="G681" i="36"/>
  <c r="F681" i="36"/>
  <c r="E681" i="36"/>
  <c r="D681" i="36"/>
  <c r="C681" i="36"/>
  <c r="B681" i="36"/>
  <c r="H680" i="36"/>
  <c r="G680" i="36"/>
  <c r="F680" i="36"/>
  <c r="E680" i="36"/>
  <c r="D680" i="36"/>
  <c r="C680" i="36"/>
  <c r="B680" i="36"/>
  <c r="H679" i="36"/>
  <c r="G679" i="36"/>
  <c r="F679" i="36"/>
  <c r="E679" i="36"/>
  <c r="D679" i="36"/>
  <c r="C679" i="36"/>
  <c r="B679" i="36"/>
  <c r="H678" i="36"/>
  <c r="G678" i="36"/>
  <c r="F678" i="36"/>
  <c r="E678" i="36"/>
  <c r="D678" i="36"/>
  <c r="C678" i="36"/>
  <c r="B678" i="36"/>
  <c r="H677" i="36"/>
  <c r="G677" i="36"/>
  <c r="F677" i="36"/>
  <c r="E677" i="36"/>
  <c r="D677" i="36"/>
  <c r="C677" i="36"/>
  <c r="B677" i="36"/>
  <c r="H676" i="36"/>
  <c r="G676" i="36"/>
  <c r="F676" i="36"/>
  <c r="E676" i="36"/>
  <c r="D676" i="36"/>
  <c r="C676" i="36"/>
  <c r="B676" i="36"/>
  <c r="H675" i="36"/>
  <c r="G675" i="36"/>
  <c r="F675" i="36"/>
  <c r="E675" i="36"/>
  <c r="D675" i="36"/>
  <c r="C675" i="36"/>
  <c r="B675" i="36"/>
  <c r="H674" i="36"/>
  <c r="G674" i="36"/>
  <c r="F674" i="36"/>
  <c r="E674" i="36"/>
  <c r="D674" i="36"/>
  <c r="C674" i="36"/>
  <c r="B674" i="36"/>
  <c r="H673" i="36"/>
  <c r="G673" i="36"/>
  <c r="F673" i="36"/>
  <c r="E673" i="36"/>
  <c r="D673" i="36"/>
  <c r="C673" i="36"/>
  <c r="B673" i="36"/>
  <c r="H672" i="36"/>
  <c r="G672" i="36"/>
  <c r="F672" i="36"/>
  <c r="E672" i="36"/>
  <c r="D672" i="36"/>
  <c r="C672" i="36"/>
  <c r="B672" i="36"/>
  <c r="H671" i="36"/>
  <c r="G671" i="36"/>
  <c r="F671" i="36"/>
  <c r="E671" i="36"/>
  <c r="D671" i="36"/>
  <c r="C671" i="36"/>
  <c r="B671" i="36"/>
  <c r="H670" i="36"/>
  <c r="G670" i="36"/>
  <c r="F670" i="36"/>
  <c r="E670" i="36"/>
  <c r="D670" i="36"/>
  <c r="C670" i="36"/>
  <c r="B670" i="36"/>
  <c r="H669" i="36"/>
  <c r="G669" i="36"/>
  <c r="F669" i="36"/>
  <c r="E669" i="36"/>
  <c r="D669" i="36"/>
  <c r="C669" i="36"/>
  <c r="B669" i="36"/>
  <c r="H668" i="36"/>
  <c r="G668" i="36"/>
  <c r="F668" i="36"/>
  <c r="E668" i="36"/>
  <c r="D668" i="36"/>
  <c r="C668" i="36"/>
  <c r="B668" i="36"/>
  <c r="H667" i="36"/>
  <c r="G667" i="36"/>
  <c r="F667" i="36"/>
  <c r="E667" i="36"/>
  <c r="D667" i="36"/>
  <c r="C667" i="36"/>
  <c r="B667" i="36"/>
  <c r="H666" i="36"/>
  <c r="G666" i="36"/>
  <c r="F666" i="36"/>
  <c r="E666" i="36"/>
  <c r="D666" i="36"/>
  <c r="C666" i="36"/>
  <c r="B666" i="36"/>
  <c r="H665" i="36"/>
  <c r="G665" i="36"/>
  <c r="F665" i="36"/>
  <c r="E665" i="36"/>
  <c r="D665" i="36"/>
  <c r="C665" i="36"/>
  <c r="B665" i="36"/>
  <c r="H664" i="36"/>
  <c r="G664" i="36"/>
  <c r="F664" i="36"/>
  <c r="E664" i="36"/>
  <c r="D664" i="36"/>
  <c r="C664" i="36"/>
  <c r="B664" i="36"/>
  <c r="H663" i="36"/>
  <c r="G663" i="36"/>
  <c r="F663" i="36"/>
  <c r="E663" i="36"/>
  <c r="D663" i="36"/>
  <c r="C663" i="36"/>
  <c r="B663" i="36"/>
  <c r="H662" i="36"/>
  <c r="G662" i="36"/>
  <c r="F662" i="36"/>
  <c r="E662" i="36"/>
  <c r="D662" i="36"/>
  <c r="C662" i="36"/>
  <c r="B662" i="36"/>
  <c r="H661" i="36"/>
  <c r="G661" i="36"/>
  <c r="F661" i="36"/>
  <c r="E661" i="36"/>
  <c r="D661" i="36"/>
  <c r="C661" i="36"/>
  <c r="B661" i="36"/>
  <c r="H660" i="36"/>
  <c r="G660" i="36"/>
  <c r="F660" i="36"/>
  <c r="E660" i="36"/>
  <c r="D660" i="36"/>
  <c r="C660" i="36"/>
  <c r="B660" i="36"/>
  <c r="H659" i="36"/>
  <c r="G659" i="36"/>
  <c r="F659" i="36"/>
  <c r="E659" i="36"/>
  <c r="D659" i="36"/>
  <c r="C659" i="36"/>
  <c r="B659" i="36"/>
  <c r="H658" i="36"/>
  <c r="G658" i="36"/>
  <c r="F658" i="36"/>
  <c r="E658" i="36"/>
  <c r="D658" i="36"/>
  <c r="C658" i="36"/>
  <c r="B658" i="36"/>
  <c r="H657" i="36"/>
  <c r="G657" i="36"/>
  <c r="F657" i="36"/>
  <c r="E657" i="36"/>
  <c r="D657" i="36"/>
  <c r="C657" i="36"/>
  <c r="B657" i="36"/>
  <c r="H656" i="36"/>
  <c r="G656" i="36"/>
  <c r="F656" i="36"/>
  <c r="E656" i="36"/>
  <c r="D656" i="36"/>
  <c r="C656" i="36"/>
  <c r="B656" i="36"/>
  <c r="H655" i="36"/>
  <c r="G655" i="36"/>
  <c r="F655" i="36"/>
  <c r="E655" i="36"/>
  <c r="D655" i="36"/>
  <c r="C655" i="36"/>
  <c r="B655" i="36"/>
  <c r="H654" i="36"/>
  <c r="G654" i="36"/>
  <c r="F654" i="36"/>
  <c r="E654" i="36"/>
  <c r="D654" i="36"/>
  <c r="C654" i="36"/>
  <c r="B654" i="36"/>
  <c r="H653" i="36"/>
  <c r="G653" i="36"/>
  <c r="F653" i="36"/>
  <c r="E653" i="36"/>
  <c r="D653" i="36"/>
  <c r="C653" i="36"/>
  <c r="B653" i="36"/>
  <c r="H652" i="36"/>
  <c r="G652" i="36"/>
  <c r="F652" i="36"/>
  <c r="E652" i="36"/>
  <c r="D652" i="36"/>
  <c r="C652" i="36"/>
  <c r="B652" i="36"/>
  <c r="H651" i="36"/>
  <c r="G651" i="36"/>
  <c r="F651" i="36"/>
  <c r="E651" i="36"/>
  <c r="D651" i="36"/>
  <c r="C651" i="36"/>
  <c r="B651" i="36"/>
  <c r="H650" i="36"/>
  <c r="G650" i="36"/>
  <c r="F650" i="36"/>
  <c r="E650" i="36"/>
  <c r="D650" i="36"/>
  <c r="C650" i="36"/>
  <c r="B650" i="36"/>
  <c r="H649" i="36"/>
  <c r="G649" i="36"/>
  <c r="F649" i="36"/>
  <c r="E649" i="36"/>
  <c r="D649" i="36"/>
  <c r="C649" i="36"/>
  <c r="B649" i="36"/>
  <c r="H648" i="36"/>
  <c r="G648" i="36"/>
  <c r="F648" i="36"/>
  <c r="E648" i="36"/>
  <c r="D648" i="36"/>
  <c r="C648" i="36"/>
  <c r="B648" i="36"/>
  <c r="H647" i="36"/>
  <c r="G647" i="36"/>
  <c r="F647" i="36"/>
  <c r="E647" i="36"/>
  <c r="D647" i="36"/>
  <c r="C647" i="36"/>
  <c r="B647" i="36"/>
  <c r="H646" i="36"/>
  <c r="G646" i="36"/>
  <c r="F646" i="36"/>
  <c r="E646" i="36"/>
  <c r="D646" i="36"/>
  <c r="C646" i="36"/>
  <c r="B646" i="36"/>
  <c r="H645" i="36"/>
  <c r="G645" i="36"/>
  <c r="F645" i="36"/>
  <c r="E645" i="36"/>
  <c r="D645" i="36"/>
  <c r="C645" i="36"/>
  <c r="B645" i="36"/>
  <c r="H644" i="36"/>
  <c r="G644" i="36"/>
  <c r="F644" i="36"/>
  <c r="E644" i="36"/>
  <c r="D644" i="36"/>
  <c r="C644" i="36"/>
  <c r="B644" i="36"/>
  <c r="H643" i="36"/>
  <c r="G643" i="36"/>
  <c r="F643" i="36"/>
  <c r="E643" i="36"/>
  <c r="D643" i="36"/>
  <c r="C643" i="36"/>
  <c r="B643" i="36"/>
  <c r="H642" i="36"/>
  <c r="G642" i="36"/>
  <c r="F642" i="36"/>
  <c r="E642" i="36"/>
  <c r="D642" i="36"/>
  <c r="C642" i="36"/>
  <c r="B642" i="36"/>
  <c r="H641" i="36"/>
  <c r="G641" i="36"/>
  <c r="F641" i="36"/>
  <c r="E641" i="36"/>
  <c r="D641" i="36"/>
  <c r="C641" i="36"/>
  <c r="B641" i="36"/>
  <c r="H640" i="36"/>
  <c r="G640" i="36"/>
  <c r="F640" i="36"/>
  <c r="E640" i="36"/>
  <c r="D640" i="36"/>
  <c r="C640" i="36"/>
  <c r="B640" i="36"/>
  <c r="H639" i="36"/>
  <c r="G639" i="36"/>
  <c r="F639" i="36"/>
  <c r="E639" i="36"/>
  <c r="D639" i="36"/>
  <c r="C639" i="36"/>
  <c r="B639" i="36"/>
  <c r="H638" i="36"/>
  <c r="G638" i="36"/>
  <c r="F638" i="36"/>
  <c r="E638" i="36"/>
  <c r="D638" i="36"/>
  <c r="C638" i="36"/>
  <c r="B638" i="36"/>
  <c r="H637" i="36"/>
  <c r="G637" i="36"/>
  <c r="F637" i="36"/>
  <c r="E637" i="36"/>
  <c r="D637" i="36"/>
  <c r="C637" i="36"/>
  <c r="B637" i="36"/>
  <c r="H636" i="36"/>
  <c r="G636" i="36"/>
  <c r="F636" i="36"/>
  <c r="E636" i="36"/>
  <c r="D636" i="36"/>
  <c r="C636" i="36"/>
  <c r="B636" i="36"/>
  <c r="H635" i="36"/>
  <c r="G635" i="36"/>
  <c r="F635" i="36"/>
  <c r="E635" i="36"/>
  <c r="D635" i="36"/>
  <c r="C635" i="36"/>
  <c r="B635" i="36"/>
  <c r="H634" i="36"/>
  <c r="G634" i="36"/>
  <c r="F634" i="36"/>
  <c r="E634" i="36"/>
  <c r="D634" i="36"/>
  <c r="C634" i="36"/>
  <c r="B634" i="36"/>
  <c r="H633" i="36"/>
  <c r="G633" i="36"/>
  <c r="F633" i="36"/>
  <c r="E633" i="36"/>
  <c r="D633" i="36"/>
  <c r="C633" i="36"/>
  <c r="B633" i="36"/>
  <c r="H632" i="36"/>
  <c r="G632" i="36"/>
  <c r="F632" i="36"/>
  <c r="E632" i="36"/>
  <c r="D632" i="36"/>
  <c r="C632" i="36"/>
  <c r="B632" i="36"/>
  <c r="H631" i="36"/>
  <c r="G631" i="36"/>
  <c r="F631" i="36"/>
  <c r="E631" i="36"/>
  <c r="D631" i="36"/>
  <c r="C631" i="36"/>
  <c r="B631" i="36"/>
  <c r="H630" i="36"/>
  <c r="G630" i="36"/>
  <c r="F630" i="36"/>
  <c r="E630" i="36"/>
  <c r="D630" i="36"/>
  <c r="C630" i="36"/>
  <c r="B630" i="36"/>
  <c r="H629" i="36"/>
  <c r="G629" i="36"/>
  <c r="F629" i="36"/>
  <c r="E629" i="36"/>
  <c r="D629" i="36"/>
  <c r="C629" i="36"/>
  <c r="B629" i="36"/>
  <c r="H628" i="36"/>
  <c r="G628" i="36"/>
  <c r="F628" i="36"/>
  <c r="E628" i="36"/>
  <c r="D628" i="36"/>
  <c r="C628" i="36"/>
  <c r="B628" i="36"/>
  <c r="H627" i="36"/>
  <c r="G627" i="36"/>
  <c r="F627" i="36"/>
  <c r="E627" i="36"/>
  <c r="D627" i="36"/>
  <c r="C627" i="36"/>
  <c r="B627" i="36"/>
  <c r="H626" i="36"/>
  <c r="G626" i="36"/>
  <c r="F626" i="36"/>
  <c r="E626" i="36"/>
  <c r="D626" i="36"/>
  <c r="C626" i="36"/>
  <c r="B626" i="36"/>
  <c r="H625" i="36"/>
  <c r="G625" i="36"/>
  <c r="F625" i="36"/>
  <c r="E625" i="36"/>
  <c r="D625" i="36"/>
  <c r="C625" i="36"/>
  <c r="B625" i="36"/>
  <c r="H624" i="36"/>
  <c r="G624" i="36"/>
  <c r="F624" i="36"/>
  <c r="E624" i="36"/>
  <c r="D624" i="36"/>
  <c r="C624" i="36"/>
  <c r="B624" i="36"/>
  <c r="H623" i="36"/>
  <c r="G623" i="36"/>
  <c r="F623" i="36"/>
  <c r="E623" i="36"/>
  <c r="D623" i="36"/>
  <c r="C623" i="36"/>
  <c r="B623" i="36"/>
  <c r="H622" i="36"/>
  <c r="G622" i="36"/>
  <c r="F622" i="36"/>
  <c r="E622" i="36"/>
  <c r="D622" i="36"/>
  <c r="C622" i="36"/>
  <c r="B622" i="36"/>
  <c r="H621" i="36"/>
  <c r="G621" i="36"/>
  <c r="F621" i="36"/>
  <c r="E621" i="36"/>
  <c r="D621" i="36"/>
  <c r="C621" i="36"/>
  <c r="B621" i="36"/>
  <c r="H620" i="36"/>
  <c r="G620" i="36"/>
  <c r="F620" i="36"/>
  <c r="E620" i="36"/>
  <c r="D620" i="36"/>
  <c r="C620" i="36"/>
  <c r="B620" i="36"/>
  <c r="H619" i="36"/>
  <c r="G619" i="36"/>
  <c r="F619" i="36"/>
  <c r="E619" i="36"/>
  <c r="D619" i="36"/>
  <c r="C619" i="36"/>
  <c r="B619" i="36"/>
  <c r="H618" i="36"/>
  <c r="G618" i="36"/>
  <c r="F618" i="36"/>
  <c r="E618" i="36"/>
  <c r="D618" i="36"/>
  <c r="C618" i="36"/>
  <c r="B618" i="36"/>
  <c r="H617" i="36"/>
  <c r="G617" i="36"/>
  <c r="F617" i="36"/>
  <c r="E617" i="36"/>
  <c r="D617" i="36"/>
  <c r="C617" i="36"/>
  <c r="B617" i="36"/>
  <c r="H616" i="36"/>
  <c r="G616" i="36"/>
  <c r="F616" i="36"/>
  <c r="E616" i="36"/>
  <c r="D616" i="36"/>
  <c r="C616" i="36"/>
  <c r="B616" i="36"/>
  <c r="H612" i="36"/>
  <c r="G612" i="36"/>
  <c r="F612" i="36"/>
  <c r="E612" i="36"/>
  <c r="D612" i="36"/>
  <c r="C612" i="36"/>
  <c r="B612" i="36"/>
  <c r="H611" i="36"/>
  <c r="G611" i="36"/>
  <c r="F611" i="36"/>
  <c r="E611" i="36"/>
  <c r="D611" i="36"/>
  <c r="C611" i="36"/>
  <c r="B611" i="36"/>
  <c r="H610" i="36"/>
  <c r="G610" i="36"/>
  <c r="F610" i="36"/>
  <c r="E610" i="36"/>
  <c r="D610" i="36"/>
  <c r="C610" i="36"/>
  <c r="B610" i="36"/>
  <c r="H609" i="36"/>
  <c r="G609" i="36"/>
  <c r="F609" i="36"/>
  <c r="E609" i="36"/>
  <c r="D609" i="36"/>
  <c r="C609" i="36"/>
  <c r="B609" i="36"/>
  <c r="H608" i="36"/>
  <c r="G608" i="36"/>
  <c r="F608" i="36"/>
  <c r="E608" i="36"/>
  <c r="D608" i="36"/>
  <c r="C608" i="36"/>
  <c r="B608" i="36"/>
  <c r="H607" i="36"/>
  <c r="G607" i="36"/>
  <c r="F607" i="36"/>
  <c r="E607" i="36"/>
  <c r="D607" i="36"/>
  <c r="C607" i="36"/>
  <c r="B607" i="36"/>
  <c r="H606" i="36"/>
  <c r="G606" i="36"/>
  <c r="F606" i="36"/>
  <c r="E606" i="36"/>
  <c r="D606" i="36"/>
  <c r="C606" i="36"/>
  <c r="B606" i="36"/>
  <c r="H605" i="36"/>
  <c r="G605" i="36"/>
  <c r="F605" i="36"/>
  <c r="E605" i="36"/>
  <c r="D605" i="36"/>
  <c r="C605" i="36"/>
  <c r="B605" i="36"/>
  <c r="H604" i="36"/>
  <c r="G604" i="36"/>
  <c r="F604" i="36"/>
  <c r="E604" i="36"/>
  <c r="D604" i="36"/>
  <c r="C604" i="36"/>
  <c r="B604" i="36"/>
  <c r="H603" i="36"/>
  <c r="G603" i="36"/>
  <c r="F603" i="36"/>
  <c r="E603" i="36"/>
  <c r="D603" i="36"/>
  <c r="C603" i="36"/>
  <c r="B603" i="36"/>
  <c r="H602" i="36"/>
  <c r="G602" i="36"/>
  <c r="F602" i="36"/>
  <c r="E602" i="36"/>
  <c r="D602" i="36"/>
  <c r="C602" i="36"/>
  <c r="B602" i="36"/>
  <c r="H601" i="36"/>
  <c r="G601" i="36"/>
  <c r="F601" i="36"/>
  <c r="E601" i="36"/>
  <c r="D601" i="36"/>
  <c r="C601" i="36"/>
  <c r="B601" i="36"/>
  <c r="H600" i="36"/>
  <c r="G600" i="36"/>
  <c r="F600" i="36"/>
  <c r="E600" i="36"/>
  <c r="D600" i="36"/>
  <c r="C600" i="36"/>
  <c r="B600" i="36"/>
  <c r="H599" i="36"/>
  <c r="G599" i="36"/>
  <c r="F599" i="36"/>
  <c r="E599" i="36"/>
  <c r="D599" i="36"/>
  <c r="C599" i="36"/>
  <c r="B599" i="36"/>
  <c r="H598" i="36"/>
  <c r="G598" i="36"/>
  <c r="F598" i="36"/>
  <c r="E598" i="36"/>
  <c r="D598" i="36"/>
  <c r="C598" i="36"/>
  <c r="B598" i="36"/>
  <c r="H597" i="36"/>
  <c r="G597" i="36"/>
  <c r="F597" i="36"/>
  <c r="E597" i="36"/>
  <c r="D597" i="36"/>
  <c r="C597" i="36"/>
  <c r="B597" i="36"/>
  <c r="H596" i="36"/>
  <c r="G596" i="36"/>
  <c r="F596" i="36"/>
  <c r="E596" i="36"/>
  <c r="D596" i="36"/>
  <c r="C596" i="36"/>
  <c r="B596" i="36"/>
  <c r="H595" i="36"/>
  <c r="G595" i="36"/>
  <c r="F595" i="36"/>
  <c r="E595" i="36"/>
  <c r="D595" i="36"/>
  <c r="C595" i="36"/>
  <c r="B595" i="36"/>
  <c r="H594" i="36"/>
  <c r="G594" i="36"/>
  <c r="F594" i="36"/>
  <c r="E594" i="36"/>
  <c r="D594" i="36"/>
  <c r="C594" i="36"/>
  <c r="B594" i="36"/>
  <c r="H593" i="36"/>
  <c r="G593" i="36"/>
  <c r="F593" i="36"/>
  <c r="E593" i="36"/>
  <c r="D593" i="36"/>
  <c r="C593" i="36"/>
  <c r="B593" i="36"/>
  <c r="H592" i="36"/>
  <c r="G592" i="36"/>
  <c r="F592" i="36"/>
  <c r="E592" i="36"/>
  <c r="D592" i="36"/>
  <c r="C592" i="36"/>
  <c r="B592" i="36"/>
  <c r="H591" i="36"/>
  <c r="G591" i="36"/>
  <c r="F591" i="36"/>
  <c r="E591" i="36"/>
  <c r="D591" i="36"/>
  <c r="C591" i="36"/>
  <c r="B591" i="36"/>
  <c r="H590" i="36"/>
  <c r="G590" i="36"/>
  <c r="F590" i="36"/>
  <c r="E590" i="36"/>
  <c r="D590" i="36"/>
  <c r="C590" i="36"/>
  <c r="B590" i="36"/>
  <c r="H589" i="36"/>
  <c r="G589" i="36"/>
  <c r="F589" i="36"/>
  <c r="E589" i="36"/>
  <c r="D589" i="36"/>
  <c r="C589" i="36"/>
  <c r="B589" i="36"/>
  <c r="H588" i="36"/>
  <c r="G588" i="36"/>
  <c r="F588" i="36"/>
  <c r="E588" i="36"/>
  <c r="D588" i="36"/>
  <c r="C588" i="36"/>
  <c r="B588" i="36"/>
  <c r="H587" i="36"/>
  <c r="G587" i="36"/>
  <c r="F587" i="36"/>
  <c r="E587" i="36"/>
  <c r="D587" i="36"/>
  <c r="C587" i="36"/>
  <c r="B587" i="36"/>
  <c r="H586" i="36"/>
  <c r="G586" i="36"/>
  <c r="F586" i="36"/>
  <c r="E586" i="36"/>
  <c r="D586" i="36"/>
  <c r="C586" i="36"/>
  <c r="B586" i="36"/>
  <c r="H584" i="36"/>
  <c r="G584" i="36"/>
  <c r="F584" i="36"/>
  <c r="E584" i="36"/>
  <c r="D584" i="36"/>
  <c r="C584" i="36"/>
  <c r="B584" i="36"/>
  <c r="H583" i="36"/>
  <c r="G583" i="36"/>
  <c r="F583" i="36"/>
  <c r="E583" i="36"/>
  <c r="D583" i="36"/>
  <c r="C583" i="36"/>
  <c r="B583" i="36"/>
  <c r="H582" i="36"/>
  <c r="G582" i="36"/>
  <c r="F582" i="36"/>
  <c r="E582" i="36"/>
  <c r="D582" i="36"/>
  <c r="C582" i="36"/>
  <c r="B582" i="36"/>
  <c r="H581" i="36"/>
  <c r="G581" i="36"/>
  <c r="F581" i="36"/>
  <c r="E581" i="36"/>
  <c r="D581" i="36"/>
  <c r="C581" i="36"/>
  <c r="B581" i="36"/>
  <c r="H580" i="36"/>
  <c r="G580" i="36"/>
  <c r="F580" i="36"/>
  <c r="E580" i="36"/>
  <c r="D580" i="36"/>
  <c r="C580" i="36"/>
  <c r="B580" i="36"/>
  <c r="H579" i="36"/>
  <c r="G579" i="36"/>
  <c r="F579" i="36"/>
  <c r="E579" i="36"/>
  <c r="D579" i="36"/>
  <c r="C579" i="36"/>
  <c r="B579" i="36"/>
  <c r="H578" i="36"/>
  <c r="G578" i="36"/>
  <c r="F578" i="36"/>
  <c r="E578" i="36"/>
  <c r="D578" i="36"/>
  <c r="C578" i="36"/>
  <c r="B578" i="36"/>
  <c r="H577" i="36"/>
  <c r="G577" i="36"/>
  <c r="F577" i="36"/>
  <c r="E577" i="36"/>
  <c r="D577" i="36"/>
  <c r="C577" i="36"/>
  <c r="B577" i="36"/>
  <c r="H576" i="36"/>
  <c r="G576" i="36"/>
  <c r="F576" i="36"/>
  <c r="E576" i="36"/>
  <c r="D576" i="36"/>
  <c r="C576" i="36"/>
  <c r="B576" i="36"/>
  <c r="H575" i="36"/>
  <c r="G575" i="36"/>
  <c r="F575" i="36"/>
  <c r="E575" i="36"/>
  <c r="D575" i="36"/>
  <c r="C575" i="36"/>
  <c r="B575" i="36"/>
  <c r="H574" i="36"/>
  <c r="G574" i="36"/>
  <c r="F574" i="36"/>
  <c r="E574" i="36"/>
  <c r="D574" i="36"/>
  <c r="C574" i="36"/>
  <c r="B574" i="36"/>
  <c r="H573" i="36"/>
  <c r="G573" i="36"/>
  <c r="F573" i="36"/>
  <c r="E573" i="36"/>
  <c r="D573" i="36"/>
  <c r="C573" i="36"/>
  <c r="B573" i="36"/>
  <c r="H572" i="36"/>
  <c r="G572" i="36"/>
  <c r="F572" i="36"/>
  <c r="E572" i="36"/>
  <c r="D572" i="36"/>
  <c r="C572" i="36"/>
  <c r="B572" i="36"/>
  <c r="H571" i="36"/>
  <c r="G571" i="36"/>
  <c r="F571" i="36"/>
  <c r="E571" i="36"/>
  <c r="D571" i="36"/>
  <c r="C571" i="36"/>
  <c r="B571" i="36"/>
  <c r="H570" i="36"/>
  <c r="G570" i="36"/>
  <c r="F570" i="36"/>
  <c r="E570" i="36"/>
  <c r="D570" i="36"/>
  <c r="C570" i="36"/>
  <c r="B570" i="36"/>
  <c r="H569" i="36"/>
  <c r="G569" i="36"/>
  <c r="F569" i="36"/>
  <c r="E569" i="36"/>
  <c r="D569" i="36"/>
  <c r="C569" i="36"/>
  <c r="B569" i="36"/>
  <c r="H568" i="36"/>
  <c r="G568" i="36"/>
  <c r="F568" i="36"/>
  <c r="E568" i="36"/>
  <c r="D568" i="36"/>
  <c r="C568" i="36"/>
  <c r="B568" i="36"/>
  <c r="H567" i="36"/>
  <c r="G567" i="36"/>
  <c r="F567" i="36"/>
  <c r="E567" i="36"/>
  <c r="D567" i="36"/>
  <c r="C567" i="36"/>
  <c r="B567" i="36"/>
  <c r="H566" i="36"/>
  <c r="G566" i="36"/>
  <c r="F566" i="36"/>
  <c r="E566" i="36"/>
  <c r="D566" i="36"/>
  <c r="C566" i="36"/>
  <c r="B566" i="36"/>
  <c r="H565" i="36"/>
  <c r="G565" i="36"/>
  <c r="F565" i="36"/>
  <c r="E565" i="36"/>
  <c r="D565" i="36"/>
  <c r="C565" i="36"/>
  <c r="B565" i="36"/>
  <c r="H564" i="36"/>
  <c r="G564" i="36"/>
  <c r="F564" i="36"/>
  <c r="E564" i="36"/>
  <c r="D564" i="36"/>
  <c r="C564" i="36"/>
  <c r="B564" i="36"/>
  <c r="H563" i="36"/>
  <c r="G563" i="36"/>
  <c r="F563" i="36"/>
  <c r="E563" i="36"/>
  <c r="D563" i="36"/>
  <c r="C563" i="36"/>
  <c r="B563" i="36"/>
  <c r="H562" i="36"/>
  <c r="G562" i="36"/>
  <c r="F562" i="36"/>
  <c r="E562" i="36"/>
  <c r="D562" i="36"/>
  <c r="C562" i="36"/>
  <c r="B562" i="36"/>
  <c r="H561" i="36"/>
  <c r="G561" i="36"/>
  <c r="F561" i="36"/>
  <c r="E561" i="36"/>
  <c r="D561" i="36"/>
  <c r="C561" i="36"/>
  <c r="B561" i="36"/>
  <c r="H560" i="36"/>
  <c r="G560" i="36"/>
  <c r="F560" i="36"/>
  <c r="E560" i="36"/>
  <c r="D560" i="36"/>
  <c r="C560" i="36"/>
  <c r="B560" i="36"/>
  <c r="H559" i="36"/>
  <c r="G559" i="36"/>
  <c r="F559" i="36"/>
  <c r="E559" i="36"/>
  <c r="D559" i="36"/>
  <c r="C559" i="36"/>
  <c r="B559" i="36"/>
  <c r="H558" i="36"/>
  <c r="G558" i="36"/>
  <c r="F558" i="36"/>
  <c r="E558" i="36"/>
  <c r="D558" i="36"/>
  <c r="C558" i="36"/>
  <c r="B558" i="36"/>
  <c r="H557" i="36"/>
  <c r="G557" i="36"/>
  <c r="F557" i="36"/>
  <c r="E557" i="36"/>
  <c r="D557" i="36"/>
  <c r="C557" i="36"/>
  <c r="B557" i="36"/>
  <c r="H556" i="36"/>
  <c r="G556" i="36"/>
  <c r="F556" i="36"/>
  <c r="E556" i="36"/>
  <c r="D556" i="36"/>
  <c r="C556" i="36"/>
  <c r="B556" i="36"/>
  <c r="H555" i="36"/>
  <c r="G555" i="36"/>
  <c r="F555" i="36"/>
  <c r="E555" i="36"/>
  <c r="D555" i="36"/>
  <c r="C555" i="36"/>
  <c r="B555" i="36"/>
  <c r="H554" i="36"/>
  <c r="G554" i="36"/>
  <c r="F554" i="36"/>
  <c r="E554" i="36"/>
  <c r="D554" i="36"/>
  <c r="C554" i="36"/>
  <c r="B554" i="36"/>
  <c r="H553" i="36"/>
  <c r="G553" i="36"/>
  <c r="F553" i="36"/>
  <c r="E553" i="36"/>
  <c r="D553" i="36"/>
  <c r="C553" i="36"/>
  <c r="B553" i="36"/>
  <c r="H552" i="36"/>
  <c r="G552" i="36"/>
  <c r="F552" i="36"/>
  <c r="E552" i="36"/>
  <c r="D552" i="36"/>
  <c r="C552" i="36"/>
  <c r="B552" i="36"/>
  <c r="H551" i="36"/>
  <c r="G551" i="36"/>
  <c r="F551" i="36"/>
  <c r="E551" i="36"/>
  <c r="D551" i="36"/>
  <c r="C551" i="36"/>
  <c r="B551" i="36"/>
  <c r="H550" i="36"/>
  <c r="G550" i="36"/>
  <c r="F550" i="36"/>
  <c r="E550" i="36"/>
  <c r="D550" i="36"/>
  <c r="C550" i="36"/>
  <c r="B550" i="36"/>
  <c r="H549" i="36"/>
  <c r="G549" i="36"/>
  <c r="F549" i="36"/>
  <c r="E549" i="36"/>
  <c r="D549" i="36"/>
  <c r="C549" i="36"/>
  <c r="B549" i="36"/>
  <c r="H548" i="36"/>
  <c r="G548" i="36"/>
  <c r="F548" i="36"/>
  <c r="E548" i="36"/>
  <c r="D548" i="36"/>
  <c r="C548" i="36"/>
  <c r="B548" i="36"/>
  <c r="H547" i="36"/>
  <c r="G547" i="36"/>
  <c r="F547" i="36"/>
  <c r="E547" i="36"/>
  <c r="D547" i="36"/>
  <c r="C547" i="36"/>
  <c r="B547" i="36"/>
  <c r="H546" i="36"/>
  <c r="G546" i="36"/>
  <c r="F546" i="36"/>
  <c r="E546" i="36"/>
  <c r="D546" i="36"/>
  <c r="C546" i="36"/>
  <c r="B546" i="36"/>
  <c r="H545" i="36"/>
  <c r="G545" i="36"/>
  <c r="F545" i="36"/>
  <c r="E545" i="36"/>
  <c r="D545" i="36"/>
  <c r="C545" i="36"/>
  <c r="B545" i="36"/>
  <c r="H544" i="36"/>
  <c r="G544" i="36"/>
  <c r="F544" i="36"/>
  <c r="E544" i="36"/>
  <c r="D544" i="36"/>
  <c r="C544" i="36"/>
  <c r="B544" i="36"/>
  <c r="H543" i="36"/>
  <c r="G543" i="36"/>
  <c r="F543" i="36"/>
  <c r="E543" i="36"/>
  <c r="D543" i="36"/>
  <c r="C543" i="36"/>
  <c r="B543" i="36"/>
  <c r="H542" i="36"/>
  <c r="G542" i="36"/>
  <c r="F542" i="36"/>
  <c r="E542" i="36"/>
  <c r="D542" i="36"/>
  <c r="C542" i="36"/>
  <c r="B542" i="36"/>
  <c r="H541" i="36"/>
  <c r="G541" i="36"/>
  <c r="F541" i="36"/>
  <c r="E541" i="36"/>
  <c r="D541" i="36"/>
  <c r="C541" i="36"/>
  <c r="B541" i="36"/>
  <c r="H540" i="36"/>
  <c r="G540" i="36"/>
  <c r="F540" i="36"/>
  <c r="E540" i="36"/>
  <c r="D540" i="36"/>
  <c r="C540" i="36"/>
  <c r="B540" i="36"/>
  <c r="H539" i="36"/>
  <c r="G539" i="36"/>
  <c r="F539" i="36"/>
  <c r="E539" i="36"/>
  <c r="D539" i="36"/>
  <c r="C539" i="36"/>
  <c r="B539" i="36"/>
  <c r="H538" i="36"/>
  <c r="G538" i="36"/>
  <c r="F538" i="36"/>
  <c r="E538" i="36"/>
  <c r="D538" i="36"/>
  <c r="C538" i="36"/>
  <c r="B538" i="36"/>
  <c r="H537" i="36"/>
  <c r="G537" i="36"/>
  <c r="F537" i="36"/>
  <c r="E537" i="36"/>
  <c r="D537" i="36"/>
  <c r="C537" i="36"/>
  <c r="B537" i="36"/>
  <c r="H536" i="36"/>
  <c r="G536" i="36"/>
  <c r="F536" i="36"/>
  <c r="E536" i="36"/>
  <c r="D536" i="36"/>
  <c r="C536" i="36"/>
  <c r="B536" i="36"/>
  <c r="H535" i="36"/>
  <c r="G535" i="36"/>
  <c r="F535" i="36"/>
  <c r="E535" i="36"/>
  <c r="D535" i="36"/>
  <c r="C535" i="36"/>
  <c r="B535" i="36"/>
  <c r="H534" i="36"/>
  <c r="G534" i="36"/>
  <c r="F534" i="36"/>
  <c r="E534" i="36"/>
  <c r="D534" i="36"/>
  <c r="C534" i="36"/>
  <c r="B534" i="36"/>
  <c r="H533" i="36"/>
  <c r="G533" i="36"/>
  <c r="F533" i="36"/>
  <c r="E533" i="36"/>
  <c r="D533" i="36"/>
  <c r="C533" i="36"/>
  <c r="B533" i="36"/>
  <c r="H532" i="36"/>
  <c r="G532" i="36"/>
  <c r="F532" i="36"/>
  <c r="E532" i="36"/>
  <c r="D532" i="36"/>
  <c r="C532" i="36"/>
  <c r="B532" i="36"/>
  <c r="H531" i="36"/>
  <c r="G531" i="36"/>
  <c r="F531" i="36"/>
  <c r="E531" i="36"/>
  <c r="D531" i="36"/>
  <c r="C531" i="36"/>
  <c r="B531" i="36"/>
  <c r="H530" i="36"/>
  <c r="G530" i="36"/>
  <c r="F530" i="36"/>
  <c r="E530" i="36"/>
  <c r="D530" i="36"/>
  <c r="C530" i="36"/>
  <c r="B530" i="36"/>
  <c r="H529" i="36"/>
  <c r="G529" i="36"/>
  <c r="F529" i="36"/>
  <c r="E529" i="36"/>
  <c r="D529" i="36"/>
  <c r="C529" i="36"/>
  <c r="B529" i="36"/>
  <c r="H528" i="36"/>
  <c r="G528" i="36"/>
  <c r="F528" i="36"/>
  <c r="E528" i="36"/>
  <c r="D528" i="36"/>
  <c r="C528" i="36"/>
  <c r="B528" i="36"/>
  <c r="H527" i="36"/>
  <c r="G527" i="36"/>
  <c r="F527" i="36"/>
  <c r="E527" i="36"/>
  <c r="D527" i="36"/>
  <c r="C527" i="36"/>
  <c r="B527" i="36"/>
  <c r="H526" i="36"/>
  <c r="G526" i="36"/>
  <c r="F526" i="36"/>
  <c r="E526" i="36"/>
  <c r="D526" i="36"/>
  <c r="C526" i="36"/>
  <c r="B526" i="36"/>
  <c r="H525" i="36"/>
  <c r="G525" i="36"/>
  <c r="F525" i="36"/>
  <c r="E525" i="36"/>
  <c r="D525" i="36"/>
  <c r="C525" i="36"/>
  <c r="B525" i="36"/>
  <c r="H524" i="36"/>
  <c r="G524" i="36"/>
  <c r="F524" i="36"/>
  <c r="E524" i="36"/>
  <c r="D524" i="36"/>
  <c r="C524" i="36"/>
  <c r="B524" i="36"/>
  <c r="H523" i="36"/>
  <c r="G523" i="36"/>
  <c r="F523" i="36"/>
  <c r="E523" i="36"/>
  <c r="D523" i="36"/>
  <c r="C523" i="36"/>
  <c r="B523" i="36"/>
  <c r="H522" i="36"/>
  <c r="G522" i="36"/>
  <c r="F522" i="36"/>
  <c r="E522" i="36"/>
  <c r="D522" i="36"/>
  <c r="C522" i="36"/>
  <c r="B522" i="36"/>
  <c r="H521" i="36"/>
  <c r="G521" i="36"/>
  <c r="F521" i="36"/>
  <c r="E521" i="36"/>
  <c r="D521" i="36"/>
  <c r="C521" i="36"/>
  <c r="B521" i="36"/>
  <c r="H520" i="36"/>
  <c r="G520" i="36"/>
  <c r="F520" i="36"/>
  <c r="E520" i="36"/>
  <c r="D520" i="36"/>
  <c r="C520" i="36"/>
  <c r="B520" i="36"/>
  <c r="H519" i="36"/>
  <c r="G519" i="36"/>
  <c r="F519" i="36"/>
  <c r="E519" i="36"/>
  <c r="D519" i="36"/>
  <c r="C519" i="36"/>
  <c r="B519" i="36"/>
  <c r="H518" i="36"/>
  <c r="G518" i="36"/>
  <c r="F518" i="36"/>
  <c r="E518" i="36"/>
  <c r="D518" i="36"/>
  <c r="C518" i="36"/>
  <c r="B518" i="36"/>
  <c r="H517" i="36"/>
  <c r="G517" i="36"/>
  <c r="F517" i="36"/>
  <c r="E517" i="36"/>
  <c r="D517" i="36"/>
  <c r="C517" i="36"/>
  <c r="B517" i="36"/>
  <c r="H516" i="36"/>
  <c r="G516" i="36"/>
  <c r="F516" i="36"/>
  <c r="E516" i="36"/>
  <c r="D516" i="36"/>
  <c r="C516" i="36"/>
  <c r="B516" i="36"/>
  <c r="H515" i="36"/>
  <c r="G515" i="36"/>
  <c r="F515" i="36"/>
  <c r="E515" i="36"/>
  <c r="D515" i="36"/>
  <c r="C515" i="36"/>
  <c r="B515" i="36"/>
  <c r="H514" i="36"/>
  <c r="G514" i="36"/>
  <c r="F514" i="36"/>
  <c r="E514" i="36"/>
  <c r="D514" i="36"/>
  <c r="C514" i="36"/>
  <c r="B514" i="36"/>
  <c r="H513" i="36"/>
  <c r="G513" i="36"/>
  <c r="F513" i="36"/>
  <c r="E513" i="36"/>
  <c r="D513" i="36"/>
  <c r="C513" i="36"/>
  <c r="B513" i="36"/>
  <c r="H512" i="36"/>
  <c r="G512" i="36"/>
  <c r="F512" i="36"/>
  <c r="E512" i="36"/>
  <c r="D512" i="36"/>
  <c r="C512" i="36"/>
  <c r="B512" i="36"/>
  <c r="H511" i="36"/>
  <c r="G511" i="36"/>
  <c r="F511" i="36"/>
  <c r="E511" i="36"/>
  <c r="D511" i="36"/>
  <c r="C511" i="36"/>
  <c r="B511" i="36"/>
  <c r="H510" i="36"/>
  <c r="G510" i="36"/>
  <c r="F510" i="36"/>
  <c r="E510" i="36"/>
  <c r="D510" i="36"/>
  <c r="C510" i="36"/>
  <c r="B510" i="36"/>
  <c r="H509" i="36"/>
  <c r="G509" i="36"/>
  <c r="F509" i="36"/>
  <c r="E509" i="36"/>
  <c r="D509" i="36"/>
  <c r="C509" i="36"/>
  <c r="B509" i="36"/>
  <c r="H508" i="36"/>
  <c r="G508" i="36"/>
  <c r="F508" i="36"/>
  <c r="E508" i="36"/>
  <c r="D508" i="36"/>
  <c r="C508" i="36"/>
  <c r="B508" i="36"/>
  <c r="H507" i="36"/>
  <c r="G507" i="36"/>
  <c r="F507" i="36"/>
  <c r="E507" i="36"/>
  <c r="D507" i="36"/>
  <c r="C507" i="36"/>
  <c r="B507" i="36"/>
  <c r="H506" i="36"/>
  <c r="G506" i="36"/>
  <c r="F506" i="36"/>
  <c r="E506" i="36"/>
  <c r="D506" i="36"/>
  <c r="C506" i="36"/>
  <c r="B506" i="36"/>
  <c r="H505" i="36"/>
  <c r="G505" i="36"/>
  <c r="F505" i="36"/>
  <c r="E505" i="36"/>
  <c r="D505" i="36"/>
  <c r="C505" i="36"/>
  <c r="B505" i="36"/>
  <c r="H504" i="36"/>
  <c r="G504" i="36"/>
  <c r="F504" i="36"/>
  <c r="E504" i="36"/>
  <c r="D504" i="36"/>
  <c r="C504" i="36"/>
  <c r="B504" i="36"/>
  <c r="H503" i="36"/>
  <c r="G503" i="36"/>
  <c r="F503" i="36"/>
  <c r="E503" i="36"/>
  <c r="D503" i="36"/>
  <c r="C503" i="36"/>
  <c r="B503" i="36"/>
  <c r="H502" i="36"/>
  <c r="G502" i="36"/>
  <c r="F502" i="36"/>
  <c r="E502" i="36"/>
  <c r="D502" i="36"/>
  <c r="C502" i="36"/>
  <c r="B502" i="36"/>
  <c r="H501" i="36"/>
  <c r="G501" i="36"/>
  <c r="F501" i="36"/>
  <c r="E501" i="36"/>
  <c r="D501" i="36"/>
  <c r="C501" i="36"/>
  <c r="B501" i="36"/>
  <c r="H500" i="36"/>
  <c r="G500" i="36"/>
  <c r="F500" i="36"/>
  <c r="E500" i="36"/>
  <c r="D500" i="36"/>
  <c r="C500" i="36"/>
  <c r="B500" i="36"/>
  <c r="H499" i="36"/>
  <c r="G499" i="36"/>
  <c r="F499" i="36"/>
  <c r="E499" i="36"/>
  <c r="D499" i="36"/>
  <c r="C499" i="36"/>
  <c r="B499" i="36"/>
  <c r="H498" i="36"/>
  <c r="G498" i="36"/>
  <c r="F498" i="36"/>
  <c r="E498" i="36"/>
  <c r="D498" i="36"/>
  <c r="C498" i="36"/>
  <c r="B498" i="36"/>
  <c r="H496" i="36"/>
  <c r="G496" i="36"/>
  <c r="F496" i="36"/>
  <c r="E496" i="36"/>
  <c r="D496" i="36"/>
  <c r="C496" i="36"/>
  <c r="B496" i="36"/>
  <c r="H495" i="36"/>
  <c r="G495" i="36"/>
  <c r="F495" i="36"/>
  <c r="E495" i="36"/>
  <c r="D495" i="36"/>
  <c r="C495" i="36"/>
  <c r="B495" i="36"/>
  <c r="H494" i="36"/>
  <c r="G494" i="36"/>
  <c r="F494" i="36"/>
  <c r="E494" i="36"/>
  <c r="D494" i="36"/>
  <c r="C494" i="36"/>
  <c r="B494" i="36"/>
  <c r="H493" i="36"/>
  <c r="G493" i="36"/>
  <c r="F493" i="36"/>
  <c r="E493" i="36"/>
  <c r="D493" i="36"/>
  <c r="C493" i="36"/>
  <c r="B493" i="36"/>
  <c r="H492" i="36"/>
  <c r="G492" i="36"/>
  <c r="F492" i="36"/>
  <c r="E492" i="36"/>
  <c r="D492" i="36"/>
  <c r="C492" i="36"/>
  <c r="B492" i="36"/>
  <c r="H491" i="36"/>
  <c r="G491" i="36"/>
  <c r="F491" i="36"/>
  <c r="E491" i="36"/>
  <c r="D491" i="36"/>
  <c r="C491" i="36"/>
  <c r="B491" i="36"/>
  <c r="H490" i="36"/>
  <c r="G490" i="36"/>
  <c r="F490" i="36"/>
  <c r="E490" i="36"/>
  <c r="D490" i="36"/>
  <c r="C490" i="36"/>
  <c r="B490" i="36"/>
  <c r="H489" i="36"/>
  <c r="G489" i="36"/>
  <c r="F489" i="36"/>
  <c r="E489" i="36"/>
  <c r="D489" i="36"/>
  <c r="C489" i="36"/>
  <c r="B489" i="36"/>
  <c r="H488" i="36"/>
  <c r="G488" i="36"/>
  <c r="F488" i="36"/>
  <c r="E488" i="36"/>
  <c r="D488" i="36"/>
  <c r="C488" i="36"/>
  <c r="B488" i="36"/>
  <c r="H487" i="36"/>
  <c r="G487" i="36"/>
  <c r="F487" i="36"/>
  <c r="E487" i="36"/>
  <c r="D487" i="36"/>
  <c r="C487" i="36"/>
  <c r="B487" i="36"/>
  <c r="H486" i="36"/>
  <c r="G486" i="36"/>
  <c r="F486" i="36"/>
  <c r="E486" i="36"/>
  <c r="D486" i="36"/>
  <c r="C486" i="36"/>
  <c r="B486" i="36"/>
  <c r="H485" i="36"/>
  <c r="G485" i="36"/>
  <c r="F485" i="36"/>
  <c r="E485" i="36"/>
  <c r="D485" i="36"/>
  <c r="C485" i="36"/>
  <c r="B485" i="36"/>
  <c r="H484" i="36"/>
  <c r="G484" i="36"/>
  <c r="F484" i="36"/>
  <c r="E484" i="36"/>
  <c r="D484" i="36"/>
  <c r="C484" i="36"/>
  <c r="B484" i="36"/>
  <c r="H483" i="36"/>
  <c r="G483" i="36"/>
  <c r="F483" i="36"/>
  <c r="E483" i="36"/>
  <c r="D483" i="36"/>
  <c r="C483" i="36"/>
  <c r="B483" i="36"/>
  <c r="H482" i="36"/>
  <c r="G482" i="36"/>
  <c r="F482" i="36"/>
  <c r="E482" i="36"/>
  <c r="D482" i="36"/>
  <c r="C482" i="36"/>
  <c r="B482" i="36"/>
  <c r="H481" i="36"/>
  <c r="G481" i="36"/>
  <c r="F481" i="36"/>
  <c r="E481" i="36"/>
  <c r="D481" i="36"/>
  <c r="C481" i="36"/>
  <c r="B481" i="36"/>
  <c r="H480" i="36"/>
  <c r="G480" i="36"/>
  <c r="F480" i="36"/>
  <c r="E480" i="36"/>
  <c r="D480" i="36"/>
  <c r="C480" i="36"/>
  <c r="B480" i="36"/>
  <c r="H479" i="36"/>
  <c r="G479" i="36"/>
  <c r="F479" i="36"/>
  <c r="E479" i="36"/>
  <c r="D479" i="36"/>
  <c r="C479" i="36"/>
  <c r="B479" i="36"/>
  <c r="H478" i="36"/>
  <c r="G478" i="36"/>
  <c r="F478" i="36"/>
  <c r="E478" i="36"/>
  <c r="D478" i="36"/>
  <c r="C478" i="36"/>
  <c r="B478" i="36"/>
  <c r="H477" i="36"/>
  <c r="G477" i="36"/>
  <c r="F477" i="36"/>
  <c r="E477" i="36"/>
  <c r="D477" i="36"/>
  <c r="C477" i="36"/>
  <c r="B477" i="36"/>
  <c r="H476" i="36"/>
  <c r="G476" i="36"/>
  <c r="F476" i="36"/>
  <c r="E476" i="36"/>
  <c r="D476" i="36"/>
  <c r="C476" i="36"/>
  <c r="B476" i="36"/>
  <c r="H475" i="36"/>
  <c r="G475" i="36"/>
  <c r="F475" i="36"/>
  <c r="E475" i="36"/>
  <c r="D475" i="36"/>
  <c r="C475" i="36"/>
  <c r="B475" i="36"/>
  <c r="H474" i="36"/>
  <c r="G474" i="36"/>
  <c r="F474" i="36"/>
  <c r="E474" i="36"/>
  <c r="D474" i="36"/>
  <c r="C474" i="36"/>
  <c r="B474" i="36"/>
  <c r="H473" i="36"/>
  <c r="G473" i="36"/>
  <c r="F473" i="36"/>
  <c r="E473" i="36"/>
  <c r="D473" i="36"/>
  <c r="C473" i="36"/>
  <c r="B473" i="36"/>
  <c r="H472" i="36"/>
  <c r="G472" i="36"/>
  <c r="F472" i="36"/>
  <c r="E472" i="36"/>
  <c r="D472" i="36"/>
  <c r="C472" i="36"/>
  <c r="B472" i="36"/>
  <c r="H471" i="36"/>
  <c r="G471" i="36"/>
  <c r="F471" i="36"/>
  <c r="E471" i="36"/>
  <c r="D471" i="36"/>
  <c r="C471" i="36"/>
  <c r="B471" i="36"/>
  <c r="H470" i="36"/>
  <c r="G470" i="36"/>
  <c r="F470" i="36"/>
  <c r="E470" i="36"/>
  <c r="D470" i="36"/>
  <c r="C470" i="36"/>
  <c r="B470" i="36"/>
  <c r="H469" i="36"/>
  <c r="G469" i="36"/>
  <c r="F469" i="36"/>
  <c r="E469" i="36"/>
  <c r="D469" i="36"/>
  <c r="C469" i="36"/>
  <c r="B469" i="36"/>
  <c r="H468" i="36"/>
  <c r="G468" i="36"/>
  <c r="F468" i="36"/>
  <c r="E468" i="36"/>
  <c r="D468" i="36"/>
  <c r="C468" i="36"/>
  <c r="B468" i="36"/>
  <c r="H467" i="36"/>
  <c r="G467" i="36"/>
  <c r="F467" i="36"/>
  <c r="E467" i="36"/>
  <c r="D467" i="36"/>
  <c r="C467" i="36"/>
  <c r="B467" i="36"/>
  <c r="H466" i="36"/>
  <c r="G466" i="36"/>
  <c r="F466" i="36"/>
  <c r="E466" i="36"/>
  <c r="D466" i="36"/>
  <c r="C466" i="36"/>
  <c r="B466" i="36"/>
  <c r="H465" i="36"/>
  <c r="G465" i="36"/>
  <c r="F465" i="36"/>
  <c r="E465" i="36"/>
  <c r="D465" i="36"/>
  <c r="C465" i="36"/>
  <c r="B465" i="36"/>
  <c r="H464" i="36"/>
  <c r="G464" i="36"/>
  <c r="F464" i="36"/>
  <c r="E464" i="36"/>
  <c r="D464" i="36"/>
  <c r="C464" i="36"/>
  <c r="B464" i="36"/>
  <c r="H463" i="36"/>
  <c r="G463" i="36"/>
  <c r="F463" i="36"/>
  <c r="E463" i="36"/>
  <c r="D463" i="36"/>
  <c r="C463" i="36"/>
  <c r="B463" i="36"/>
  <c r="H462" i="36"/>
  <c r="G462" i="36"/>
  <c r="F462" i="36"/>
  <c r="E462" i="36"/>
  <c r="D462" i="36"/>
  <c r="C462" i="36"/>
  <c r="B462" i="36"/>
  <c r="H461" i="36"/>
  <c r="G461" i="36"/>
  <c r="F461" i="36"/>
  <c r="E461" i="36"/>
  <c r="D461" i="36"/>
  <c r="C461" i="36"/>
  <c r="B461" i="36"/>
  <c r="H460" i="36"/>
  <c r="G460" i="36"/>
  <c r="F460" i="36"/>
  <c r="E460" i="36"/>
  <c r="D460" i="36"/>
  <c r="C460" i="36"/>
  <c r="B460" i="36"/>
  <c r="H459" i="36"/>
  <c r="G459" i="36"/>
  <c r="F459" i="36"/>
  <c r="E459" i="36"/>
  <c r="D459" i="36"/>
  <c r="C459" i="36"/>
  <c r="B459" i="36"/>
  <c r="H458" i="36"/>
  <c r="G458" i="36"/>
  <c r="F458" i="36"/>
  <c r="E458" i="36"/>
  <c r="D458" i="36"/>
  <c r="C458" i="36"/>
  <c r="B458" i="36"/>
  <c r="H457" i="36"/>
  <c r="G457" i="36"/>
  <c r="F457" i="36"/>
  <c r="E457" i="36"/>
  <c r="D457" i="36"/>
  <c r="C457" i="36"/>
  <c r="B457" i="36"/>
  <c r="H456" i="36"/>
  <c r="G456" i="36"/>
  <c r="F456" i="36"/>
  <c r="E456" i="36"/>
  <c r="D456" i="36"/>
  <c r="C456" i="36"/>
  <c r="B456" i="36"/>
  <c r="H455" i="36"/>
  <c r="G455" i="36"/>
  <c r="F455" i="36"/>
  <c r="E455" i="36"/>
  <c r="D455" i="36"/>
  <c r="C455" i="36"/>
  <c r="B455" i="36"/>
  <c r="H454" i="36"/>
  <c r="G454" i="36"/>
  <c r="F454" i="36"/>
  <c r="E454" i="36"/>
  <c r="D454" i="36"/>
  <c r="C454" i="36"/>
  <c r="B454" i="36"/>
  <c r="H453" i="36"/>
  <c r="G453" i="36"/>
  <c r="F453" i="36"/>
  <c r="E453" i="36"/>
  <c r="D453" i="36"/>
  <c r="C453" i="36"/>
  <c r="B453" i="36"/>
  <c r="H452" i="36"/>
  <c r="G452" i="36"/>
  <c r="F452" i="36"/>
  <c r="E452" i="36"/>
  <c r="D452" i="36"/>
  <c r="C452" i="36"/>
  <c r="B452" i="36"/>
  <c r="H451" i="36"/>
  <c r="G451" i="36"/>
  <c r="F451" i="36"/>
  <c r="E451" i="36"/>
  <c r="D451" i="36"/>
  <c r="C451" i="36"/>
  <c r="B451" i="36"/>
  <c r="H450" i="36"/>
  <c r="G450" i="36"/>
  <c r="F450" i="36"/>
  <c r="E450" i="36"/>
  <c r="D450" i="36"/>
  <c r="C450" i="36"/>
  <c r="B450" i="36"/>
  <c r="H449" i="36"/>
  <c r="G449" i="36"/>
  <c r="F449" i="36"/>
  <c r="E449" i="36"/>
  <c r="D449" i="36"/>
  <c r="C449" i="36"/>
  <c r="B449" i="36"/>
  <c r="H448" i="36"/>
  <c r="G448" i="36"/>
  <c r="F448" i="36"/>
  <c r="E448" i="36"/>
  <c r="D448" i="36"/>
  <c r="C448" i="36"/>
  <c r="B448" i="36"/>
  <c r="H447" i="36"/>
  <c r="G447" i="36"/>
  <c r="F447" i="36"/>
  <c r="E447" i="36"/>
  <c r="D447" i="36"/>
  <c r="C447" i="36"/>
  <c r="B447" i="36"/>
  <c r="H446" i="36"/>
  <c r="G446" i="36"/>
  <c r="F446" i="36"/>
  <c r="E446" i="36"/>
  <c r="D446" i="36"/>
  <c r="C446" i="36"/>
  <c r="B446" i="36"/>
  <c r="H445" i="36"/>
  <c r="G445" i="36"/>
  <c r="F445" i="36"/>
  <c r="E445" i="36"/>
  <c r="D445" i="36"/>
  <c r="C445" i="36"/>
  <c r="B445" i="36"/>
  <c r="H444" i="36"/>
  <c r="G444" i="36"/>
  <c r="F444" i="36"/>
  <c r="E444" i="36"/>
  <c r="D444" i="36"/>
  <c r="C444" i="36"/>
  <c r="B444" i="36"/>
  <c r="H443" i="36"/>
  <c r="G443" i="36"/>
  <c r="F443" i="36"/>
  <c r="E443" i="36"/>
  <c r="D443" i="36"/>
  <c r="C443" i="36"/>
  <c r="B443" i="36"/>
  <c r="H442" i="36"/>
  <c r="G442" i="36"/>
  <c r="F442" i="36"/>
  <c r="E442" i="36"/>
  <c r="D442" i="36"/>
  <c r="C442" i="36"/>
  <c r="B442" i="36"/>
  <c r="H441" i="36"/>
  <c r="G441" i="36"/>
  <c r="F441" i="36"/>
  <c r="E441" i="36"/>
  <c r="D441" i="36"/>
  <c r="C441" i="36"/>
  <c r="B441" i="36"/>
  <c r="H440" i="36"/>
  <c r="G440" i="36"/>
  <c r="F440" i="36"/>
  <c r="E440" i="36"/>
  <c r="D440" i="36"/>
  <c r="C440" i="36"/>
  <c r="B440" i="36"/>
  <c r="H439" i="36"/>
  <c r="G439" i="36"/>
  <c r="F439" i="36"/>
  <c r="E439" i="36"/>
  <c r="D439" i="36"/>
  <c r="C439" i="36"/>
  <c r="B439" i="36"/>
  <c r="H438" i="36"/>
  <c r="G438" i="36"/>
  <c r="F438" i="36"/>
  <c r="E438" i="36"/>
  <c r="D438" i="36"/>
  <c r="C438" i="36"/>
  <c r="B438" i="36"/>
  <c r="H437" i="36"/>
  <c r="G437" i="36"/>
  <c r="F437" i="36"/>
  <c r="E437" i="36"/>
  <c r="D437" i="36"/>
  <c r="C437" i="36"/>
  <c r="B437" i="36"/>
  <c r="H436" i="36"/>
  <c r="G436" i="36"/>
  <c r="F436" i="36"/>
  <c r="E436" i="36"/>
  <c r="D436" i="36"/>
  <c r="C436" i="36"/>
  <c r="B436" i="36"/>
  <c r="H435" i="36"/>
  <c r="G435" i="36"/>
  <c r="F435" i="36"/>
  <c r="E435" i="36"/>
  <c r="D435" i="36"/>
  <c r="C435" i="36"/>
  <c r="B435" i="36"/>
  <c r="H434" i="36"/>
  <c r="G434" i="36"/>
  <c r="F434" i="36"/>
  <c r="E434" i="36"/>
  <c r="D434" i="36"/>
  <c r="C434" i="36"/>
  <c r="B434" i="36"/>
  <c r="H433" i="36"/>
  <c r="G433" i="36"/>
  <c r="F433" i="36"/>
  <c r="E433" i="36"/>
  <c r="D433" i="36"/>
  <c r="C433" i="36"/>
  <c r="B433" i="36"/>
  <c r="H432" i="36"/>
  <c r="G432" i="36"/>
  <c r="F432" i="36"/>
  <c r="E432" i="36"/>
  <c r="D432" i="36"/>
  <c r="C432" i="36"/>
  <c r="B432" i="36"/>
  <c r="H431" i="36"/>
  <c r="G431" i="36"/>
  <c r="F431" i="36"/>
  <c r="E431" i="36"/>
  <c r="D431" i="36"/>
  <c r="C431" i="36"/>
  <c r="B431" i="36"/>
  <c r="H430" i="36"/>
  <c r="G430" i="36"/>
  <c r="F430" i="36"/>
  <c r="E430" i="36"/>
  <c r="D430" i="36"/>
  <c r="C430" i="36"/>
  <c r="B430" i="36"/>
  <c r="H429" i="36"/>
  <c r="G429" i="36"/>
  <c r="F429" i="36"/>
  <c r="E429" i="36"/>
  <c r="D429" i="36"/>
  <c r="C429" i="36"/>
  <c r="B429" i="36"/>
  <c r="H428" i="36"/>
  <c r="G428" i="36"/>
  <c r="F428" i="36"/>
  <c r="E428" i="36"/>
  <c r="D428" i="36"/>
  <c r="C428" i="36"/>
  <c r="B428" i="36"/>
  <c r="H427" i="36"/>
  <c r="G427" i="36"/>
  <c r="F427" i="36"/>
  <c r="E427" i="36"/>
  <c r="D427" i="36"/>
  <c r="C427" i="36"/>
  <c r="B427" i="36"/>
  <c r="H426" i="36"/>
  <c r="G426" i="36"/>
  <c r="F426" i="36"/>
  <c r="E426" i="36"/>
  <c r="D426" i="36"/>
  <c r="C426" i="36"/>
  <c r="B426" i="36"/>
  <c r="H425" i="36"/>
  <c r="G425" i="36"/>
  <c r="F425" i="36"/>
  <c r="E425" i="36"/>
  <c r="D425" i="36"/>
  <c r="C425" i="36"/>
  <c r="B425" i="36"/>
  <c r="H424" i="36"/>
  <c r="G424" i="36"/>
  <c r="F424" i="36"/>
  <c r="E424" i="36"/>
  <c r="D424" i="36"/>
  <c r="C424" i="36"/>
  <c r="B424" i="36"/>
  <c r="H423" i="36"/>
  <c r="G423" i="36"/>
  <c r="F423" i="36"/>
  <c r="E423" i="36"/>
  <c r="D423" i="36"/>
  <c r="C423" i="36"/>
  <c r="B423" i="36"/>
  <c r="H422" i="36"/>
  <c r="G422" i="36"/>
  <c r="F422" i="36"/>
  <c r="E422" i="36"/>
  <c r="D422" i="36"/>
  <c r="C422" i="36"/>
  <c r="B422" i="36"/>
  <c r="H421" i="36"/>
  <c r="G421" i="36"/>
  <c r="F421" i="36"/>
  <c r="E421" i="36"/>
  <c r="D421" i="36"/>
  <c r="C421" i="36"/>
  <c r="B421" i="36"/>
  <c r="H420" i="36"/>
  <c r="G420" i="36"/>
  <c r="F420" i="36"/>
  <c r="E420" i="36"/>
  <c r="D420" i="36"/>
  <c r="C420" i="36"/>
  <c r="B420" i="36"/>
  <c r="H419" i="36"/>
  <c r="G419" i="36"/>
  <c r="F419" i="36"/>
  <c r="E419" i="36"/>
  <c r="D419" i="36"/>
  <c r="C419" i="36"/>
  <c r="B419" i="36"/>
  <c r="H418" i="36"/>
  <c r="G418" i="36"/>
  <c r="F418" i="36"/>
  <c r="E418" i="36"/>
  <c r="D418" i="36"/>
  <c r="C418" i="36"/>
  <c r="B418" i="36"/>
  <c r="H417" i="36"/>
  <c r="G417" i="36"/>
  <c r="F417" i="36"/>
  <c r="E417" i="36"/>
  <c r="D417" i="36"/>
  <c r="C417" i="36"/>
  <c r="B417" i="36"/>
  <c r="H416" i="36"/>
  <c r="G416" i="36"/>
  <c r="F416" i="36"/>
  <c r="E416" i="36"/>
  <c r="D416" i="36"/>
  <c r="C416" i="36"/>
  <c r="B416" i="36"/>
  <c r="H415" i="36"/>
  <c r="G415" i="36"/>
  <c r="F415" i="36"/>
  <c r="E415" i="36"/>
  <c r="D415" i="36"/>
  <c r="C415" i="36"/>
  <c r="B415" i="36"/>
  <c r="H411" i="36"/>
  <c r="G411" i="36"/>
  <c r="F411" i="36"/>
  <c r="E411" i="36"/>
  <c r="D411" i="36"/>
  <c r="C411" i="36"/>
  <c r="B411" i="36"/>
  <c r="H410" i="36"/>
  <c r="G410" i="36"/>
  <c r="F410" i="36"/>
  <c r="E410" i="36"/>
  <c r="D410" i="36"/>
  <c r="C410" i="36"/>
  <c r="B410" i="36"/>
  <c r="H409" i="36"/>
  <c r="G409" i="36"/>
  <c r="F409" i="36"/>
  <c r="E409" i="36"/>
  <c r="D409" i="36"/>
  <c r="C409" i="36"/>
  <c r="B409" i="36"/>
  <c r="H408" i="36"/>
  <c r="G408" i="36"/>
  <c r="F408" i="36"/>
  <c r="E408" i="36"/>
  <c r="D408" i="36"/>
  <c r="C408" i="36"/>
  <c r="B408" i="36"/>
  <c r="H407" i="36"/>
  <c r="G407" i="36"/>
  <c r="F407" i="36"/>
  <c r="E407" i="36"/>
  <c r="D407" i="36"/>
  <c r="C407" i="36"/>
  <c r="B407" i="36"/>
  <c r="H406" i="36"/>
  <c r="G406" i="36"/>
  <c r="F406" i="36"/>
  <c r="E406" i="36"/>
  <c r="D406" i="36"/>
  <c r="C406" i="36"/>
  <c r="B406" i="36"/>
  <c r="H405" i="36"/>
  <c r="G405" i="36"/>
  <c r="F405" i="36"/>
  <c r="E405" i="36"/>
  <c r="D405" i="36"/>
  <c r="C405" i="36"/>
  <c r="B405" i="36"/>
  <c r="H404" i="36"/>
  <c r="G404" i="36"/>
  <c r="F404" i="36"/>
  <c r="E404" i="36"/>
  <c r="D404" i="36"/>
  <c r="C404" i="36"/>
  <c r="B404" i="36"/>
  <c r="H403" i="36"/>
  <c r="G403" i="36"/>
  <c r="F403" i="36"/>
  <c r="E403" i="36"/>
  <c r="D403" i="36"/>
  <c r="C403" i="36"/>
  <c r="B403" i="36"/>
  <c r="H402" i="36"/>
  <c r="G402" i="36"/>
  <c r="F402" i="36"/>
  <c r="E402" i="36"/>
  <c r="D402" i="36"/>
  <c r="C402" i="36"/>
  <c r="B402" i="36"/>
  <c r="H401" i="36"/>
  <c r="G401" i="36"/>
  <c r="F401" i="36"/>
  <c r="E401" i="36"/>
  <c r="D401" i="36"/>
  <c r="C401" i="36"/>
  <c r="B401" i="36"/>
  <c r="H400" i="36"/>
  <c r="G400" i="36"/>
  <c r="F400" i="36"/>
  <c r="E400" i="36"/>
  <c r="D400" i="36"/>
  <c r="C400" i="36"/>
  <c r="B400" i="36"/>
  <c r="H399" i="36"/>
  <c r="G399" i="36"/>
  <c r="F399" i="36"/>
  <c r="E399" i="36"/>
  <c r="D399" i="36"/>
  <c r="C399" i="36"/>
  <c r="B399" i="36"/>
  <c r="H398" i="36"/>
  <c r="G398" i="36"/>
  <c r="F398" i="36"/>
  <c r="E398" i="36"/>
  <c r="D398" i="36"/>
  <c r="C398" i="36"/>
  <c r="B398" i="36"/>
  <c r="H397" i="36"/>
  <c r="G397" i="36"/>
  <c r="F397" i="36"/>
  <c r="E397" i="36"/>
  <c r="D397" i="36"/>
  <c r="C397" i="36"/>
  <c r="B397" i="36"/>
  <c r="H396" i="36"/>
  <c r="G396" i="36"/>
  <c r="F396" i="36"/>
  <c r="E396" i="36"/>
  <c r="D396" i="36"/>
  <c r="C396" i="36"/>
  <c r="B396" i="36"/>
  <c r="H395" i="36"/>
  <c r="G395" i="36"/>
  <c r="F395" i="36"/>
  <c r="E395" i="36"/>
  <c r="D395" i="36"/>
  <c r="C395" i="36"/>
  <c r="B395" i="36"/>
  <c r="H394" i="36"/>
  <c r="G394" i="36"/>
  <c r="F394" i="36"/>
  <c r="E394" i="36"/>
  <c r="D394" i="36"/>
  <c r="C394" i="36"/>
  <c r="B394" i="36"/>
  <c r="H393" i="36"/>
  <c r="G393" i="36"/>
  <c r="F393" i="36"/>
  <c r="E393" i="36"/>
  <c r="D393" i="36"/>
  <c r="C393" i="36"/>
  <c r="B393" i="36"/>
  <c r="H392" i="36"/>
  <c r="G392" i="36"/>
  <c r="F392" i="36"/>
  <c r="E392" i="36"/>
  <c r="D392" i="36"/>
  <c r="C392" i="36"/>
  <c r="B392" i="36"/>
  <c r="H391" i="36"/>
  <c r="G391" i="36"/>
  <c r="F391" i="36"/>
  <c r="E391" i="36"/>
  <c r="D391" i="36"/>
  <c r="C391" i="36"/>
  <c r="B391" i="36"/>
  <c r="H390" i="36"/>
  <c r="G390" i="36"/>
  <c r="F390" i="36"/>
  <c r="E390" i="36"/>
  <c r="D390" i="36"/>
  <c r="C390" i="36"/>
  <c r="B390" i="36"/>
  <c r="H389" i="36"/>
  <c r="G389" i="36"/>
  <c r="F389" i="36"/>
  <c r="E389" i="36"/>
  <c r="D389" i="36"/>
  <c r="C389" i="36"/>
  <c r="B389" i="36"/>
  <c r="H388" i="36"/>
  <c r="G388" i="36"/>
  <c r="F388" i="36"/>
  <c r="E388" i="36"/>
  <c r="D388" i="36"/>
  <c r="C388" i="36"/>
  <c r="B388" i="36"/>
  <c r="H387" i="36"/>
  <c r="G387" i="36"/>
  <c r="F387" i="36"/>
  <c r="E387" i="36"/>
  <c r="D387" i="36"/>
  <c r="C387" i="36"/>
  <c r="B387" i="36"/>
  <c r="H386" i="36"/>
  <c r="G386" i="36"/>
  <c r="F386" i="36"/>
  <c r="E386" i="36"/>
  <c r="D386" i="36"/>
  <c r="C386" i="36"/>
  <c r="B386" i="36"/>
  <c r="H385" i="36"/>
  <c r="G385" i="36"/>
  <c r="F385" i="36"/>
  <c r="E385" i="36"/>
  <c r="D385" i="36"/>
  <c r="C385" i="36"/>
  <c r="B385" i="36"/>
  <c r="H384" i="36"/>
  <c r="G384" i="36"/>
  <c r="F384" i="36"/>
  <c r="E384" i="36"/>
  <c r="D384" i="36"/>
  <c r="C384" i="36"/>
  <c r="B384" i="36"/>
  <c r="H383" i="36"/>
  <c r="G383" i="36"/>
  <c r="F383" i="36"/>
  <c r="E383" i="36"/>
  <c r="D383" i="36"/>
  <c r="C383" i="36"/>
  <c r="B383" i="36"/>
  <c r="H382" i="36"/>
  <c r="G382" i="36"/>
  <c r="F382" i="36"/>
  <c r="E382" i="36"/>
  <c r="D382" i="36"/>
  <c r="C382" i="36"/>
  <c r="B382" i="36"/>
  <c r="H381" i="36"/>
  <c r="G381" i="36"/>
  <c r="F381" i="36"/>
  <c r="E381" i="36"/>
  <c r="D381" i="36"/>
  <c r="C381" i="36"/>
  <c r="B381" i="36"/>
  <c r="H380" i="36"/>
  <c r="G380" i="36"/>
  <c r="F380" i="36"/>
  <c r="E380" i="36"/>
  <c r="D380" i="36"/>
  <c r="C380" i="36"/>
  <c r="B380" i="36"/>
  <c r="H379" i="36"/>
  <c r="G379" i="36"/>
  <c r="F379" i="36"/>
  <c r="E379" i="36"/>
  <c r="D379" i="36"/>
  <c r="C379" i="36"/>
  <c r="B379" i="36"/>
  <c r="H378" i="36"/>
  <c r="G378" i="36"/>
  <c r="F378" i="36"/>
  <c r="E378" i="36"/>
  <c r="D378" i="36"/>
  <c r="C378" i="36"/>
  <c r="B378" i="36"/>
  <c r="H377" i="36"/>
  <c r="G377" i="36"/>
  <c r="F377" i="36"/>
  <c r="E377" i="36"/>
  <c r="D377" i="36"/>
  <c r="C377" i="36"/>
  <c r="B377" i="36"/>
  <c r="H376" i="36"/>
  <c r="G376" i="36"/>
  <c r="F376" i="36"/>
  <c r="E376" i="36"/>
  <c r="D376" i="36"/>
  <c r="C376" i="36"/>
  <c r="B376" i="36"/>
  <c r="H375" i="36"/>
  <c r="G375" i="36"/>
  <c r="F375" i="36"/>
  <c r="E375" i="36"/>
  <c r="D375" i="36"/>
  <c r="C375" i="36"/>
  <c r="B375" i="36"/>
  <c r="H374" i="36"/>
  <c r="G374" i="36"/>
  <c r="F374" i="36"/>
  <c r="E374" i="36"/>
  <c r="D374" i="36"/>
  <c r="C374" i="36"/>
  <c r="B374" i="36"/>
  <c r="H373" i="36"/>
  <c r="G373" i="36"/>
  <c r="F373" i="36"/>
  <c r="E373" i="36"/>
  <c r="D373" i="36"/>
  <c r="C373" i="36"/>
  <c r="B373" i="36"/>
  <c r="H372" i="36"/>
  <c r="G372" i="36"/>
  <c r="F372" i="36"/>
  <c r="E372" i="36"/>
  <c r="D372" i="36"/>
  <c r="C372" i="36"/>
  <c r="B372" i="36"/>
  <c r="H371" i="36"/>
  <c r="G371" i="36"/>
  <c r="F371" i="36"/>
  <c r="E371" i="36"/>
  <c r="D371" i="36"/>
  <c r="C371" i="36"/>
  <c r="B371" i="36"/>
  <c r="H370" i="36"/>
  <c r="G370" i="36"/>
  <c r="F370" i="36"/>
  <c r="E370" i="36"/>
  <c r="D370" i="36"/>
  <c r="C370" i="36"/>
  <c r="B370" i="36"/>
  <c r="H369" i="36"/>
  <c r="G369" i="36"/>
  <c r="F369" i="36"/>
  <c r="E369" i="36"/>
  <c r="D369" i="36"/>
  <c r="C369" i="36"/>
  <c r="B369" i="36"/>
  <c r="H368" i="36"/>
  <c r="G368" i="36"/>
  <c r="F368" i="36"/>
  <c r="E368" i="36"/>
  <c r="D368" i="36"/>
  <c r="C368" i="36"/>
  <c r="B368" i="36"/>
  <c r="H367" i="36"/>
  <c r="G367" i="36"/>
  <c r="F367" i="36"/>
  <c r="E367" i="36"/>
  <c r="D367" i="36"/>
  <c r="C367" i="36"/>
  <c r="B367" i="36"/>
  <c r="H366" i="36"/>
  <c r="G366" i="36"/>
  <c r="F366" i="36"/>
  <c r="E366" i="36"/>
  <c r="D366" i="36"/>
  <c r="C366" i="36"/>
  <c r="B366" i="36"/>
  <c r="H365" i="36"/>
  <c r="G365" i="36"/>
  <c r="F365" i="36"/>
  <c r="E365" i="36"/>
  <c r="D365" i="36"/>
  <c r="C365" i="36"/>
  <c r="B365" i="36"/>
  <c r="H364" i="36"/>
  <c r="G364" i="36"/>
  <c r="F364" i="36"/>
  <c r="E364" i="36"/>
  <c r="D364" i="36"/>
  <c r="C364" i="36"/>
  <c r="B364" i="36"/>
  <c r="H363" i="36"/>
  <c r="G363" i="36"/>
  <c r="F363" i="36"/>
  <c r="E363" i="36"/>
  <c r="D363" i="36"/>
  <c r="C363" i="36"/>
  <c r="B363" i="36"/>
  <c r="H362" i="36"/>
  <c r="G362" i="36"/>
  <c r="F362" i="36"/>
  <c r="E362" i="36"/>
  <c r="D362" i="36"/>
  <c r="C362" i="36"/>
  <c r="B362" i="36"/>
  <c r="H361" i="36"/>
  <c r="G361" i="36"/>
  <c r="F361" i="36"/>
  <c r="E361" i="36"/>
  <c r="D361" i="36"/>
  <c r="C361" i="36"/>
  <c r="B361" i="36"/>
  <c r="H360" i="36"/>
  <c r="G360" i="36"/>
  <c r="F360" i="36"/>
  <c r="E360" i="36"/>
  <c r="D360" i="36"/>
  <c r="C360" i="36"/>
  <c r="B360" i="36"/>
  <c r="H359" i="36"/>
  <c r="G359" i="36"/>
  <c r="F359" i="36"/>
  <c r="E359" i="36"/>
  <c r="D359" i="36"/>
  <c r="C359" i="36"/>
  <c r="B359" i="36"/>
  <c r="H358" i="36"/>
  <c r="G358" i="36"/>
  <c r="F358" i="36"/>
  <c r="E358" i="36"/>
  <c r="D358" i="36"/>
  <c r="C358" i="36"/>
  <c r="B358" i="36"/>
  <c r="H357" i="36"/>
  <c r="G357" i="36"/>
  <c r="F357" i="36"/>
  <c r="E357" i="36"/>
  <c r="D357" i="36"/>
  <c r="C357" i="36"/>
  <c r="B357" i="36"/>
  <c r="H356" i="36"/>
  <c r="G356" i="36"/>
  <c r="F356" i="36"/>
  <c r="E356" i="36"/>
  <c r="D356" i="36"/>
  <c r="C356" i="36"/>
  <c r="B356" i="36"/>
  <c r="H355" i="36"/>
  <c r="G355" i="36"/>
  <c r="F355" i="36"/>
  <c r="E355" i="36"/>
  <c r="D355" i="36"/>
  <c r="C355" i="36"/>
  <c r="B355" i="36"/>
  <c r="H354" i="36"/>
  <c r="G354" i="36"/>
  <c r="F354" i="36"/>
  <c r="E354" i="36"/>
  <c r="D354" i="36"/>
  <c r="C354" i="36"/>
  <c r="B354" i="36"/>
  <c r="H353" i="36"/>
  <c r="G353" i="36"/>
  <c r="F353" i="36"/>
  <c r="E353" i="36"/>
  <c r="D353" i="36"/>
  <c r="C353" i="36"/>
  <c r="B353" i="36"/>
  <c r="H352" i="36"/>
  <c r="G352" i="36"/>
  <c r="F352" i="36"/>
  <c r="E352" i="36"/>
  <c r="D352" i="36"/>
  <c r="C352" i="36"/>
  <c r="B352" i="36"/>
  <c r="H351" i="36"/>
  <c r="G351" i="36"/>
  <c r="F351" i="36"/>
  <c r="E351" i="36"/>
  <c r="D351" i="36"/>
  <c r="C351" i="36"/>
  <c r="B351" i="36"/>
  <c r="H350" i="36"/>
  <c r="G350" i="36"/>
  <c r="F350" i="36"/>
  <c r="E350" i="36"/>
  <c r="D350" i="36"/>
  <c r="C350" i="36"/>
  <c r="B350" i="36"/>
  <c r="H349" i="36"/>
  <c r="G349" i="36"/>
  <c r="F349" i="36"/>
  <c r="E349" i="36"/>
  <c r="D349" i="36"/>
  <c r="C349" i="36"/>
  <c r="B349" i="36"/>
  <c r="H348" i="36"/>
  <c r="G348" i="36"/>
  <c r="F348" i="36"/>
  <c r="E348" i="36"/>
  <c r="D348" i="36"/>
  <c r="C348" i="36"/>
  <c r="B348" i="36"/>
  <c r="H347" i="36"/>
  <c r="G347" i="36"/>
  <c r="F347" i="36"/>
  <c r="E347" i="36"/>
  <c r="D347" i="36"/>
  <c r="C347" i="36"/>
  <c r="B347" i="36"/>
  <c r="H346" i="36"/>
  <c r="G346" i="36"/>
  <c r="F346" i="36"/>
  <c r="E346" i="36"/>
  <c r="D346" i="36"/>
  <c r="C346" i="36"/>
  <c r="B346" i="36"/>
  <c r="H345" i="36"/>
  <c r="G345" i="36"/>
  <c r="F345" i="36"/>
  <c r="E345" i="36"/>
  <c r="D345" i="36"/>
  <c r="C345" i="36"/>
  <c r="B345" i="36"/>
  <c r="H344" i="36"/>
  <c r="G344" i="36"/>
  <c r="F344" i="36"/>
  <c r="E344" i="36"/>
  <c r="D344" i="36"/>
  <c r="C344" i="36"/>
  <c r="B344" i="36"/>
  <c r="H343" i="36"/>
  <c r="G343" i="36"/>
  <c r="F343" i="36"/>
  <c r="E343" i="36"/>
  <c r="D343" i="36"/>
  <c r="C343" i="36"/>
  <c r="B343" i="36"/>
  <c r="H342" i="36"/>
  <c r="G342" i="36"/>
  <c r="F342" i="36"/>
  <c r="E342" i="36"/>
  <c r="D342" i="36"/>
  <c r="C342" i="36"/>
  <c r="B342" i="36"/>
  <c r="H341" i="36"/>
  <c r="G341" i="36"/>
  <c r="F341" i="36"/>
  <c r="E341" i="36"/>
  <c r="D341" i="36"/>
  <c r="C341" i="36"/>
  <c r="B341" i="36"/>
  <c r="H340" i="36"/>
  <c r="G340" i="36"/>
  <c r="F340" i="36"/>
  <c r="E340" i="36"/>
  <c r="D340" i="36"/>
  <c r="C340" i="36"/>
  <c r="B340" i="36"/>
  <c r="H339" i="36"/>
  <c r="G339" i="36"/>
  <c r="F339" i="36"/>
  <c r="E339" i="36"/>
  <c r="D339" i="36"/>
  <c r="C339" i="36"/>
  <c r="B339" i="36"/>
  <c r="H338" i="36"/>
  <c r="G338" i="36"/>
  <c r="F338" i="36"/>
  <c r="E338" i="36"/>
  <c r="D338" i="36"/>
  <c r="C338" i="36"/>
  <c r="B338" i="36"/>
  <c r="H337" i="36"/>
  <c r="G337" i="36"/>
  <c r="F337" i="36"/>
  <c r="E337" i="36"/>
  <c r="D337" i="36"/>
  <c r="C337" i="36"/>
  <c r="B337" i="36"/>
  <c r="H336" i="36"/>
  <c r="G336" i="36"/>
  <c r="F336" i="36"/>
  <c r="E336" i="36"/>
  <c r="D336" i="36"/>
  <c r="C336" i="36"/>
  <c r="B336" i="36"/>
  <c r="H335" i="36"/>
  <c r="G335" i="36"/>
  <c r="F335" i="36"/>
  <c r="E335" i="36"/>
  <c r="D335" i="36"/>
  <c r="C335" i="36"/>
  <c r="B335" i="36"/>
  <c r="H334" i="36"/>
  <c r="G334" i="36"/>
  <c r="F334" i="36"/>
  <c r="E334" i="36"/>
  <c r="D334" i="36"/>
  <c r="C334" i="36"/>
  <c r="B334" i="36"/>
  <c r="H333" i="36"/>
  <c r="G333" i="36"/>
  <c r="F333" i="36"/>
  <c r="E333" i="36"/>
  <c r="D333" i="36"/>
  <c r="C333" i="36"/>
  <c r="B333" i="36"/>
  <c r="H332" i="36"/>
  <c r="G332" i="36"/>
  <c r="F332" i="36"/>
  <c r="E332" i="36"/>
  <c r="D332" i="36"/>
  <c r="C332" i="36"/>
  <c r="B332" i="36"/>
  <c r="H331" i="36"/>
  <c r="G331" i="36"/>
  <c r="F331" i="36"/>
  <c r="E331" i="36"/>
  <c r="D331" i="36"/>
  <c r="C331" i="36"/>
  <c r="B331" i="36"/>
  <c r="H330" i="36"/>
  <c r="G330" i="36"/>
  <c r="F330" i="36"/>
  <c r="E330" i="36"/>
  <c r="D330" i="36"/>
  <c r="C330" i="36"/>
  <c r="B330" i="36"/>
  <c r="H329" i="36"/>
  <c r="G329" i="36"/>
  <c r="F329" i="36"/>
  <c r="E329" i="36"/>
  <c r="D329" i="36"/>
  <c r="C329" i="36"/>
  <c r="B329" i="36"/>
  <c r="H328" i="36"/>
  <c r="G328" i="36"/>
  <c r="F328" i="36"/>
  <c r="E328" i="36"/>
  <c r="D328" i="36"/>
  <c r="C328" i="36"/>
  <c r="B328" i="36"/>
  <c r="H327" i="36"/>
  <c r="G327" i="36"/>
  <c r="F327" i="36"/>
  <c r="E327" i="36"/>
  <c r="D327" i="36"/>
  <c r="C327" i="36"/>
  <c r="B327" i="36"/>
  <c r="H326" i="36"/>
  <c r="G326" i="36"/>
  <c r="F326" i="36"/>
  <c r="E326" i="36"/>
  <c r="D326" i="36"/>
  <c r="C326" i="36"/>
  <c r="B326" i="36"/>
  <c r="H325" i="36"/>
  <c r="G325" i="36"/>
  <c r="F325" i="36"/>
  <c r="E325" i="36"/>
  <c r="D325" i="36"/>
  <c r="C325" i="36"/>
  <c r="B325" i="36"/>
  <c r="H324" i="36"/>
  <c r="G324" i="36"/>
  <c r="F324" i="36"/>
  <c r="E324" i="36"/>
  <c r="D324" i="36"/>
  <c r="C324" i="36"/>
  <c r="B324" i="36"/>
  <c r="H323" i="36"/>
  <c r="G323" i="36"/>
  <c r="F323" i="36"/>
  <c r="E323" i="36"/>
  <c r="D323" i="36"/>
  <c r="C323" i="36"/>
  <c r="B323" i="36"/>
  <c r="H322" i="36"/>
  <c r="G322" i="36"/>
  <c r="F322" i="36"/>
  <c r="E322" i="36"/>
  <c r="D322" i="36"/>
  <c r="C322" i="36"/>
  <c r="B322" i="36"/>
  <c r="H321" i="36"/>
  <c r="G321" i="36"/>
  <c r="F321" i="36"/>
  <c r="E321" i="36"/>
  <c r="D321" i="36"/>
  <c r="C321" i="36"/>
  <c r="B321" i="36"/>
  <c r="H320" i="36"/>
  <c r="G320" i="36"/>
  <c r="F320" i="36"/>
  <c r="E320" i="36"/>
  <c r="D320" i="36"/>
  <c r="C320" i="36"/>
  <c r="B320" i="36"/>
  <c r="H319" i="36"/>
  <c r="G319" i="36"/>
  <c r="F319" i="36"/>
  <c r="E319" i="36"/>
  <c r="D319" i="36"/>
  <c r="C319" i="36"/>
  <c r="B319" i="36"/>
  <c r="H318" i="36"/>
  <c r="G318" i="36"/>
  <c r="F318" i="36"/>
  <c r="E318" i="36"/>
  <c r="D318" i="36"/>
  <c r="C318" i="36"/>
  <c r="B318" i="36"/>
  <c r="H317" i="36"/>
  <c r="G317" i="36"/>
  <c r="F317" i="36"/>
  <c r="E317" i="36"/>
  <c r="D317" i="36"/>
  <c r="C317" i="36"/>
  <c r="B317" i="36"/>
  <c r="H316" i="36"/>
  <c r="G316" i="36"/>
  <c r="F316" i="36"/>
  <c r="E316" i="36"/>
  <c r="D316" i="36"/>
  <c r="C316" i="36"/>
  <c r="B316" i="36"/>
  <c r="H315" i="36"/>
  <c r="G315" i="36"/>
  <c r="F315" i="36"/>
  <c r="E315" i="36"/>
  <c r="D315" i="36"/>
  <c r="C315" i="36"/>
  <c r="B315" i="36"/>
  <c r="H314" i="36"/>
  <c r="G314" i="36"/>
  <c r="F314" i="36"/>
  <c r="E314" i="36"/>
  <c r="D314" i="36"/>
  <c r="C314" i="36"/>
  <c r="B314" i="36"/>
  <c r="H313" i="36"/>
  <c r="G313" i="36"/>
  <c r="F313" i="36"/>
  <c r="E313" i="36"/>
  <c r="D313" i="36"/>
  <c r="C313" i="36"/>
  <c r="B313" i="36"/>
  <c r="H312" i="36"/>
  <c r="G312" i="36"/>
  <c r="F312" i="36"/>
  <c r="E312" i="36"/>
  <c r="D312" i="36"/>
  <c r="C312" i="36"/>
  <c r="B312" i="36"/>
  <c r="H311" i="36"/>
  <c r="G311" i="36"/>
  <c r="F311" i="36"/>
  <c r="E311" i="36"/>
  <c r="D311" i="36"/>
  <c r="C311" i="36"/>
  <c r="B311" i="36"/>
  <c r="H310" i="36"/>
  <c r="G310" i="36"/>
  <c r="F310" i="36"/>
  <c r="E310" i="36"/>
  <c r="D310" i="36"/>
  <c r="C310" i="36"/>
  <c r="B310" i="36"/>
  <c r="H309" i="36"/>
  <c r="G309" i="36"/>
  <c r="F309" i="36"/>
  <c r="E309" i="36"/>
  <c r="D309" i="36"/>
  <c r="C309" i="36"/>
  <c r="B309" i="36"/>
  <c r="H308" i="36"/>
  <c r="G308" i="36"/>
  <c r="F308" i="36"/>
  <c r="E308" i="36"/>
  <c r="D308" i="36"/>
  <c r="C308" i="36"/>
  <c r="B308" i="36"/>
  <c r="H307" i="36"/>
  <c r="G307" i="36"/>
  <c r="F307" i="36"/>
  <c r="E307" i="36"/>
  <c r="D307" i="36"/>
  <c r="C307" i="36"/>
  <c r="B307" i="36"/>
  <c r="H306" i="36"/>
  <c r="G306" i="36"/>
  <c r="F306" i="36"/>
  <c r="E306" i="36"/>
  <c r="D306" i="36"/>
  <c r="C306" i="36"/>
  <c r="B306" i="36"/>
  <c r="H305" i="36"/>
  <c r="G305" i="36"/>
  <c r="F305" i="36"/>
  <c r="E305" i="36"/>
  <c r="D305" i="36"/>
  <c r="C305" i="36"/>
  <c r="B305" i="36"/>
  <c r="H304" i="36"/>
  <c r="G304" i="36"/>
  <c r="F304" i="36"/>
  <c r="E304" i="36"/>
  <c r="D304" i="36"/>
  <c r="C304" i="36"/>
  <c r="B304" i="36"/>
  <c r="H303" i="36"/>
  <c r="G303" i="36"/>
  <c r="F303" i="36"/>
  <c r="E303" i="36"/>
  <c r="D303" i="36"/>
  <c r="C303" i="36"/>
  <c r="B303" i="36"/>
  <c r="H302" i="36"/>
  <c r="G302" i="36"/>
  <c r="F302" i="36"/>
  <c r="E302" i="36"/>
  <c r="D302" i="36"/>
  <c r="C302" i="36"/>
  <c r="B302" i="36"/>
  <c r="H301" i="36"/>
  <c r="G301" i="36"/>
  <c r="F301" i="36"/>
  <c r="E301" i="36"/>
  <c r="D301" i="36"/>
  <c r="C301" i="36"/>
  <c r="B301" i="36"/>
  <c r="H300" i="36"/>
  <c r="G300" i="36"/>
  <c r="F300" i="36"/>
  <c r="E300" i="36"/>
  <c r="D300" i="36"/>
  <c r="C300" i="36"/>
  <c r="B300" i="36"/>
  <c r="H299" i="36"/>
  <c r="G299" i="36"/>
  <c r="F299" i="36"/>
  <c r="E299" i="36"/>
  <c r="D299" i="36"/>
  <c r="C299" i="36"/>
  <c r="B299" i="36"/>
  <c r="H298" i="36"/>
  <c r="G298" i="36"/>
  <c r="F298" i="36"/>
  <c r="E298" i="36"/>
  <c r="D298" i="36"/>
  <c r="C298" i="36"/>
  <c r="B298" i="36"/>
  <c r="H297" i="36"/>
  <c r="G297" i="36"/>
  <c r="F297" i="36"/>
  <c r="E297" i="36"/>
  <c r="D297" i="36"/>
  <c r="C297" i="36"/>
  <c r="B297" i="36"/>
  <c r="H296" i="36"/>
  <c r="G296" i="36"/>
  <c r="F296" i="36"/>
  <c r="E296" i="36"/>
  <c r="D296" i="36"/>
  <c r="C296" i="36"/>
  <c r="B296" i="36"/>
  <c r="H295" i="36"/>
  <c r="G295" i="36"/>
  <c r="F295" i="36"/>
  <c r="E295" i="36"/>
  <c r="D295" i="36"/>
  <c r="C295" i="36"/>
  <c r="B295" i="36"/>
  <c r="H294" i="36"/>
  <c r="G294" i="36"/>
  <c r="F294" i="36"/>
  <c r="E294" i="36"/>
  <c r="D294" i="36"/>
  <c r="C294" i="36"/>
  <c r="B294" i="36"/>
  <c r="H293" i="36"/>
  <c r="G293" i="36"/>
  <c r="F293" i="36"/>
  <c r="E293" i="36"/>
  <c r="D293" i="36"/>
  <c r="C293" i="36"/>
  <c r="B293" i="36"/>
  <c r="H292" i="36"/>
  <c r="G292" i="36"/>
  <c r="F292" i="36"/>
  <c r="E292" i="36"/>
  <c r="D292" i="36"/>
  <c r="C292" i="36"/>
  <c r="B292" i="36"/>
  <c r="H291" i="36"/>
  <c r="G291" i="36"/>
  <c r="F291" i="36"/>
  <c r="E291" i="36"/>
  <c r="D291" i="36"/>
  <c r="C291" i="36"/>
  <c r="B291" i="36"/>
  <c r="H290" i="36"/>
  <c r="G290" i="36"/>
  <c r="F290" i="36"/>
  <c r="E290" i="36"/>
  <c r="D290" i="36"/>
  <c r="C290" i="36"/>
  <c r="B290" i="36"/>
  <c r="H289" i="36"/>
  <c r="G289" i="36"/>
  <c r="F289" i="36"/>
  <c r="E289" i="36"/>
  <c r="D289" i="36"/>
  <c r="C289" i="36"/>
  <c r="B289" i="36"/>
  <c r="H288" i="36"/>
  <c r="G288" i="36"/>
  <c r="F288" i="36"/>
  <c r="E288" i="36"/>
  <c r="D288" i="36"/>
  <c r="C288" i="36"/>
  <c r="B288" i="36"/>
  <c r="H287" i="36"/>
  <c r="G287" i="36"/>
  <c r="F287" i="36"/>
  <c r="E287" i="36"/>
  <c r="D287" i="36"/>
  <c r="C287" i="36"/>
  <c r="B287" i="36"/>
  <c r="H286" i="36"/>
  <c r="G286" i="36"/>
  <c r="F286" i="36"/>
  <c r="E286" i="36"/>
  <c r="D286" i="36"/>
  <c r="C286" i="36"/>
  <c r="B286" i="36"/>
  <c r="H285" i="36"/>
  <c r="G285" i="36"/>
  <c r="F285" i="36"/>
  <c r="E285" i="36"/>
  <c r="D285" i="36"/>
  <c r="C285" i="36"/>
  <c r="B285" i="36"/>
  <c r="H284" i="36"/>
  <c r="G284" i="36"/>
  <c r="F284" i="36"/>
  <c r="E284" i="36"/>
  <c r="D284" i="36"/>
  <c r="C284" i="36"/>
  <c r="B284" i="36"/>
  <c r="H283" i="36"/>
  <c r="G283" i="36"/>
  <c r="F283" i="36"/>
  <c r="E283" i="36"/>
  <c r="D283" i="36"/>
  <c r="C283" i="36"/>
  <c r="B283" i="36"/>
  <c r="H282" i="36"/>
  <c r="G282" i="36"/>
  <c r="F282" i="36"/>
  <c r="E282" i="36"/>
  <c r="D282" i="36"/>
  <c r="C282" i="36"/>
  <c r="B282" i="36"/>
  <c r="H281" i="36"/>
  <c r="G281" i="36"/>
  <c r="F281" i="36"/>
  <c r="E281" i="36"/>
  <c r="D281" i="36"/>
  <c r="C281" i="36"/>
  <c r="B281" i="36"/>
  <c r="H280" i="36"/>
  <c r="G280" i="36"/>
  <c r="F280" i="36"/>
  <c r="E280" i="36"/>
  <c r="D280" i="36"/>
  <c r="C280" i="36"/>
  <c r="B280" i="36"/>
  <c r="H279" i="36"/>
  <c r="G279" i="36"/>
  <c r="F279" i="36"/>
  <c r="E279" i="36"/>
  <c r="D279" i="36"/>
  <c r="C279" i="36"/>
  <c r="B279" i="36"/>
  <c r="H278" i="36"/>
  <c r="G278" i="36"/>
  <c r="F278" i="36"/>
  <c r="E278" i="36"/>
  <c r="D278" i="36"/>
  <c r="C278" i="36"/>
  <c r="B278" i="36"/>
  <c r="H277" i="36"/>
  <c r="G277" i="36"/>
  <c r="F277" i="36"/>
  <c r="E277" i="36"/>
  <c r="D277" i="36"/>
  <c r="C277" i="36"/>
  <c r="B277" i="36"/>
  <c r="H276" i="36"/>
  <c r="G276" i="36"/>
  <c r="F276" i="36"/>
  <c r="E276" i="36"/>
  <c r="D276" i="36"/>
  <c r="C276" i="36"/>
  <c r="B276" i="36"/>
  <c r="H275" i="36"/>
  <c r="G275" i="36"/>
  <c r="F275" i="36"/>
  <c r="E275" i="36"/>
  <c r="D275" i="36"/>
  <c r="C275" i="36"/>
  <c r="B275" i="36"/>
  <c r="H274" i="36"/>
  <c r="G274" i="36"/>
  <c r="F274" i="36"/>
  <c r="E274" i="36"/>
  <c r="D274" i="36"/>
  <c r="C274" i="36"/>
  <c r="B274" i="36"/>
  <c r="H273" i="36"/>
  <c r="G273" i="36"/>
  <c r="F273" i="36"/>
  <c r="E273" i="36"/>
  <c r="D273" i="36"/>
  <c r="C273" i="36"/>
  <c r="B273" i="36"/>
  <c r="H272" i="36"/>
  <c r="G272" i="36"/>
  <c r="F272" i="36"/>
  <c r="E272" i="36"/>
  <c r="D272" i="36"/>
  <c r="C272" i="36"/>
  <c r="B272" i="36"/>
  <c r="H271" i="36"/>
  <c r="G271" i="36"/>
  <c r="F271" i="36"/>
  <c r="E271" i="36"/>
  <c r="D271" i="36"/>
  <c r="C271" i="36"/>
  <c r="B271" i="36"/>
  <c r="H270" i="36"/>
  <c r="G270" i="36"/>
  <c r="F270" i="36"/>
  <c r="E270" i="36"/>
  <c r="D270" i="36"/>
  <c r="C270" i="36"/>
  <c r="B270" i="36"/>
  <c r="H269" i="36"/>
  <c r="G269" i="36"/>
  <c r="F269" i="36"/>
  <c r="E269" i="36"/>
  <c r="D269" i="36"/>
  <c r="C269" i="36"/>
  <c r="B269" i="36"/>
  <c r="H268" i="36"/>
  <c r="G268" i="36"/>
  <c r="F268" i="36"/>
  <c r="E268" i="36"/>
  <c r="D268" i="36"/>
  <c r="C268" i="36"/>
  <c r="B268" i="36"/>
  <c r="H267" i="36"/>
  <c r="G267" i="36"/>
  <c r="F267" i="36"/>
  <c r="E267" i="36"/>
  <c r="D267" i="36"/>
  <c r="C267" i="36"/>
  <c r="B267" i="36"/>
  <c r="H266" i="36"/>
  <c r="G266" i="36"/>
  <c r="F266" i="36"/>
  <c r="E266" i="36"/>
  <c r="D266" i="36"/>
  <c r="C266" i="36"/>
  <c r="B266" i="36"/>
  <c r="H265" i="36"/>
  <c r="G265" i="36"/>
  <c r="F265" i="36"/>
  <c r="E265" i="36"/>
  <c r="D265" i="36"/>
  <c r="C265" i="36"/>
  <c r="B265" i="36"/>
  <c r="H264" i="36"/>
  <c r="G264" i="36"/>
  <c r="F264" i="36"/>
  <c r="E264" i="36"/>
  <c r="D264" i="36"/>
  <c r="C264" i="36"/>
  <c r="B264" i="36"/>
  <c r="H263" i="36"/>
  <c r="G263" i="36"/>
  <c r="F263" i="36"/>
  <c r="E263" i="36"/>
  <c r="D263" i="36"/>
  <c r="C263" i="36"/>
  <c r="B263" i="36"/>
  <c r="H262" i="36"/>
  <c r="G262" i="36"/>
  <c r="F262" i="36"/>
  <c r="E262" i="36"/>
  <c r="D262" i="36"/>
  <c r="C262" i="36"/>
  <c r="B262" i="36"/>
  <c r="H261" i="36"/>
  <c r="G261" i="36"/>
  <c r="F261" i="36"/>
  <c r="E261" i="36"/>
  <c r="D261" i="36"/>
  <c r="C261" i="36"/>
  <c r="B261" i="36"/>
  <c r="H260" i="36"/>
  <c r="G260" i="36"/>
  <c r="F260" i="36"/>
  <c r="E260" i="36"/>
  <c r="D260" i="36"/>
  <c r="C260" i="36"/>
  <c r="B260" i="36"/>
  <c r="H259" i="36"/>
  <c r="G259" i="36"/>
  <c r="F259" i="36"/>
  <c r="E259" i="36"/>
  <c r="D259" i="36"/>
  <c r="C259" i="36"/>
  <c r="B259" i="36"/>
  <c r="H258" i="36"/>
  <c r="G258" i="36"/>
  <c r="F258" i="36"/>
  <c r="E258" i="36"/>
  <c r="D258" i="36"/>
  <c r="C258" i="36"/>
  <c r="B258" i="36"/>
  <c r="H257" i="36"/>
  <c r="G257" i="36"/>
  <c r="F257" i="36"/>
  <c r="E257" i="36"/>
  <c r="D257" i="36"/>
  <c r="C257" i="36"/>
  <c r="B257" i="36"/>
  <c r="H256" i="36"/>
  <c r="G256" i="36"/>
  <c r="F256" i="36"/>
  <c r="E256" i="36"/>
  <c r="D256" i="36"/>
  <c r="C256" i="36"/>
  <c r="B256" i="36"/>
  <c r="H255" i="36"/>
  <c r="G255" i="36"/>
  <c r="F255" i="36"/>
  <c r="E255" i="36"/>
  <c r="D255" i="36"/>
  <c r="C255" i="36"/>
  <c r="B255" i="36"/>
  <c r="H254" i="36"/>
  <c r="G254" i="36"/>
  <c r="F254" i="36"/>
  <c r="E254" i="36"/>
  <c r="D254" i="36"/>
  <c r="C254" i="36"/>
  <c r="B254" i="36"/>
  <c r="H253" i="36"/>
  <c r="G253" i="36"/>
  <c r="F253" i="36"/>
  <c r="E253" i="36"/>
  <c r="D253" i="36"/>
  <c r="C253" i="36"/>
  <c r="B253" i="36"/>
  <c r="H252" i="36"/>
  <c r="G252" i="36"/>
  <c r="F252" i="36"/>
  <c r="E252" i="36"/>
  <c r="D252" i="36"/>
  <c r="C252" i="36"/>
  <c r="B252" i="36"/>
  <c r="H251" i="36"/>
  <c r="G251" i="36"/>
  <c r="F251" i="36"/>
  <c r="E251" i="36"/>
  <c r="D251" i="36"/>
  <c r="C251" i="36"/>
  <c r="B251" i="36"/>
  <c r="H250" i="36"/>
  <c r="G250" i="36"/>
  <c r="F250" i="36"/>
  <c r="E250" i="36"/>
  <c r="D250" i="36"/>
  <c r="C250" i="36"/>
  <c r="B250" i="36"/>
  <c r="H249" i="36"/>
  <c r="G249" i="36"/>
  <c r="F249" i="36"/>
  <c r="E249" i="36"/>
  <c r="D249" i="36"/>
  <c r="C249" i="36"/>
  <c r="B249" i="36"/>
  <c r="H248" i="36"/>
  <c r="G248" i="36"/>
  <c r="F248" i="36"/>
  <c r="E248" i="36"/>
  <c r="D248" i="36"/>
  <c r="C248" i="36"/>
  <c r="B248" i="36"/>
  <c r="H247" i="36"/>
  <c r="G247" i="36"/>
  <c r="F247" i="36"/>
  <c r="E247" i="36"/>
  <c r="D247" i="36"/>
  <c r="C247" i="36"/>
  <c r="B247" i="36"/>
  <c r="H246" i="36"/>
  <c r="G246" i="36"/>
  <c r="F246" i="36"/>
  <c r="E246" i="36"/>
  <c r="D246" i="36"/>
  <c r="C246" i="36"/>
  <c r="B246" i="36"/>
  <c r="H245" i="36"/>
  <c r="G245" i="36"/>
  <c r="F245" i="36"/>
  <c r="E245" i="36"/>
  <c r="D245" i="36"/>
  <c r="C245" i="36"/>
  <c r="B245" i="36"/>
  <c r="H244" i="36"/>
  <c r="G244" i="36"/>
  <c r="F244" i="36"/>
  <c r="E244" i="36"/>
  <c r="D244" i="36"/>
  <c r="C244" i="36"/>
  <c r="B244" i="36"/>
  <c r="H243" i="36"/>
  <c r="G243" i="36"/>
  <c r="F243" i="36"/>
  <c r="E243" i="36"/>
  <c r="D243" i="36"/>
  <c r="C243" i="36"/>
  <c r="B243" i="36"/>
  <c r="H242" i="36"/>
  <c r="G242" i="36"/>
  <c r="F242" i="36"/>
  <c r="E242" i="36"/>
  <c r="D242" i="36"/>
  <c r="C242" i="36"/>
  <c r="B242" i="36"/>
  <c r="H241" i="36"/>
  <c r="G241" i="36"/>
  <c r="F241" i="36"/>
  <c r="E241" i="36"/>
  <c r="D241" i="36"/>
  <c r="C241" i="36"/>
  <c r="B241" i="36"/>
  <c r="H240" i="36"/>
  <c r="G240" i="36"/>
  <c r="F240" i="36"/>
  <c r="E240" i="36"/>
  <c r="D240" i="36"/>
  <c r="C240" i="36"/>
  <c r="B240" i="36"/>
  <c r="H239" i="36"/>
  <c r="G239" i="36"/>
  <c r="F239" i="36"/>
  <c r="E239" i="36"/>
  <c r="D239" i="36"/>
  <c r="C239" i="36"/>
  <c r="B239" i="36"/>
  <c r="H238" i="36"/>
  <c r="G238" i="36"/>
  <c r="F238" i="36"/>
  <c r="E238" i="36"/>
  <c r="D238" i="36"/>
  <c r="C238" i="36"/>
  <c r="B238" i="36"/>
  <c r="H237" i="36"/>
  <c r="G237" i="36"/>
  <c r="F237" i="36"/>
  <c r="E237" i="36"/>
  <c r="D237" i="36"/>
  <c r="C237" i="36"/>
  <c r="B237" i="36"/>
  <c r="H236" i="36"/>
  <c r="G236" i="36"/>
  <c r="F236" i="36"/>
  <c r="E236" i="36"/>
  <c r="D236" i="36"/>
  <c r="C236" i="36"/>
  <c r="B236" i="36"/>
  <c r="H235" i="36"/>
  <c r="G235" i="36"/>
  <c r="F235" i="36"/>
  <c r="E235" i="36"/>
  <c r="D235" i="36"/>
  <c r="C235" i="36"/>
  <c r="B235" i="36"/>
  <c r="H234" i="36"/>
  <c r="G234" i="36"/>
  <c r="F234" i="36"/>
  <c r="E234" i="36"/>
  <c r="D234" i="36"/>
  <c r="C234" i="36"/>
  <c r="B234" i="36"/>
  <c r="H233" i="36"/>
  <c r="G233" i="36"/>
  <c r="F233" i="36"/>
  <c r="E233" i="36"/>
  <c r="D233" i="36"/>
  <c r="C233" i="36"/>
  <c r="B233" i="36"/>
  <c r="H232" i="36"/>
  <c r="G232" i="36"/>
  <c r="F232" i="36"/>
  <c r="E232" i="36"/>
  <c r="D232" i="36"/>
  <c r="C232" i="36"/>
  <c r="B232" i="36"/>
  <c r="H231" i="36"/>
  <c r="G231" i="36"/>
  <c r="F231" i="36"/>
  <c r="E231" i="36"/>
  <c r="D231" i="36"/>
  <c r="C231" i="36"/>
  <c r="B231" i="36"/>
  <c r="H230" i="36"/>
  <c r="G230" i="36"/>
  <c r="F230" i="36"/>
  <c r="E230" i="36"/>
  <c r="D230" i="36"/>
  <c r="C230" i="36"/>
  <c r="B230" i="36"/>
  <c r="H229" i="36"/>
  <c r="G229" i="36"/>
  <c r="F229" i="36"/>
  <c r="E229" i="36"/>
  <c r="D229" i="36"/>
  <c r="C229" i="36"/>
  <c r="B229" i="36"/>
  <c r="H228" i="36"/>
  <c r="G228" i="36"/>
  <c r="F228" i="36"/>
  <c r="E228" i="36"/>
  <c r="D228" i="36"/>
  <c r="C228" i="36"/>
  <c r="B228" i="36"/>
  <c r="H227" i="36"/>
  <c r="G227" i="36"/>
  <c r="F227" i="36"/>
  <c r="E227" i="36"/>
  <c r="D227" i="36"/>
  <c r="C227" i="36"/>
  <c r="B227" i="36"/>
  <c r="H226" i="36"/>
  <c r="G226" i="36"/>
  <c r="F226" i="36"/>
  <c r="E226" i="36"/>
  <c r="D226" i="36"/>
  <c r="C226" i="36"/>
  <c r="B226" i="36"/>
  <c r="H225" i="36"/>
  <c r="G225" i="36"/>
  <c r="F225" i="36"/>
  <c r="E225" i="36"/>
  <c r="D225" i="36"/>
  <c r="C225" i="36"/>
  <c r="B225" i="36"/>
  <c r="H224" i="36"/>
  <c r="G224" i="36"/>
  <c r="F224" i="36"/>
  <c r="E224" i="36"/>
  <c r="D224" i="36"/>
  <c r="C224" i="36"/>
  <c r="B224" i="36"/>
  <c r="H223" i="36"/>
  <c r="G223" i="36"/>
  <c r="F223" i="36"/>
  <c r="E223" i="36"/>
  <c r="D223" i="36"/>
  <c r="C223" i="36"/>
  <c r="B223" i="36"/>
  <c r="H222" i="36"/>
  <c r="G222" i="36"/>
  <c r="F222" i="36"/>
  <c r="E222" i="36"/>
  <c r="D222" i="36"/>
  <c r="C222" i="36"/>
  <c r="B222" i="36"/>
  <c r="H221" i="36"/>
  <c r="G221" i="36"/>
  <c r="F221" i="36"/>
  <c r="E221" i="36"/>
  <c r="D221" i="36"/>
  <c r="C221" i="36"/>
  <c r="B221" i="36"/>
  <c r="H220" i="36"/>
  <c r="G220" i="36"/>
  <c r="F220" i="36"/>
  <c r="E220" i="36"/>
  <c r="D220" i="36"/>
  <c r="C220" i="36"/>
  <c r="B220" i="36"/>
  <c r="H219" i="36"/>
  <c r="G219" i="36"/>
  <c r="F219" i="36"/>
  <c r="E219" i="36"/>
  <c r="D219" i="36"/>
  <c r="C219" i="36"/>
  <c r="B219" i="36"/>
  <c r="H218" i="36"/>
  <c r="G218" i="36"/>
  <c r="F218" i="36"/>
  <c r="E218" i="36"/>
  <c r="D218" i="36"/>
  <c r="C218" i="36"/>
  <c r="B218" i="36"/>
  <c r="H217" i="36"/>
  <c r="G217" i="36"/>
  <c r="F217" i="36"/>
  <c r="E217" i="36"/>
  <c r="D217" i="36"/>
  <c r="C217" i="36"/>
  <c r="B217" i="36"/>
  <c r="H216" i="36"/>
  <c r="G216" i="36"/>
  <c r="F216" i="36"/>
  <c r="E216" i="36"/>
  <c r="D216" i="36"/>
  <c r="C216" i="36"/>
  <c r="B216" i="36"/>
  <c r="H215" i="36"/>
  <c r="G215" i="36"/>
  <c r="F215" i="36"/>
  <c r="E215" i="36"/>
  <c r="D215" i="36"/>
  <c r="C215" i="36"/>
  <c r="B215" i="36"/>
  <c r="H214" i="36"/>
  <c r="G214" i="36"/>
  <c r="F214" i="36"/>
  <c r="E214" i="36"/>
  <c r="D214" i="36"/>
  <c r="C214" i="36"/>
  <c r="B214" i="36"/>
  <c r="H213" i="36"/>
  <c r="G213" i="36"/>
  <c r="F213" i="36"/>
  <c r="E213" i="36"/>
  <c r="D213" i="36"/>
  <c r="C213" i="36"/>
  <c r="B213" i="36"/>
  <c r="H212" i="36"/>
  <c r="G212" i="36"/>
  <c r="F212" i="36"/>
  <c r="E212" i="36"/>
  <c r="D212" i="36"/>
  <c r="C212" i="36"/>
  <c r="B212" i="36"/>
  <c r="H211" i="36"/>
  <c r="G211" i="36"/>
  <c r="F211" i="36"/>
  <c r="E211" i="36"/>
  <c r="D211" i="36"/>
  <c r="C211" i="36"/>
  <c r="B211" i="36"/>
  <c r="H210" i="36"/>
  <c r="G210" i="36"/>
  <c r="F210" i="36"/>
  <c r="E210" i="36"/>
  <c r="D210" i="36"/>
  <c r="C210" i="36"/>
  <c r="B210" i="36"/>
  <c r="H209" i="36"/>
  <c r="G209" i="36"/>
  <c r="F209" i="36"/>
  <c r="E209" i="36"/>
  <c r="D209" i="36"/>
  <c r="C209" i="36"/>
  <c r="B209" i="36"/>
  <c r="H208" i="36"/>
  <c r="G208" i="36"/>
  <c r="F208" i="36"/>
  <c r="E208" i="36"/>
  <c r="D208" i="36"/>
  <c r="C208" i="36"/>
  <c r="B208" i="36"/>
  <c r="H207" i="36"/>
  <c r="G207" i="36"/>
  <c r="F207" i="36"/>
  <c r="E207" i="36"/>
  <c r="D207" i="36"/>
  <c r="C207" i="36"/>
  <c r="B207" i="36"/>
  <c r="H206" i="36"/>
  <c r="G206" i="36"/>
  <c r="F206" i="36"/>
  <c r="E206" i="36"/>
  <c r="D206" i="36"/>
  <c r="C206" i="36"/>
  <c r="B206" i="36"/>
  <c r="H205" i="36"/>
  <c r="G205" i="36"/>
  <c r="F205" i="36"/>
  <c r="E205" i="36"/>
  <c r="D205" i="36"/>
  <c r="C205" i="36"/>
  <c r="B205" i="36"/>
  <c r="H204" i="36"/>
  <c r="G204" i="36"/>
  <c r="F204" i="36"/>
  <c r="E204" i="36"/>
  <c r="D204" i="36"/>
  <c r="C204" i="36"/>
  <c r="B204" i="36"/>
  <c r="H203" i="36"/>
  <c r="G203" i="36"/>
  <c r="F203" i="36"/>
  <c r="E203" i="36"/>
  <c r="D203" i="36"/>
  <c r="C203" i="36"/>
  <c r="B203" i="36"/>
  <c r="H202" i="36"/>
  <c r="G202" i="36"/>
  <c r="F202" i="36"/>
  <c r="E202" i="36"/>
  <c r="D202" i="36"/>
  <c r="C202" i="36"/>
  <c r="B202" i="36"/>
  <c r="H201" i="36"/>
  <c r="G201" i="36"/>
  <c r="F201" i="36"/>
  <c r="E201" i="36"/>
  <c r="D201" i="36"/>
  <c r="C201" i="36"/>
  <c r="B201" i="36"/>
  <c r="H200" i="36"/>
  <c r="G200" i="36"/>
  <c r="F200" i="36"/>
  <c r="E200" i="36"/>
  <c r="D200" i="36"/>
  <c r="C200" i="36"/>
  <c r="B200" i="36"/>
  <c r="H199" i="36"/>
  <c r="G199" i="36"/>
  <c r="F199" i="36"/>
  <c r="E199" i="36"/>
  <c r="D199" i="36"/>
  <c r="C199" i="36"/>
  <c r="B199" i="36"/>
  <c r="H198" i="36"/>
  <c r="G198" i="36"/>
  <c r="F198" i="36"/>
  <c r="E198" i="36"/>
  <c r="D198" i="36"/>
  <c r="C198" i="36"/>
  <c r="B198" i="36"/>
  <c r="H197" i="36"/>
  <c r="G197" i="36"/>
  <c r="F197" i="36"/>
  <c r="E197" i="36"/>
  <c r="D197" i="36"/>
  <c r="C197" i="36"/>
  <c r="B197" i="36"/>
  <c r="H196" i="36"/>
  <c r="G196" i="36"/>
  <c r="F196" i="36"/>
  <c r="E196" i="36"/>
  <c r="D196" i="36"/>
  <c r="C196" i="36"/>
  <c r="B196" i="36"/>
  <c r="H195" i="36"/>
  <c r="G195" i="36"/>
  <c r="F195" i="36"/>
  <c r="E195" i="36"/>
  <c r="D195" i="36"/>
  <c r="C195" i="36"/>
  <c r="B195" i="36"/>
  <c r="H194" i="36"/>
  <c r="G194" i="36"/>
  <c r="F194" i="36"/>
  <c r="E194" i="36"/>
  <c r="D194" i="36"/>
  <c r="C194" i="36"/>
  <c r="B194" i="36"/>
  <c r="H193" i="36"/>
  <c r="G193" i="36"/>
  <c r="F193" i="36"/>
  <c r="E193" i="36"/>
  <c r="D193" i="36"/>
  <c r="C193" i="36"/>
  <c r="B193" i="36"/>
  <c r="H192" i="36"/>
  <c r="G192" i="36"/>
  <c r="F192" i="36"/>
  <c r="E192" i="36"/>
  <c r="D192" i="36"/>
  <c r="C192" i="36"/>
  <c r="B192" i="36"/>
  <c r="H191" i="36"/>
  <c r="G191" i="36"/>
  <c r="F191" i="36"/>
  <c r="E191" i="36"/>
  <c r="D191" i="36"/>
  <c r="C191" i="36"/>
  <c r="B191" i="36"/>
  <c r="H190" i="36"/>
  <c r="G190" i="36"/>
  <c r="F190" i="36"/>
  <c r="E190" i="36"/>
  <c r="D190" i="36"/>
  <c r="C190" i="36"/>
  <c r="B190" i="36"/>
  <c r="H189" i="36"/>
  <c r="G189" i="36"/>
  <c r="F189" i="36"/>
  <c r="E189" i="36"/>
  <c r="D189" i="36"/>
  <c r="C189" i="36"/>
  <c r="B189" i="36"/>
  <c r="H188" i="36"/>
  <c r="G188" i="36"/>
  <c r="F188" i="36"/>
  <c r="E188" i="36"/>
  <c r="D188" i="36"/>
  <c r="C188" i="36"/>
  <c r="B188" i="36"/>
  <c r="H187" i="36"/>
  <c r="G187" i="36"/>
  <c r="F187" i="36"/>
  <c r="E187" i="36"/>
  <c r="D187" i="36"/>
  <c r="C187" i="36"/>
  <c r="B187" i="36"/>
  <c r="H186" i="36"/>
  <c r="G186" i="36"/>
  <c r="F186" i="36"/>
  <c r="E186" i="36"/>
  <c r="D186" i="36"/>
  <c r="C186" i="36"/>
  <c r="B186" i="36"/>
  <c r="H185" i="36"/>
  <c r="G185" i="36"/>
  <c r="F185" i="36"/>
  <c r="E185" i="36"/>
  <c r="D185" i="36"/>
  <c r="C185" i="36"/>
  <c r="B185" i="36"/>
  <c r="H184" i="36"/>
  <c r="G184" i="36"/>
  <c r="F184" i="36"/>
  <c r="E184" i="36"/>
  <c r="D184" i="36"/>
  <c r="C184" i="36"/>
  <c r="B184" i="36"/>
  <c r="H183" i="36"/>
  <c r="G183" i="36"/>
  <c r="F183" i="36"/>
  <c r="E183" i="36"/>
  <c r="D183" i="36"/>
  <c r="C183" i="36"/>
  <c r="B183" i="36"/>
  <c r="H182" i="36"/>
  <c r="G182" i="36"/>
  <c r="F182" i="36"/>
  <c r="E182" i="36"/>
  <c r="D182" i="36"/>
  <c r="C182" i="36"/>
  <c r="B182" i="36"/>
  <c r="H181" i="36"/>
  <c r="G181" i="36"/>
  <c r="F181" i="36"/>
  <c r="E181" i="36"/>
  <c r="D181" i="36"/>
  <c r="C181" i="36"/>
  <c r="B181" i="36"/>
  <c r="H180" i="36"/>
  <c r="G180" i="36"/>
  <c r="F180" i="36"/>
  <c r="E180" i="36"/>
  <c r="D180" i="36"/>
  <c r="C180" i="36"/>
  <c r="B180" i="36"/>
  <c r="H179" i="36"/>
  <c r="G179" i="36"/>
  <c r="F179" i="36"/>
  <c r="E179" i="36"/>
  <c r="D179" i="36"/>
  <c r="C179" i="36"/>
  <c r="B179" i="36"/>
  <c r="H178" i="36"/>
  <c r="G178" i="36"/>
  <c r="F178" i="36"/>
  <c r="E178" i="36"/>
  <c r="D178" i="36"/>
  <c r="C178" i="36"/>
  <c r="B178" i="36"/>
  <c r="H177" i="36"/>
  <c r="G177" i="36"/>
  <c r="F177" i="36"/>
  <c r="E177" i="36"/>
  <c r="D177" i="36"/>
  <c r="C177" i="36"/>
  <c r="B177" i="36"/>
  <c r="H176" i="36"/>
  <c r="G176" i="36"/>
  <c r="F176" i="36"/>
  <c r="E176" i="36"/>
  <c r="D176" i="36"/>
  <c r="C176" i="36"/>
  <c r="B176" i="36"/>
  <c r="H175" i="36"/>
  <c r="G175" i="36"/>
  <c r="F175" i="36"/>
  <c r="E175" i="36"/>
  <c r="D175" i="36"/>
  <c r="C175" i="36"/>
  <c r="B175" i="36"/>
  <c r="H174" i="36"/>
  <c r="G174" i="36"/>
  <c r="F174" i="36"/>
  <c r="E174" i="36"/>
  <c r="D174" i="36"/>
  <c r="C174" i="36"/>
  <c r="B174" i="36"/>
  <c r="H173" i="36"/>
  <c r="G173" i="36"/>
  <c r="F173" i="36"/>
  <c r="E173" i="36"/>
  <c r="D173" i="36"/>
  <c r="C173" i="36"/>
  <c r="B173" i="36"/>
  <c r="H172" i="36"/>
  <c r="G172" i="36"/>
  <c r="F172" i="36"/>
  <c r="E172" i="36"/>
  <c r="D172" i="36"/>
  <c r="C172" i="36"/>
  <c r="B172" i="36"/>
  <c r="H171" i="36"/>
  <c r="G171" i="36"/>
  <c r="F171" i="36"/>
  <c r="E171" i="36"/>
  <c r="D171" i="36"/>
  <c r="C171" i="36"/>
  <c r="B171" i="36"/>
  <c r="H170" i="36"/>
  <c r="G170" i="36"/>
  <c r="F170" i="36"/>
  <c r="E170" i="36"/>
  <c r="D170" i="36"/>
  <c r="C170" i="36"/>
  <c r="B170" i="36"/>
  <c r="H169" i="36"/>
  <c r="G169" i="36"/>
  <c r="F169" i="36"/>
  <c r="E169" i="36"/>
  <c r="D169" i="36"/>
  <c r="C169" i="36"/>
  <c r="B169" i="36"/>
  <c r="H168" i="36"/>
  <c r="G168" i="36"/>
  <c r="F168" i="36"/>
  <c r="E168" i="36"/>
  <c r="D168" i="36"/>
  <c r="C168" i="36"/>
  <c r="B168" i="36"/>
  <c r="H167" i="36"/>
  <c r="G167" i="36"/>
  <c r="F167" i="36"/>
  <c r="E167" i="36"/>
  <c r="D167" i="36"/>
  <c r="C167" i="36"/>
  <c r="B167" i="36"/>
  <c r="H166" i="36"/>
  <c r="G166" i="36"/>
  <c r="F166" i="36"/>
  <c r="E166" i="36"/>
  <c r="D166" i="36"/>
  <c r="C166" i="36"/>
  <c r="B166" i="36"/>
  <c r="H165" i="36"/>
  <c r="G165" i="36"/>
  <c r="F165" i="36"/>
  <c r="E165" i="36"/>
  <c r="D165" i="36"/>
  <c r="C165" i="36"/>
  <c r="B165" i="36"/>
  <c r="H164" i="36"/>
  <c r="G164" i="36"/>
  <c r="F164" i="36"/>
  <c r="E164" i="36"/>
  <c r="D164" i="36"/>
  <c r="C164" i="36"/>
  <c r="B164" i="36"/>
  <c r="H163" i="36"/>
  <c r="G163" i="36"/>
  <c r="F163" i="36"/>
  <c r="E163" i="36"/>
  <c r="D163" i="36"/>
  <c r="C163" i="36"/>
  <c r="B163" i="36"/>
  <c r="H162" i="36"/>
  <c r="G162" i="36"/>
  <c r="F162" i="36"/>
  <c r="E162" i="36"/>
  <c r="D162" i="36"/>
  <c r="C162" i="36"/>
  <c r="B162" i="36"/>
  <c r="H161" i="36"/>
  <c r="G161" i="36"/>
  <c r="F161" i="36"/>
  <c r="E161" i="36"/>
  <c r="D161" i="36"/>
  <c r="C161" i="36"/>
  <c r="B161" i="36"/>
  <c r="H160" i="36"/>
  <c r="G160" i="36"/>
  <c r="F160" i="36"/>
  <c r="E160" i="36"/>
  <c r="D160" i="36"/>
  <c r="C160" i="36"/>
  <c r="B160" i="36"/>
  <c r="H159" i="36"/>
  <c r="G159" i="36"/>
  <c r="F159" i="36"/>
  <c r="E159" i="36"/>
  <c r="D159" i="36"/>
  <c r="C159" i="36"/>
  <c r="B159" i="36"/>
  <c r="H158" i="36"/>
  <c r="G158" i="36"/>
  <c r="F158" i="36"/>
  <c r="E158" i="36"/>
  <c r="D158" i="36"/>
  <c r="C158" i="36"/>
  <c r="B158" i="36"/>
  <c r="H157" i="36"/>
  <c r="G157" i="36"/>
  <c r="F157" i="36"/>
  <c r="E157" i="36"/>
  <c r="D157" i="36"/>
  <c r="C157" i="36"/>
  <c r="B157" i="36"/>
  <c r="H156" i="36"/>
  <c r="G156" i="36"/>
  <c r="F156" i="36"/>
  <c r="E156" i="36"/>
  <c r="D156" i="36"/>
  <c r="C156" i="36"/>
  <c r="B156" i="36"/>
  <c r="H155" i="36"/>
  <c r="G155" i="36"/>
  <c r="F155" i="36"/>
  <c r="E155" i="36"/>
  <c r="D155" i="36"/>
  <c r="C155" i="36"/>
  <c r="B155" i="36"/>
  <c r="H154" i="36"/>
  <c r="G154" i="36"/>
  <c r="F154" i="36"/>
  <c r="E154" i="36"/>
  <c r="D154" i="36"/>
  <c r="C154" i="36"/>
  <c r="B154" i="36"/>
  <c r="H153" i="36"/>
  <c r="G153" i="36"/>
  <c r="F153" i="36"/>
  <c r="E153" i="36"/>
  <c r="D153" i="36"/>
  <c r="C153" i="36"/>
  <c r="B153" i="36"/>
  <c r="H152" i="36"/>
  <c r="G152" i="36"/>
  <c r="F152" i="36"/>
  <c r="E152" i="36"/>
  <c r="D152" i="36"/>
  <c r="C152" i="36"/>
  <c r="B152" i="36"/>
  <c r="H151" i="36"/>
  <c r="G151" i="36"/>
  <c r="F151" i="36"/>
  <c r="E151" i="36"/>
  <c r="D151" i="36"/>
  <c r="C151" i="36"/>
  <c r="B151" i="36"/>
  <c r="H150" i="36"/>
  <c r="G150" i="36"/>
  <c r="F150" i="36"/>
  <c r="E150" i="36"/>
  <c r="D150" i="36"/>
  <c r="C150" i="36"/>
  <c r="B150" i="36"/>
  <c r="H149" i="36"/>
  <c r="G149" i="36"/>
  <c r="F149" i="36"/>
  <c r="E149" i="36"/>
  <c r="D149" i="36"/>
  <c r="C149" i="36"/>
  <c r="B149" i="36"/>
  <c r="H148" i="36"/>
  <c r="G148" i="36"/>
  <c r="F148" i="36"/>
  <c r="E148" i="36"/>
  <c r="D148" i="36"/>
  <c r="C148" i="36"/>
  <c r="B148" i="36"/>
  <c r="H147" i="36"/>
  <c r="G147" i="36"/>
  <c r="F147" i="36"/>
  <c r="E147" i="36"/>
  <c r="D147" i="36"/>
  <c r="C147" i="36"/>
  <c r="B147" i="36"/>
  <c r="H146" i="36"/>
  <c r="G146" i="36"/>
  <c r="F146" i="36"/>
  <c r="E146" i="36"/>
  <c r="D146" i="36"/>
  <c r="C146" i="36"/>
  <c r="B146" i="36"/>
  <c r="H145" i="36"/>
  <c r="G145" i="36"/>
  <c r="F145" i="36"/>
  <c r="E145" i="36"/>
  <c r="D145" i="36"/>
  <c r="C145" i="36"/>
  <c r="B145" i="36"/>
  <c r="H144" i="36"/>
  <c r="G144" i="36"/>
  <c r="F144" i="36"/>
  <c r="E144" i="36"/>
  <c r="D144" i="36"/>
  <c r="C144" i="36"/>
  <c r="B144" i="36"/>
  <c r="H143" i="36"/>
  <c r="G143" i="36"/>
  <c r="F143" i="36"/>
  <c r="E143" i="36"/>
  <c r="D143" i="36"/>
  <c r="C143" i="36"/>
  <c r="B143" i="36"/>
  <c r="H142" i="36"/>
  <c r="G142" i="36"/>
  <c r="F142" i="36"/>
  <c r="E142" i="36"/>
  <c r="D142" i="36"/>
  <c r="C142" i="36"/>
  <c r="B142" i="36"/>
  <c r="H141" i="36"/>
  <c r="G141" i="36"/>
  <c r="F141" i="36"/>
  <c r="E141" i="36"/>
  <c r="D141" i="36"/>
  <c r="C141" i="36"/>
  <c r="B141" i="36"/>
  <c r="H140" i="36"/>
  <c r="G140" i="36"/>
  <c r="F140" i="36"/>
  <c r="E140" i="36"/>
  <c r="D140" i="36"/>
  <c r="C140" i="36"/>
  <c r="B140" i="36"/>
  <c r="H139" i="36"/>
  <c r="G139" i="36"/>
  <c r="F139" i="36"/>
  <c r="E139" i="36"/>
  <c r="D139" i="36"/>
  <c r="C139" i="36"/>
  <c r="B139" i="36"/>
  <c r="H138" i="36"/>
  <c r="G138" i="36"/>
  <c r="F138" i="36"/>
  <c r="E138" i="36"/>
  <c r="D138" i="36"/>
  <c r="C138" i="36"/>
  <c r="B138" i="36"/>
  <c r="H137" i="36"/>
  <c r="G137" i="36"/>
  <c r="F137" i="36"/>
  <c r="E137" i="36"/>
  <c r="D137" i="36"/>
  <c r="C137" i="36"/>
  <c r="B137" i="36"/>
  <c r="H136" i="36"/>
  <c r="G136" i="36"/>
  <c r="F136" i="36"/>
  <c r="E136" i="36"/>
  <c r="D136" i="36"/>
  <c r="C136" i="36"/>
  <c r="B136" i="36"/>
  <c r="H135" i="36"/>
  <c r="G135" i="36"/>
  <c r="F135" i="36"/>
  <c r="E135" i="36"/>
  <c r="D135" i="36"/>
  <c r="C135" i="36"/>
  <c r="B135" i="36"/>
  <c r="H134" i="36"/>
  <c r="G134" i="36"/>
  <c r="F134" i="36"/>
  <c r="E134" i="36"/>
  <c r="D134" i="36"/>
  <c r="C134" i="36"/>
  <c r="B134" i="36"/>
  <c r="H133" i="36"/>
  <c r="G133" i="36"/>
  <c r="F133" i="36"/>
  <c r="E133" i="36"/>
  <c r="D133" i="36"/>
  <c r="C133" i="36"/>
  <c r="B133" i="36"/>
  <c r="H132" i="36"/>
  <c r="G132" i="36"/>
  <c r="F132" i="36"/>
  <c r="E132" i="36"/>
  <c r="D132" i="36"/>
  <c r="C132" i="36"/>
  <c r="B132" i="36"/>
  <c r="H131" i="36"/>
  <c r="G131" i="36"/>
  <c r="F131" i="36"/>
  <c r="E131" i="36"/>
  <c r="D131" i="36"/>
  <c r="C131" i="36"/>
  <c r="B131" i="36"/>
  <c r="H130" i="36"/>
  <c r="G130" i="36"/>
  <c r="F130" i="36"/>
  <c r="E130" i="36"/>
  <c r="D130" i="36"/>
  <c r="C130" i="36"/>
  <c r="B130" i="36"/>
  <c r="H129" i="36"/>
  <c r="G129" i="36"/>
  <c r="F129" i="36"/>
  <c r="E129" i="36"/>
  <c r="D129" i="36"/>
  <c r="C129" i="36"/>
  <c r="B129" i="36"/>
  <c r="H128" i="36"/>
  <c r="G128" i="36"/>
  <c r="F128" i="36"/>
  <c r="E128" i="36"/>
  <c r="D128" i="36"/>
  <c r="C128" i="36"/>
  <c r="B128" i="36"/>
  <c r="H127" i="36"/>
  <c r="G127" i="36"/>
  <c r="F127" i="36"/>
  <c r="E127" i="36"/>
  <c r="D127" i="36"/>
  <c r="C127" i="36"/>
  <c r="B127" i="36"/>
  <c r="H126" i="36"/>
  <c r="G126" i="36"/>
  <c r="F126" i="36"/>
  <c r="E126" i="36"/>
  <c r="D126" i="36"/>
  <c r="C126" i="36"/>
  <c r="B126" i="36"/>
  <c r="H125" i="36"/>
  <c r="G125" i="36"/>
  <c r="F125" i="36"/>
  <c r="E125" i="36"/>
  <c r="D125" i="36"/>
  <c r="C125" i="36"/>
  <c r="B125" i="36"/>
  <c r="H124" i="36"/>
  <c r="G124" i="36"/>
  <c r="F124" i="36"/>
  <c r="E124" i="36"/>
  <c r="D124" i="36"/>
  <c r="C124" i="36"/>
  <c r="B124" i="36"/>
  <c r="H123" i="36"/>
  <c r="G123" i="36"/>
  <c r="F123" i="36"/>
  <c r="E123" i="36"/>
  <c r="D123" i="36"/>
  <c r="C123" i="36"/>
  <c r="B123" i="36"/>
  <c r="H122" i="36"/>
  <c r="G122" i="36"/>
  <c r="F122" i="36"/>
  <c r="E122" i="36"/>
  <c r="D122" i="36"/>
  <c r="C122" i="36"/>
  <c r="B122" i="36"/>
  <c r="H121" i="36"/>
  <c r="G121" i="36"/>
  <c r="F121" i="36"/>
  <c r="E121" i="36"/>
  <c r="D121" i="36"/>
  <c r="C121" i="36"/>
  <c r="B121" i="36"/>
  <c r="H120" i="36"/>
  <c r="G120" i="36"/>
  <c r="F120" i="36"/>
  <c r="E120" i="36"/>
  <c r="D120" i="36"/>
  <c r="C120" i="36"/>
  <c r="B120" i="36"/>
  <c r="H119" i="36"/>
  <c r="G119" i="36"/>
  <c r="F119" i="36"/>
  <c r="E119" i="36"/>
  <c r="D119" i="36"/>
  <c r="C119" i="36"/>
  <c r="B119" i="36"/>
  <c r="H118" i="36"/>
  <c r="G118" i="36"/>
  <c r="F118" i="36"/>
  <c r="E118" i="36"/>
  <c r="D118" i="36"/>
  <c r="C118" i="36"/>
  <c r="B118" i="36"/>
  <c r="H117" i="36"/>
  <c r="G117" i="36"/>
  <c r="F117" i="36"/>
  <c r="E117" i="36"/>
  <c r="D117" i="36"/>
  <c r="C117" i="36"/>
  <c r="B117" i="36"/>
  <c r="H116" i="36"/>
  <c r="G116" i="36"/>
  <c r="F116" i="36"/>
  <c r="E116" i="36"/>
  <c r="D116" i="36"/>
  <c r="C116" i="36"/>
  <c r="B116" i="36"/>
  <c r="H115" i="36"/>
  <c r="G115" i="36"/>
  <c r="F115" i="36"/>
  <c r="E115" i="36"/>
  <c r="D115" i="36"/>
  <c r="C115" i="36"/>
  <c r="B115" i="36"/>
  <c r="H114" i="36"/>
  <c r="G114" i="36"/>
  <c r="F114" i="36"/>
  <c r="E114" i="36"/>
  <c r="D114" i="36"/>
  <c r="C114" i="36"/>
  <c r="B114" i="36"/>
  <c r="H113" i="36"/>
  <c r="G113" i="36"/>
  <c r="F113" i="36"/>
  <c r="E113" i="36"/>
  <c r="D113" i="36"/>
  <c r="C113" i="36"/>
  <c r="B113" i="36"/>
  <c r="H112" i="36"/>
  <c r="G112" i="36"/>
  <c r="F112" i="36"/>
  <c r="E112" i="36"/>
  <c r="D112" i="36"/>
  <c r="C112" i="36"/>
  <c r="B112" i="36"/>
  <c r="H111" i="36"/>
  <c r="G111" i="36"/>
  <c r="F111" i="36"/>
  <c r="E111" i="36"/>
  <c r="D111" i="36"/>
  <c r="C111" i="36"/>
  <c r="B111" i="36"/>
  <c r="H110" i="36"/>
  <c r="G110" i="36"/>
  <c r="F110" i="36"/>
  <c r="E110" i="36"/>
  <c r="D110" i="36"/>
  <c r="C110" i="36"/>
  <c r="B110" i="36"/>
  <c r="H109" i="36"/>
  <c r="G109" i="36"/>
  <c r="F109" i="36"/>
  <c r="E109" i="36"/>
  <c r="D109" i="36"/>
  <c r="C109" i="36"/>
  <c r="B109" i="36"/>
  <c r="H108" i="36"/>
  <c r="G108" i="36"/>
  <c r="F108" i="36"/>
  <c r="E108" i="36"/>
  <c r="D108" i="36"/>
  <c r="C108" i="36"/>
  <c r="B108" i="36"/>
  <c r="H107" i="36"/>
  <c r="G107" i="36"/>
  <c r="F107" i="36"/>
  <c r="E107" i="36"/>
  <c r="D107" i="36"/>
  <c r="C107" i="36"/>
  <c r="B107" i="36"/>
  <c r="H106" i="36"/>
  <c r="G106" i="36"/>
  <c r="F106" i="36"/>
  <c r="E106" i="36"/>
  <c r="D106" i="36"/>
  <c r="C106" i="36"/>
  <c r="B106" i="36"/>
  <c r="H105" i="36"/>
  <c r="G105" i="36"/>
  <c r="F105" i="36"/>
  <c r="E105" i="36"/>
  <c r="D105" i="36"/>
  <c r="C105" i="36"/>
  <c r="B105" i="36"/>
  <c r="H104" i="36"/>
  <c r="G104" i="36"/>
  <c r="F104" i="36"/>
  <c r="E104" i="36"/>
  <c r="D104" i="36"/>
  <c r="C104" i="36"/>
  <c r="B104" i="36"/>
  <c r="H103" i="36"/>
  <c r="G103" i="36"/>
  <c r="F103" i="36"/>
  <c r="E103" i="36"/>
  <c r="D103" i="36"/>
  <c r="C103" i="36"/>
  <c r="B103" i="36"/>
  <c r="H102" i="36"/>
  <c r="G102" i="36"/>
  <c r="F102" i="36"/>
  <c r="E102" i="36"/>
  <c r="D102" i="36"/>
  <c r="C102" i="36"/>
  <c r="B102" i="36"/>
  <c r="H101" i="36"/>
  <c r="G101" i="36"/>
  <c r="F101" i="36"/>
  <c r="E101" i="36"/>
  <c r="D101" i="36"/>
  <c r="C101" i="36"/>
  <c r="B101" i="36"/>
  <c r="H100" i="36"/>
  <c r="G100" i="36"/>
  <c r="F100" i="36"/>
  <c r="E100" i="36"/>
  <c r="D100" i="36"/>
  <c r="C100" i="36"/>
  <c r="B100" i="36"/>
  <c r="H99" i="36"/>
  <c r="G99" i="36"/>
  <c r="F99" i="36"/>
  <c r="E99" i="36"/>
  <c r="D99" i="36"/>
  <c r="C99" i="36"/>
  <c r="B99" i="36"/>
  <c r="H98" i="36"/>
  <c r="G98" i="36"/>
  <c r="F98" i="36"/>
  <c r="E98" i="36"/>
  <c r="D98" i="36"/>
  <c r="C98" i="36"/>
  <c r="B98" i="36"/>
  <c r="H97" i="36"/>
  <c r="G97" i="36"/>
  <c r="F97" i="36"/>
  <c r="E97" i="36"/>
  <c r="D97" i="36"/>
  <c r="C97" i="36"/>
  <c r="B97" i="36"/>
  <c r="H96" i="36"/>
  <c r="G96" i="36"/>
  <c r="F96" i="36"/>
  <c r="E96" i="36"/>
  <c r="D96" i="36"/>
  <c r="C96" i="36"/>
  <c r="B96" i="36"/>
  <c r="H95" i="36"/>
  <c r="G95" i="36"/>
  <c r="F95" i="36"/>
  <c r="E95" i="36"/>
  <c r="D95" i="36"/>
  <c r="C95" i="36"/>
  <c r="B95" i="36"/>
  <c r="H94" i="36"/>
  <c r="G94" i="36"/>
  <c r="F94" i="36"/>
  <c r="E94" i="36"/>
  <c r="D94" i="36"/>
  <c r="C94" i="36"/>
  <c r="B94" i="36"/>
  <c r="H93" i="36"/>
  <c r="G93" i="36"/>
  <c r="F93" i="36"/>
  <c r="E93" i="36"/>
  <c r="D93" i="36"/>
  <c r="C93" i="36"/>
  <c r="B93" i="36"/>
  <c r="H92" i="36"/>
  <c r="G92" i="36"/>
  <c r="F92" i="36"/>
  <c r="E92" i="36"/>
  <c r="D92" i="36"/>
  <c r="C92" i="36"/>
  <c r="B92" i="36"/>
  <c r="H91" i="36"/>
  <c r="G91" i="36"/>
  <c r="F91" i="36"/>
  <c r="E91" i="36"/>
  <c r="D91" i="36"/>
  <c r="C91" i="36"/>
  <c r="B91" i="36"/>
  <c r="H90" i="36"/>
  <c r="G90" i="36"/>
  <c r="F90" i="36"/>
  <c r="E90" i="36"/>
  <c r="D90" i="36"/>
  <c r="C90" i="36"/>
  <c r="B90" i="36"/>
  <c r="H89" i="36"/>
  <c r="G89" i="36"/>
  <c r="F89" i="36"/>
  <c r="E89" i="36"/>
  <c r="D89" i="36"/>
  <c r="C89" i="36"/>
  <c r="B89" i="36"/>
  <c r="H88" i="36"/>
  <c r="G88" i="36"/>
  <c r="F88" i="36"/>
  <c r="E88" i="36"/>
  <c r="D88" i="36"/>
  <c r="C88" i="36"/>
  <c r="B88" i="36"/>
  <c r="H87" i="36"/>
  <c r="G87" i="36"/>
  <c r="F87" i="36"/>
  <c r="E87" i="36"/>
  <c r="D87" i="36"/>
  <c r="C87" i="36"/>
  <c r="B87" i="36"/>
  <c r="H86" i="36"/>
  <c r="G86" i="36"/>
  <c r="F86" i="36"/>
  <c r="E86" i="36"/>
  <c r="D86" i="36"/>
  <c r="C86" i="36"/>
  <c r="B86" i="36"/>
  <c r="H85" i="36"/>
  <c r="G85" i="36"/>
  <c r="F85" i="36"/>
  <c r="E85" i="36"/>
  <c r="D85" i="36"/>
  <c r="C85" i="36"/>
  <c r="B85" i="36"/>
  <c r="H84" i="36"/>
  <c r="G84" i="36"/>
  <c r="F84" i="36"/>
  <c r="E84" i="36"/>
  <c r="D84" i="36"/>
  <c r="C84" i="36"/>
  <c r="B84" i="36"/>
  <c r="H83" i="36"/>
  <c r="G83" i="36"/>
  <c r="F83" i="36"/>
  <c r="E83" i="36"/>
  <c r="D83" i="36"/>
  <c r="C83" i="36"/>
  <c r="B83" i="36"/>
  <c r="H82" i="36"/>
  <c r="G82" i="36"/>
  <c r="F82" i="36"/>
  <c r="E82" i="36"/>
  <c r="D82" i="36"/>
  <c r="C82" i="36"/>
  <c r="B82" i="36"/>
  <c r="H81" i="36"/>
  <c r="G81" i="36"/>
  <c r="F81" i="36"/>
  <c r="E81" i="36"/>
  <c r="D81" i="36"/>
  <c r="C81" i="36"/>
  <c r="B81" i="36"/>
  <c r="H80" i="36"/>
  <c r="G80" i="36"/>
  <c r="F80" i="36"/>
  <c r="E80" i="36"/>
  <c r="D80" i="36"/>
  <c r="C80" i="36"/>
  <c r="B80" i="36"/>
  <c r="H79" i="36"/>
  <c r="G79" i="36"/>
  <c r="F79" i="36"/>
  <c r="E79" i="36"/>
  <c r="D79" i="36"/>
  <c r="C79" i="36"/>
  <c r="B79" i="36"/>
  <c r="H78" i="36"/>
  <c r="G78" i="36"/>
  <c r="F78" i="36"/>
  <c r="E78" i="36"/>
  <c r="D78" i="36"/>
  <c r="C78" i="36"/>
  <c r="B78" i="36"/>
  <c r="H77" i="36"/>
  <c r="G77" i="36"/>
  <c r="F77" i="36"/>
  <c r="E77" i="36"/>
  <c r="D77" i="36"/>
  <c r="C77" i="36"/>
  <c r="B77" i="36"/>
  <c r="H76" i="36"/>
  <c r="G76" i="36"/>
  <c r="F76" i="36"/>
  <c r="E76" i="36"/>
  <c r="D76" i="36"/>
  <c r="C76" i="36"/>
  <c r="B76" i="36"/>
  <c r="H75" i="36"/>
  <c r="G75" i="36"/>
  <c r="F75" i="36"/>
  <c r="E75" i="36"/>
  <c r="D75" i="36"/>
  <c r="C75" i="36"/>
  <c r="B75" i="36"/>
  <c r="H74" i="36"/>
  <c r="G74" i="36"/>
  <c r="F74" i="36"/>
  <c r="E74" i="36"/>
  <c r="D74" i="36"/>
  <c r="C74" i="36"/>
  <c r="B74" i="36"/>
  <c r="H73" i="36"/>
  <c r="G73" i="36"/>
  <c r="F73" i="36"/>
  <c r="E73" i="36"/>
  <c r="D73" i="36"/>
  <c r="C73" i="36"/>
  <c r="B73" i="36"/>
  <c r="H72" i="36"/>
  <c r="G72" i="36"/>
  <c r="F72" i="36"/>
  <c r="E72" i="36"/>
  <c r="D72" i="36"/>
  <c r="C72" i="36"/>
  <c r="B72" i="36"/>
  <c r="H71" i="36"/>
  <c r="G71" i="36"/>
  <c r="F71" i="36"/>
  <c r="E71" i="36"/>
  <c r="D71" i="36"/>
  <c r="C71" i="36"/>
  <c r="B71" i="36"/>
  <c r="H70" i="36"/>
  <c r="G70" i="36"/>
  <c r="F70" i="36"/>
  <c r="E70" i="36"/>
  <c r="D70" i="36"/>
  <c r="C70" i="36"/>
  <c r="B70" i="36"/>
  <c r="H69" i="36"/>
  <c r="G69" i="36"/>
  <c r="F69" i="36"/>
  <c r="E69" i="36"/>
  <c r="D69" i="36"/>
  <c r="C69" i="36"/>
  <c r="B69" i="36"/>
  <c r="H68" i="36"/>
  <c r="G68" i="36"/>
  <c r="F68" i="36"/>
  <c r="E68" i="36"/>
  <c r="D68" i="36"/>
  <c r="C68" i="36"/>
  <c r="B68" i="36"/>
  <c r="H67" i="36"/>
  <c r="G67" i="36"/>
  <c r="F67" i="36"/>
  <c r="E67" i="36"/>
  <c r="D67" i="36"/>
  <c r="C67" i="36"/>
  <c r="B67" i="36"/>
  <c r="H66" i="36"/>
  <c r="G66" i="36"/>
  <c r="F66" i="36"/>
  <c r="E66" i="36"/>
  <c r="D66" i="36"/>
  <c r="C66" i="36"/>
  <c r="B66" i="36"/>
  <c r="H65" i="36"/>
  <c r="G65" i="36"/>
  <c r="F65" i="36"/>
  <c r="E65" i="36"/>
  <c r="D65" i="36"/>
  <c r="C65" i="36"/>
  <c r="B65" i="36"/>
  <c r="H64" i="36"/>
  <c r="G64" i="36"/>
  <c r="F64" i="36"/>
  <c r="E64" i="36"/>
  <c r="D64" i="36"/>
  <c r="C64" i="36"/>
  <c r="B64" i="36"/>
  <c r="H63" i="36"/>
  <c r="G63" i="36"/>
  <c r="F63" i="36"/>
  <c r="E63" i="36"/>
  <c r="D63" i="36"/>
  <c r="C63" i="36"/>
  <c r="B63" i="36"/>
  <c r="H62" i="36"/>
  <c r="G62" i="36"/>
  <c r="F62" i="36"/>
  <c r="E62" i="36"/>
  <c r="D62" i="36"/>
  <c r="C62" i="36"/>
  <c r="B62" i="36"/>
  <c r="H61" i="36"/>
  <c r="G61" i="36"/>
  <c r="F61" i="36"/>
  <c r="E61" i="36"/>
  <c r="D61" i="36"/>
  <c r="C61" i="36"/>
  <c r="B61" i="36"/>
  <c r="H60" i="36"/>
  <c r="G60" i="36"/>
  <c r="F60" i="36"/>
  <c r="E60" i="36"/>
  <c r="D60" i="36"/>
  <c r="C60" i="36"/>
  <c r="B60" i="36"/>
  <c r="H59" i="36"/>
  <c r="G59" i="36"/>
  <c r="F59" i="36"/>
  <c r="E59" i="36"/>
  <c r="D59" i="36"/>
  <c r="C59" i="36"/>
  <c r="B59" i="36"/>
  <c r="H58" i="36"/>
  <c r="G58" i="36"/>
  <c r="F58" i="36"/>
  <c r="E58" i="36"/>
  <c r="D58" i="36"/>
  <c r="C58" i="36"/>
  <c r="B58" i="36"/>
  <c r="H57" i="36"/>
  <c r="G57" i="36"/>
  <c r="F57" i="36"/>
  <c r="E57" i="36"/>
  <c r="D57" i="36"/>
  <c r="C57" i="36"/>
  <c r="B57" i="36"/>
  <c r="H56" i="36"/>
  <c r="G56" i="36"/>
  <c r="F56" i="36"/>
  <c r="E56" i="36"/>
  <c r="D56" i="36"/>
  <c r="C56" i="36"/>
  <c r="B56" i="36"/>
  <c r="H55" i="36"/>
  <c r="G55" i="36"/>
  <c r="F55" i="36"/>
  <c r="E55" i="36"/>
  <c r="D55" i="36"/>
  <c r="C55" i="36"/>
  <c r="B55" i="36"/>
  <c r="H54" i="36"/>
  <c r="G54" i="36"/>
  <c r="F54" i="36"/>
  <c r="E54" i="36"/>
  <c r="D54" i="36"/>
  <c r="C54" i="36"/>
  <c r="B54" i="36"/>
  <c r="H53" i="36"/>
  <c r="G53" i="36"/>
  <c r="F53" i="36"/>
  <c r="E53" i="36"/>
  <c r="D53" i="36"/>
  <c r="C53" i="36"/>
  <c r="B53" i="36"/>
  <c r="H52" i="36"/>
  <c r="G52" i="36"/>
  <c r="F52" i="36"/>
  <c r="E52" i="36"/>
  <c r="D52" i="36"/>
  <c r="C52" i="36"/>
  <c r="B52" i="36"/>
  <c r="H51" i="36"/>
  <c r="G51" i="36"/>
  <c r="F51" i="36"/>
  <c r="E51" i="36"/>
  <c r="D51" i="36"/>
  <c r="C51" i="36"/>
  <c r="B51" i="36"/>
  <c r="H50" i="36"/>
  <c r="G50" i="36"/>
  <c r="F50" i="36"/>
  <c r="E50" i="36"/>
  <c r="D50" i="36"/>
  <c r="C50" i="36"/>
  <c r="B50" i="36"/>
  <c r="H49" i="36"/>
  <c r="G49" i="36"/>
  <c r="F49" i="36"/>
  <c r="E49" i="36"/>
  <c r="D49" i="36"/>
  <c r="C49" i="36"/>
  <c r="B49" i="36"/>
  <c r="H48" i="36"/>
  <c r="G48" i="36"/>
  <c r="F48" i="36"/>
  <c r="E48" i="36"/>
  <c r="D48" i="36"/>
  <c r="C48" i="36"/>
  <c r="B48" i="36"/>
  <c r="H47" i="36"/>
  <c r="G47" i="36"/>
  <c r="F47" i="36"/>
  <c r="E47" i="36"/>
  <c r="D47" i="36"/>
  <c r="C47" i="36"/>
  <c r="B47" i="36"/>
  <c r="H46" i="36"/>
  <c r="G46" i="36"/>
  <c r="F46" i="36"/>
  <c r="E46" i="36"/>
  <c r="D46" i="36"/>
  <c r="C46" i="36"/>
  <c r="B46" i="36"/>
  <c r="H45" i="36"/>
  <c r="G45" i="36"/>
  <c r="F45" i="36"/>
  <c r="E45" i="36"/>
  <c r="D45" i="36"/>
  <c r="C45" i="36"/>
  <c r="B45" i="36"/>
  <c r="H44" i="36"/>
  <c r="G44" i="36"/>
  <c r="F44" i="36"/>
  <c r="E44" i="36"/>
  <c r="D44" i="36"/>
  <c r="C44" i="36"/>
  <c r="B44" i="36"/>
  <c r="H43" i="36"/>
  <c r="G43" i="36"/>
  <c r="F43" i="36"/>
  <c r="E43" i="36"/>
  <c r="D43" i="36"/>
  <c r="C43" i="36"/>
  <c r="B43" i="36"/>
  <c r="H42" i="36"/>
  <c r="G42" i="36"/>
  <c r="F42" i="36"/>
  <c r="E42" i="36"/>
  <c r="D42" i="36"/>
  <c r="C42" i="36"/>
  <c r="B42" i="36"/>
  <c r="H41" i="36"/>
  <c r="G41" i="36"/>
  <c r="F41" i="36"/>
  <c r="E41" i="36"/>
  <c r="D41" i="36"/>
  <c r="C41" i="36"/>
  <c r="B41" i="36"/>
  <c r="H40" i="36"/>
  <c r="G40" i="36"/>
  <c r="F40" i="36"/>
  <c r="E40" i="36"/>
  <c r="D40" i="36"/>
  <c r="C40" i="36"/>
  <c r="B40" i="36"/>
  <c r="H39" i="36"/>
  <c r="G39" i="36"/>
  <c r="F39" i="36"/>
  <c r="E39" i="36"/>
  <c r="D39" i="36"/>
  <c r="C39" i="36"/>
  <c r="B39" i="36"/>
  <c r="H38" i="36"/>
  <c r="G38" i="36"/>
  <c r="F38" i="36"/>
  <c r="E38" i="36"/>
  <c r="D38" i="36"/>
  <c r="C38" i="36"/>
  <c r="B38" i="36"/>
  <c r="H37" i="36"/>
  <c r="G37" i="36"/>
  <c r="F37" i="36"/>
  <c r="E37" i="36"/>
  <c r="D37" i="36"/>
  <c r="C37" i="36"/>
  <c r="B37" i="36"/>
  <c r="H36" i="36"/>
  <c r="G36" i="36"/>
  <c r="F36" i="36"/>
  <c r="E36" i="36"/>
  <c r="D36" i="36"/>
  <c r="C36" i="36"/>
  <c r="B36" i="36"/>
  <c r="H35" i="36"/>
  <c r="G35" i="36"/>
  <c r="F35" i="36"/>
  <c r="E35" i="36"/>
  <c r="D35" i="36"/>
  <c r="C35" i="36"/>
  <c r="B35" i="36"/>
  <c r="H34" i="36"/>
  <c r="G34" i="36"/>
  <c r="F34" i="36"/>
  <c r="E34" i="36"/>
  <c r="D34" i="36"/>
  <c r="C34" i="36"/>
  <c r="B34" i="36"/>
  <c r="H33" i="36"/>
  <c r="G33" i="36"/>
  <c r="F33" i="36"/>
  <c r="E33" i="36"/>
  <c r="D33" i="36"/>
  <c r="C33" i="36"/>
  <c r="B33" i="36"/>
  <c r="H32" i="36"/>
  <c r="G32" i="36"/>
  <c r="F32" i="36"/>
  <c r="E32" i="36"/>
  <c r="D32" i="36"/>
  <c r="C32" i="36"/>
  <c r="B32" i="36"/>
  <c r="H31" i="36"/>
  <c r="G31" i="36"/>
  <c r="F31" i="36"/>
  <c r="E31" i="36"/>
  <c r="D31" i="36"/>
  <c r="C31" i="36"/>
  <c r="B31" i="36"/>
  <c r="H30" i="36"/>
  <c r="G30" i="36"/>
  <c r="F30" i="36"/>
  <c r="E30" i="36"/>
  <c r="D30" i="36"/>
  <c r="C30" i="36"/>
  <c r="B30" i="36"/>
  <c r="H29" i="36"/>
  <c r="G29" i="36"/>
  <c r="F29" i="36"/>
  <c r="E29" i="36"/>
  <c r="D29" i="36"/>
  <c r="C29" i="36"/>
  <c r="B29" i="36"/>
  <c r="H28" i="36"/>
  <c r="G28" i="36"/>
  <c r="F28" i="36"/>
  <c r="E28" i="36"/>
  <c r="D28" i="36"/>
  <c r="C28" i="36"/>
  <c r="B28" i="36"/>
  <c r="H27" i="36"/>
  <c r="G27" i="36"/>
  <c r="F27" i="36"/>
  <c r="E27" i="36"/>
  <c r="D27" i="36"/>
  <c r="C27" i="36"/>
  <c r="B27" i="36"/>
  <c r="H26" i="36"/>
  <c r="G26" i="36"/>
  <c r="F26" i="36"/>
  <c r="E26" i="36"/>
  <c r="D26" i="36"/>
  <c r="C26" i="36"/>
  <c r="B26" i="36"/>
  <c r="H25" i="36"/>
  <c r="G25" i="36"/>
  <c r="F25" i="36"/>
  <c r="E25" i="36"/>
  <c r="D25" i="36"/>
  <c r="C25" i="36"/>
  <c r="B25" i="36"/>
  <c r="H24" i="36"/>
  <c r="G24" i="36"/>
  <c r="F24" i="36"/>
  <c r="E24" i="36"/>
  <c r="D24" i="36"/>
  <c r="C24" i="36"/>
  <c r="B24" i="36"/>
  <c r="H23" i="36"/>
  <c r="G23" i="36"/>
  <c r="F23" i="36"/>
  <c r="E23" i="36"/>
  <c r="D23" i="36"/>
  <c r="C23" i="36"/>
  <c r="B23" i="36"/>
  <c r="H22" i="36"/>
  <c r="G22" i="36"/>
  <c r="F22" i="36"/>
  <c r="E22" i="36"/>
  <c r="D22" i="36"/>
  <c r="C22" i="36"/>
  <c r="B22" i="36"/>
  <c r="H21" i="36"/>
  <c r="G21" i="36"/>
  <c r="F21" i="36"/>
  <c r="E21" i="36"/>
  <c r="D21" i="36"/>
  <c r="C21" i="36"/>
  <c r="B21" i="36"/>
  <c r="H20" i="36"/>
  <c r="G20" i="36"/>
  <c r="F20" i="36"/>
  <c r="E20" i="36"/>
  <c r="D20" i="36"/>
  <c r="C20" i="36"/>
  <c r="B20" i="36"/>
  <c r="H19" i="36"/>
  <c r="G19" i="36"/>
  <c r="F19" i="36"/>
  <c r="E19" i="36"/>
  <c r="D19" i="36"/>
  <c r="C19" i="36"/>
  <c r="B19" i="36"/>
  <c r="H18" i="36"/>
  <c r="G18" i="36"/>
  <c r="F18" i="36"/>
  <c r="E18" i="36"/>
  <c r="D18" i="36"/>
  <c r="C18" i="36"/>
  <c r="B18" i="36"/>
  <c r="H17" i="36"/>
  <c r="G17" i="36"/>
  <c r="F17" i="36"/>
  <c r="E17" i="36"/>
  <c r="D17" i="36"/>
  <c r="C17" i="36"/>
  <c r="B17" i="36"/>
  <c r="H16" i="36"/>
  <c r="G16" i="36"/>
  <c r="F16" i="36"/>
  <c r="E16" i="36"/>
  <c r="D16" i="36"/>
  <c r="C16" i="36"/>
  <c r="B16" i="36"/>
  <c r="H15" i="36"/>
  <c r="G15" i="36"/>
  <c r="F15" i="36"/>
  <c r="E15" i="36"/>
  <c r="D15" i="36"/>
  <c r="C15" i="36"/>
  <c r="B15" i="36"/>
  <c r="H14" i="36"/>
  <c r="G14" i="36"/>
  <c r="F14" i="36"/>
  <c r="E14" i="36"/>
  <c r="D14" i="36"/>
  <c r="C14" i="36"/>
  <c r="B14" i="36"/>
  <c r="H13" i="36"/>
  <c r="G13" i="36"/>
  <c r="F13" i="36"/>
  <c r="E13" i="36"/>
  <c r="D13" i="36"/>
  <c r="C13" i="36"/>
  <c r="B13" i="36"/>
  <c r="H12" i="36"/>
  <c r="G12" i="36"/>
  <c r="F12" i="36"/>
  <c r="E12" i="36"/>
  <c r="D12" i="36"/>
  <c r="C12" i="36"/>
  <c r="B12" i="36"/>
  <c r="H11" i="36"/>
  <c r="G11" i="36"/>
  <c r="F11" i="36"/>
  <c r="E11" i="36"/>
  <c r="D11" i="36"/>
  <c r="C11" i="36"/>
  <c r="B11" i="36"/>
  <c r="H10" i="36"/>
  <c r="G10" i="36"/>
  <c r="F10" i="36"/>
  <c r="E10" i="36"/>
  <c r="D10" i="36"/>
  <c r="C10" i="36"/>
  <c r="B10" i="36"/>
  <c r="H9" i="36"/>
  <c r="G9" i="36"/>
  <c r="F9" i="36"/>
  <c r="E9" i="36"/>
  <c r="D9" i="36"/>
  <c r="C9" i="36"/>
  <c r="B9" i="36"/>
  <c r="H8" i="36"/>
  <c r="G8" i="36"/>
  <c r="F8" i="36"/>
  <c r="E8" i="36"/>
  <c r="D8" i="36"/>
  <c r="C8" i="36"/>
  <c r="B8" i="36"/>
  <c r="H7" i="36"/>
  <c r="G7" i="36"/>
  <c r="F7" i="36"/>
  <c r="E7" i="36"/>
  <c r="D7" i="36"/>
  <c r="C7" i="36"/>
  <c r="B7" i="36"/>
  <c r="B4" i="36"/>
  <c r="C4" i="36"/>
  <c r="D4" i="36"/>
  <c r="E4" i="36"/>
  <c r="F4" i="36"/>
  <c r="G4" i="36"/>
  <c r="H4" i="36"/>
  <c r="B5" i="36"/>
  <c r="C5" i="36"/>
  <c r="D5" i="36"/>
  <c r="E5" i="36"/>
  <c r="F5" i="36"/>
  <c r="G5" i="36"/>
  <c r="H5" i="36"/>
  <c r="B6" i="36"/>
  <c r="C6" i="36"/>
  <c r="D6" i="36"/>
  <c r="E6" i="36"/>
  <c r="F6" i="36"/>
  <c r="G6" i="36"/>
  <c r="H6" i="36"/>
  <c r="H3" i="36" l="1"/>
  <c r="G3" i="36"/>
  <c r="F3" i="36"/>
  <c r="E3" i="36"/>
  <c r="D3" i="36"/>
  <c r="C3" i="36"/>
  <c r="B3"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Washington</author>
  </authors>
  <commentList>
    <comment ref="K184" authorId="0" shapeId="0" xr:uid="{00000000-0006-0000-0000-000001000000}">
      <text>
        <r>
          <rPr>
            <b/>
            <sz val="9"/>
            <color indexed="81"/>
            <rFont val="Segoe UI"/>
            <family val="2"/>
          </rPr>
          <t>Washington:</t>
        </r>
        <r>
          <rPr>
            <sz val="9"/>
            <color indexed="81"/>
            <rFont val="Segoe UI"/>
            <family val="2"/>
          </rPr>
          <t xml:space="preserve">
inserir a expressão "e dos estados" sempre depois de "Distrito Federal".</t>
        </r>
      </text>
    </comment>
    <comment ref="K188" authorId="0" shapeId="0" xr:uid="{00000000-0006-0000-0000-000002000000}">
      <text>
        <r>
          <rPr>
            <b/>
            <sz val="9"/>
            <color indexed="81"/>
            <rFont val="Segoe UI"/>
            <family val="2"/>
          </rPr>
          <t>Washington:</t>
        </r>
        <r>
          <rPr>
            <sz val="9"/>
            <color indexed="81"/>
            <rFont val="Segoe UI"/>
            <family val="2"/>
          </rPr>
          <t xml:space="preserve">
inserir a expressão "e dos estados" sempre depois de "Distrito Federal".</t>
        </r>
      </text>
    </comment>
    <comment ref="K574" authorId="0" shapeId="0" xr:uid="{00000000-0006-0000-0000-000004000000}">
      <text>
        <r>
          <rPr>
            <b/>
            <sz val="9"/>
            <color indexed="81"/>
            <rFont val="Segoe UI"/>
            <family val="2"/>
          </rPr>
          <t>Washington:</t>
        </r>
        <r>
          <rPr>
            <sz val="9"/>
            <color indexed="81"/>
            <rFont val="Segoe UI"/>
            <family val="2"/>
          </rPr>
          <t xml:space="preserve">
nas NR 1.7.1.8.03.3.0 até 1.7.1.8.03.9.0, alteração apenas na descrição, saindo o termo "custeio" e entrando o termo "de manutenção".</t>
        </r>
      </text>
    </comment>
    <comment ref="K580" authorId="0" shapeId="0" xr:uid="{00000000-0006-0000-0000-000005000000}">
      <text>
        <r>
          <rPr>
            <b/>
            <sz val="9"/>
            <color indexed="81"/>
            <rFont val="Segoe UI"/>
            <family val="2"/>
          </rPr>
          <t>Washington:</t>
        </r>
        <r>
          <rPr>
            <sz val="9"/>
            <color indexed="81"/>
            <rFont val="Segoe UI"/>
            <family val="2"/>
          </rPr>
          <t xml:space="preserve">
das NR 1.7.1.8.04.2.0 até a 1.7.1.8.04.5.0, somente alterações na descrição.</t>
        </r>
      </text>
    </comment>
    <comment ref="K922" authorId="0" shapeId="0" xr:uid="{00000000-0006-0000-0000-000006000000}">
      <text>
        <r>
          <rPr>
            <b/>
            <sz val="9"/>
            <color indexed="81"/>
            <rFont val="Segoe UI"/>
            <family val="2"/>
          </rPr>
          <t>Washington:</t>
        </r>
        <r>
          <rPr>
            <sz val="9"/>
            <color indexed="81"/>
            <rFont val="Segoe UI"/>
            <family val="2"/>
          </rPr>
          <t xml:space="preserve">
NRs 2.4.1.8.03.3.0 a 2.4.1.8.03.9.0, houve somente alteração da descrição.</t>
        </r>
      </text>
    </comment>
    <comment ref="K928" authorId="0" shapeId="0" xr:uid="{00000000-0006-0000-0000-000007000000}">
      <text>
        <r>
          <rPr>
            <b/>
            <sz val="9"/>
            <color indexed="81"/>
            <rFont val="Segoe UI"/>
            <family val="2"/>
          </rPr>
          <t>Washington:</t>
        </r>
        <r>
          <rPr>
            <sz val="9"/>
            <color indexed="81"/>
            <rFont val="Segoe UI"/>
            <family val="2"/>
          </rPr>
          <t xml:space="preserve">
NRs. 2.4.1.8.04.2.0 a 2.4.1.8.04.5.0 houve somente alteração da descrição.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Washington</author>
  </authors>
  <commentList>
    <comment ref="C46" authorId="0" shapeId="0" xr:uid="{00000000-0006-0000-0400-000001000000}">
      <text>
        <r>
          <rPr>
            <b/>
            <sz val="9"/>
            <color indexed="81"/>
            <rFont val="Segoe UI"/>
            <family val="2"/>
          </rPr>
          <t>Washington:</t>
        </r>
        <r>
          <rPr>
            <sz val="9"/>
            <color indexed="81"/>
            <rFont val="Segoe UI"/>
            <family val="2"/>
          </rPr>
          <t xml:space="preserve">
das NR 1.7.1.8.04.2.0 até a 1.7.1.8.04.5.0, somente alterações na descrição.</t>
        </r>
      </text>
    </comment>
    <comment ref="C63" authorId="0" shapeId="0" xr:uid="{00000000-0006-0000-0400-000002000000}">
      <text>
        <r>
          <rPr>
            <b/>
            <sz val="9"/>
            <color indexed="81"/>
            <rFont val="Segoe UI"/>
            <family val="2"/>
          </rPr>
          <t>Washington:</t>
        </r>
        <r>
          <rPr>
            <sz val="9"/>
            <color indexed="81"/>
            <rFont val="Segoe UI"/>
            <family val="2"/>
          </rPr>
          <t xml:space="preserve">
NRs 2.4.1.8.03.3.0 a 2.4.1.8.03.9.0, houve somente alteração da descrição.</t>
        </r>
      </text>
    </comment>
    <comment ref="C69" authorId="0" shapeId="0" xr:uid="{00000000-0006-0000-0400-000003000000}">
      <text>
        <r>
          <rPr>
            <b/>
            <sz val="9"/>
            <color indexed="81"/>
            <rFont val="Segoe UI"/>
            <family val="2"/>
          </rPr>
          <t>Washington:</t>
        </r>
        <r>
          <rPr>
            <sz val="9"/>
            <color indexed="81"/>
            <rFont val="Segoe UI"/>
            <family val="2"/>
          </rPr>
          <t xml:space="preserve">
NRs. 2.4.1.8.04.2.0 a 2.4.1.8.04.5.0 houve somente alteração da descrição.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Washington</author>
  </authors>
  <commentList>
    <comment ref="G20" authorId="0" shapeId="0" xr:uid="{00000000-0006-0000-0500-000001000000}">
      <text>
        <r>
          <rPr>
            <b/>
            <sz val="9"/>
            <color indexed="81"/>
            <rFont val="Segoe UI"/>
            <family val="2"/>
          </rPr>
          <t>Washington:</t>
        </r>
        <r>
          <rPr>
            <sz val="9"/>
            <color indexed="81"/>
            <rFont val="Segoe UI"/>
            <family val="2"/>
          </rPr>
          <t xml:space="preserve">
nas NR 1.7.1.8.03.3.0 até 1.7.1.8.03.9.0, alteração apenas na descrição, saindo o termo "custeio" e entrando o termo "de manutenção".</t>
        </r>
      </text>
    </comment>
    <comment ref="G26" authorId="0" shapeId="0" xr:uid="{00000000-0006-0000-0500-000002000000}">
      <text>
        <r>
          <rPr>
            <b/>
            <sz val="9"/>
            <color indexed="81"/>
            <rFont val="Segoe UI"/>
            <family val="2"/>
          </rPr>
          <t>Washington:</t>
        </r>
        <r>
          <rPr>
            <sz val="9"/>
            <color indexed="81"/>
            <rFont val="Segoe UI"/>
            <family val="2"/>
          </rPr>
          <t xml:space="preserve">
das NR 1.7.1.8.04.2.0 até a 1.7.1.8.04.5.0, somente alterações na descrição.</t>
        </r>
      </text>
    </comment>
    <comment ref="G34" authorId="0" shapeId="0" xr:uid="{00000000-0006-0000-0500-000003000000}">
      <text>
        <r>
          <rPr>
            <b/>
            <sz val="9"/>
            <color indexed="81"/>
            <rFont val="Segoe UI"/>
            <family val="2"/>
          </rPr>
          <t>Washington:</t>
        </r>
        <r>
          <rPr>
            <sz val="9"/>
            <color indexed="81"/>
            <rFont val="Segoe UI"/>
            <family val="2"/>
          </rPr>
          <t xml:space="preserve">
NRs 2.4.1.8.03.3.0 a 2.4.1.8.03.9.0, houve somente alteração da descrição.</t>
        </r>
      </text>
    </comment>
    <comment ref="G40" authorId="0" shapeId="0" xr:uid="{00000000-0006-0000-0500-000004000000}">
      <text>
        <r>
          <rPr>
            <b/>
            <sz val="9"/>
            <color indexed="81"/>
            <rFont val="Segoe UI"/>
            <family val="2"/>
          </rPr>
          <t>Washington:</t>
        </r>
        <r>
          <rPr>
            <sz val="9"/>
            <color indexed="81"/>
            <rFont val="Segoe UI"/>
            <family val="2"/>
          </rPr>
          <t xml:space="preserve">
NRs. 2.4.1.8.04.2.0 a 2.4.1.8.04.5.0 houve somente alteração da descrição.</t>
        </r>
      </text>
    </comment>
  </commentList>
</comments>
</file>

<file path=xl/sharedStrings.xml><?xml version="1.0" encoding="utf-8"?>
<sst xmlns="http://schemas.openxmlformats.org/spreadsheetml/2006/main" count="2925" uniqueCount="1675">
  <si>
    <t>Nível</t>
  </si>
  <si>
    <t>Cor</t>
  </si>
  <si>
    <t>Nome Classificação</t>
  </si>
  <si>
    <t>Vermelho</t>
  </si>
  <si>
    <t>Verde</t>
  </si>
  <si>
    <t>Azul</t>
  </si>
  <si>
    <t>STATUS</t>
  </si>
  <si>
    <t>1º</t>
  </si>
  <si>
    <t>Verde escuro</t>
  </si>
  <si>
    <t>Categoria Econômica</t>
  </si>
  <si>
    <t>Alterar</t>
  </si>
  <si>
    <t>2º</t>
  </si>
  <si>
    <t>Verde médio</t>
  </si>
  <si>
    <t>Origem</t>
  </si>
  <si>
    <t>Incluir</t>
  </si>
  <si>
    <t>3º</t>
  </si>
  <si>
    <t>Verde Claro</t>
  </si>
  <si>
    <t>Espécie</t>
  </si>
  <si>
    <t>Excluir</t>
  </si>
  <si>
    <t>4º</t>
  </si>
  <si>
    <t>Azul escuro</t>
  </si>
  <si>
    <t>1º Nível de Detalhamento</t>
  </si>
  <si>
    <t>Excluído</t>
  </si>
  <si>
    <t>5º</t>
  </si>
  <si>
    <t>Azul médio</t>
  </si>
  <si>
    <t>2º Nível de Detalhamento</t>
  </si>
  <si>
    <t>6º</t>
  </si>
  <si>
    <t>Azul Claro</t>
  </si>
  <si>
    <t>3º Nível de Detalhamento</t>
  </si>
  <si>
    <t>7º</t>
  </si>
  <si>
    <t>Branco</t>
  </si>
  <si>
    <t>Tipo</t>
  </si>
  <si>
    <t>C</t>
  </si>
  <si>
    <t>O</t>
  </si>
  <si>
    <t>E</t>
  </si>
  <si>
    <t>D1</t>
  </si>
  <si>
    <t>DD2</t>
  </si>
  <si>
    <t>D3</t>
  </si>
  <si>
    <t>T</t>
  </si>
  <si>
    <t>NR</t>
  </si>
  <si>
    <t>Especificação</t>
  </si>
  <si>
    <t>Descrição</t>
  </si>
  <si>
    <t>Norma Correspondente</t>
  </si>
  <si>
    <t>Receitas Correntes</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</si>
  <si>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</si>
  <si>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Impostos, Taxas e Contribuições de Melhoria</t>
  </si>
  <si>
    <t>Agrega as receitas originadas de impostos, taxas e contribuições de melhoria.</t>
  </si>
  <si>
    <t>Impostos</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</si>
  <si>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</si>
  <si>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Impostos sobre o Comércio Exterior</t>
  </si>
  <si>
    <t>Agrega as receitas que se originaram de impostos cobrados sobre a exportação e sobre a importação.</t>
  </si>
  <si>
    <t>Imposto sobre a Importação</t>
  </si>
  <si>
    <t>Agrega as receitas que se originaram dos impostos sobre a importação. De competência da União, o imposto de importação possui natureza regulatória e arrecadatória e incide sobre a importação de mercadorias estrangeiras. São contribuintes o importador e o arrematante de produtos apreendidos ou abandonados.</t>
  </si>
  <si>
    <t>Agrega as receitas que se originaram dos impostos sobre a importação e que não decorrem de parcelamentos ou outros institutos que facilitem seu pagamento.
Constitui a principal parcela da arrecadação proveniente da incidência do referido tributo quando da ocorrência do fato gerador previsto no art. 19, do Código Tributário Nacional e não decorra de parcelamentos ou outros institutos que facilitem o seu pagamento previstos em lei específica. A entrada de mercadoria estrangeira em território nacional e destinadas ao comércio do país é o fato gerador dessa incidência. É tributo de competência exclusiva da União. 
O imposto de importação possui função extrafiscal, pois, sua principal característica não é a arrecadação e sim a regulação do mercado interno (controle da balança comercial) fundamentadas por razões provenientes da política econômica. Consiste em um importante instrumento de regulação, de função econômica, e por esse motivo não sofre a incidência do Princípio da Legalidade, nem da anterioridade, podendo suas alíquotas serem alteradas por Decreto presidencial. Um dos principais motivos da extrafiscalidade do imposto de importação é proteger os produtos nacionais da concorrência dos produtos estrangeiros. 
Tem como contribuinte o importador ou quem a lei a ele equiparar ou o arrematante de produtos apreendidos/abandonados.</t>
  </si>
  <si>
    <t>Imposto sobre a Importação - Principal</t>
  </si>
  <si>
    <t>Registra as receitas dos impostos sobre a importação e que não decorrem de parcelamentos ou outros institutos que facilitem seu pagamento.
Constitui a principal parcela da arrecadação proveniente da incidência do referido tributo quando da ocorrência do fato gerador previsto no art. 19, do Código Tributário Nacional e não decorra de parcelamentos ou outros institutos que facilitem o seu pagamento previstos em lei específica. A entrada de mercadoria estrangeira em território nacional e destinadas ao comércio do país é o fato gerador dessa incidência. É tributo de competência exclusiva da União. 
O imposto de importação possui função extrafiscal, pois, sua principal característica não é a arrecadação e sim a regulação do mercado interno (controle da balança comercial) fundamentadas por razões provenientes da política econômica. Consiste em um importante instrumento de regulação, de função econômica, e por esse motivo não sofre a incidência do Princípio da Legalidade, nem da anterioridade, podendo suas alíquotas serem alteradas por Decreto presidencial. Um dos principais motivos da extrafiscalidade do imposto de importação é proteger os produtos nacionais da concorrência dos produtos estrangeiros. 
Tem como contribuinte o importador ou quem a lei a ele equiparar ou o arrematante de produtos apreendidos/abandonados.</t>
  </si>
  <si>
    <t>Imposto sobre a Importação - Multas e Juros de Mora</t>
  </si>
  <si>
    <t>Vide descrição do código de receita principal.</t>
  </si>
  <si>
    <t>Imposto sobre a Importação - Dívida Ativa</t>
  </si>
  <si>
    <t>Imposto sobre a Importação - Dívida Ativa - Multas e Juros de Mora da Dívida Ativa</t>
  </si>
  <si>
    <t>Imposto sobre a Importação - Multas</t>
  </si>
  <si>
    <t>Imposto sobre a Importação - Juros de Mora</t>
  </si>
  <si>
    <t>Imposto sobre a Importação - Dívida Ativa - Multas da Dívida Ativa</t>
  </si>
  <si>
    <t>Imposto sobre a Importação - Juros de Mora da Dívida Ativa</t>
  </si>
  <si>
    <t>Imposto sobre a Exportação</t>
  </si>
  <si>
    <t>Agrega as receitas que se originaram dos impostos sobre a exportação.
De competência da União, incide sobre a exportação, para o estrangeiro, de produtos nacionais ou nacionalizados.</t>
  </si>
  <si>
    <t>Agrega as receitas que se originaram dos impostos sobre a exportação e que não decorrem de parcelamentos ou outros institutos que facilitem seu pagamento.</t>
  </si>
  <si>
    <t>Impostos sobre o Patrimônio</t>
  </si>
  <si>
    <t>Agrega as receitas que se originaram de impostos que incidem sobre o patrimônio e a renda.</t>
  </si>
  <si>
    <t>Imposto sobre a Propriedade Territorial Rural</t>
  </si>
  <si>
    <t>Agrega as receitas que se originaram de Impostos sobre a Propriedade Territorial Rural.
De competência da União, tem suas alíquotas fixadas de forma a desestimular a manutenção de propriedades improdutivas. São contribuintes o proprietário do imóvel, o titular de seu domínio útil, ou o seu possuidor a qualquer título.</t>
  </si>
  <si>
    <t>Imposto sobre a Propriedade Territorial Rural - Municípios Conveniados</t>
  </si>
  <si>
    <t>Agrega as receitas que se originaram de Impostos sobre a Propriedade Territorial Rural em municípios que possuem convênio com a União para fiscalização do referido tributo.</t>
  </si>
  <si>
    <t>Imposto sobre a Propriedade Territorial Rural - Municípios Não-Conveniados</t>
  </si>
  <si>
    <t>Agrega as receitas que se originaram de Impostos sobre a Propriedade Territorial Rural em municípios que não possuem convênio com a União para fiscalização do referido tributo.</t>
  </si>
  <si>
    <t>Impostos sobre a Renda e Proventos de Qualquer Natureza</t>
  </si>
  <si>
    <t>Agrega as receitas originadas de Impostos sobre a Renda e Proventos de Qualquer Natureza.</t>
  </si>
  <si>
    <t>Imposto sobre a Renda de Pessoa Física - IRPF</t>
  </si>
  <si>
    <t>Agrega as receitas originadas de rendimentos e ganhos de capital percebidos pelas pessoas físicas residentes ou domiciliadas no Brasil, que não estejam sujeitas a tributação exclusiva na fonte.</t>
  </si>
  <si>
    <t>Imposto sobre a Renda de Pessoa Jurídica - IRPJ - Líquida de Incentivos</t>
  </si>
  <si>
    <t>Agrega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</si>
  <si>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Imposto sobre a Renda - Retido na Fonte</t>
  </si>
  <si>
    <t>Agrega as receitas originadas do imposto sobre a renda retido na fonte, calculado sobre salários, a qualquer título, ou sobre capital.</t>
  </si>
  <si>
    <t>Imposto sobre a Renda - Retido na Fonte - Trabalho</t>
  </si>
  <si>
    <t>Agrega as receitas originadas do imposto sobre a renda calculado sobre salários, a qualquer título.</t>
  </si>
  <si>
    <t>Imposto sobre a Renda - Retido na Fonte - Capital</t>
  </si>
  <si>
    <t>Agrega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</si>
  <si>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Imposto sobre a Renda - Retido na Fonte - Remessa ao Exterior</t>
  </si>
  <si>
    <t>Agrega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</si>
  <si>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Imposto sobre a Renda - Retido na Fonte - Outros Rendimentos</t>
  </si>
  <si>
    <t>Agrega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</si>
  <si>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Impostos sobre a Produção e Circulação de Mercadorias e Serviços</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</si>
  <si>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</si>
  <si>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Imposto sobre Produtos Industrializados - IPI</t>
  </si>
  <si>
    <t>Agrega as receitas originadas do Imposto sobre Produtos Industrializados. 
Industrialização, entendida como a modificação de natureza ou finalidade do produto, ou ainda o seu aperfeiçoamento para consumo. Quanto ao aspecto temporal, considera-se que o fato gerador ocorreu no momento do desembaraço aduaneiro, quando os produtos são de procedência estrangeira; na saída do respectivo estabelecimento produtor, quando produzidos no país; ou na ocasião da apreensão e leilão, no caso de arrematação. Quando a industrialização se der no próprio local de consumo ou de utilização do produto, o fato gerador considerar-se-á ocorrido no momento em que ficar concluída a operação industrial.</t>
  </si>
  <si>
    <t>Imposto sobre Produtos Industrializados - IPI - Fumo</t>
  </si>
  <si>
    <t>Agrega as receitas originadas do Imposto sobre Produtos Industrializados incidente sobre fumo (tabaco) manufaturado e não manufaturado, assim como sobre seus sucedâneos manufaturados (charutos, cigarrilhas e cigarros).</t>
  </si>
  <si>
    <t>Imposto sobre Produtos Industrializados - IPI- Bebidas</t>
  </si>
  <si>
    <t>Agrega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</si>
  <si>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Imposto sobre Produtos Industrializados - IPI - Automóveis</t>
  </si>
  <si>
    <t>Agrega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</si>
  <si>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Imposto sobre Produtos Industrializados - IPI - Vinculados à Importação</t>
  </si>
  <si>
    <t>Agrega as receitas originadas do Imposto sobre Produtos Industrializados incidente sobre produtos industrializados de procedência estrangeira. O fato gerador é o desembaraço aduaneiro.</t>
  </si>
  <si>
    <t>Imposto sobre Produtos Industrializados - IPI - Outros Produtos</t>
  </si>
  <si>
    <t>Agrega as receitas originadas do Imposto sobre Produtos Industrializados incidente sobre as demais mercadorias relacionadas na Tabela de Incidência do Imposto sobre Produtos Industrializados - TIPI.</t>
  </si>
  <si>
    <t>Impostos sobre Operações de Crédito, Câmbio e Seguro, ou Relativas a Títulos ou Valores Mobiliários</t>
  </si>
  <si>
    <t>Agrega as receitas originadas do Imposto sobre Operações Financeiras.</t>
  </si>
  <si>
    <t>Imposto sobre Operações Financeiras - IOF</t>
  </si>
  <si>
    <t>Imposto sobre Operações Financeiras - IOF - Ouro</t>
  </si>
  <si>
    <t>Agrega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</si>
  <si>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Imposto sobre Operações Financeiras - IOF - Demais Operações</t>
  </si>
  <si>
    <t>Agrega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</si>
  <si>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Imposto sobre Circulação de Mercadorias e Serviços</t>
  </si>
  <si>
    <t>Agrega as receitas oriundas do Imposto sobre a Circulação de Mercadorias e Serviços de Transporte Interestadual e Intermunicipal e de Comunicações - ICMS e do Imposto sobre Serviços de Qualquer Natureza - ISS. Naturezas de receita específicas de Estados e Municípios situam-se sob competência da STN.</t>
  </si>
  <si>
    <t>Impostos sobre Transferências Patrimoniais</t>
  </si>
  <si>
    <t>Agrega as receitas oriundas do Imposto sobre Transmissão Causa Mortis e Doação - ITCMD e do Imposto sobre a Transmissão Inter Vivos de Bens Imóveis - ITBI. Naturezas de receita específicas de Estados e Municípios situam-se sob competência da STN.</t>
  </si>
  <si>
    <t>Impostos Específicos de Estados, DF e Municípios</t>
  </si>
  <si>
    <t>Registra o valor total da arrecadação dos impostos de competência dos Estados, Distrito Federal e Municípios.</t>
  </si>
  <si>
    <t>Impostos sobre o Patrimônio para Estados/DF/Municípios</t>
  </si>
  <si>
    <t>Registra o valor total da arrecadação dos impostos incidentes sobre o patrimônio, de competência dos Estados, Distrito Federal e Municípios.</t>
  </si>
  <si>
    <t>Imposto sobre a Propriedade Predial e Territorial Urbana</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</si>
  <si>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</si>
  <si>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Imposto sobre a Propriedade de Veículos Automotores</t>
  </si>
  <si>
    <t>Registra o valor total da arrecadação de imposto que incide sobre o valor do veículo automotor sujeito a licenciamento pelos órgãos competentes. De competência dos Estados.</t>
  </si>
  <si>
    <t>Imposto sobre Transmissão “Causa Mortis” e Doação de Bens e Direitos</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</si>
  <si>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</si>
  <si>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Imposto sobre Transmissão “Inter Vivos” de Bens Imóveis e de Direitos Reais sobre Imóveis</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</si>
  <si>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</si>
  <si>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Impostos sobre a Produção, Circulação de Mercadorias e Serviços</t>
  </si>
  <si>
    <t>Registra o valor total da arrecadação dos impostos incidentes sobre a produção, circulação de mercadorias e serviços, de competência dos Estados, Distrito Federal e Municípios.</t>
  </si>
  <si>
    <t>Imposto sobre Operações Relativas à Circulação de Mercadorias e sobre Prestações de Serviços de Transporte Interestadual e Intermunicipal e de Comunicação</t>
  </si>
  <si>
    <t>Registra o valor total da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</si>
  <si>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Adicional ICMS - Fundo Estadual de Combate à Pobreza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</si>
  <si>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</si>
  <si>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Imposto sobre Serviços de Qualquer Natureza</t>
  </si>
  <si>
    <t>Registra o valor total da arrecadação de imposto sobre serviços de qualquer natureza de competência dos Municípios. Tem como fato gerador a prestação, por empresa ou profissional autônomo, com ou sem estabelecimento fixo, de serviços constantes em lista própria.</t>
  </si>
  <si>
    <t>Adicional ISS - Fundo Municipal de Combate à Pobreza</t>
  </si>
  <si>
    <t>Registra o valor da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</si>
  <si>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Imposto sobre Vendas a Varejo de Combustíveis Líquidos e Gasosos (IVVC)</t>
  </si>
  <si>
    <t>Registra o valor da receita decorrente da arrecadação do Imposto sobre Vendas a Varejo de Combustíveis Líquidos e Gasosos (IVVC). Imposto instituído pela Constituição Federal de 1988, art. 156, IV, extinto pela Emenda Constitucional nº 3/1993. Entretatno, ainda há arrecadação de saldos remanescentes do período em que o referido imposto vigorou.</t>
  </si>
  <si>
    <t>Outros Impostos</t>
  </si>
  <si>
    <t>Agrega receitas de impostos não classificados nos itens anteriores.</t>
  </si>
  <si>
    <t>Taxas</t>
  </si>
  <si>
    <t>Agrega as receitas que relacionadas às taxas decorrentes do exercício do poder de polícia ou decorrentes da utilização efetiva ou potencial de serviço público específico e divisível, prestado ao contribuinte ou posto à sua disposição.</t>
  </si>
  <si>
    <t>Taxas pelo Exercício do Poder de Polícia</t>
  </si>
  <si>
    <t>Agrega as receitas que se originaram de taxas decorrentes do exercício do poder de polícia.</t>
  </si>
  <si>
    <t>Taxas de Inspeção, Controle e Fiscalização</t>
  </si>
  <si>
    <t>Agrega as receitas que se originaram de taxas sobre a prestação de serviços de inspeção, controle e fiscalização, decorrentes do poder de polícia.</t>
  </si>
  <si>
    <t>Taxas de Fiscalização das Telecomunicações</t>
  </si>
  <si>
    <t>Agrega receitas que se originaram da Taxa de Fiscalização de Telecomunicações.</t>
  </si>
  <si>
    <t>Taxa de Fiscalização de Instalação - TFI - Não Proveniente da Utilização de Posições Orbitais</t>
  </si>
  <si>
    <t>Agrega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 não proveniente da utilização de posições orbitais.</t>
  </si>
  <si>
    <t>Portaria SEAFI nº 1, de 29 de Março de 2019 (SOF)</t>
  </si>
  <si>
    <t>Taxa de Fiscalização de Funcionamento - TFF - Não Proveniente da Utilização de Posições Orbitais</t>
  </si>
  <si>
    <t>Agrega receitas que se originaram da Taxa de Fiscalização de Funcionamento, devida pelas concessionárias, permissionárias e autorizadas de serviços de telecomunicações e de uso de radiofrequência, anualmente pela fiscalização do funcionamento das estações, não proveniente da utilização de posições orbitais.</t>
  </si>
  <si>
    <t>Taxa de Fiscalização de Instalação - TFI - Proveniente da Utilização de Posições Orbitais</t>
  </si>
  <si>
    <t>Agrega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 e que são provenientes da utilização de posições orbitais.</t>
  </si>
  <si>
    <t>Taxa de Fiscalização de Funcionamento - TFF - Proveniente da Utilização de Posições Orbitais</t>
  </si>
  <si>
    <t>Agrega receitas que se originaram da Taxa de Fiscalização de Funcionamento, devida pelas concessionárias, permissionárias e autorizadas de serviços de telecomunicações e de uso de radiofrequência, anualmente pela fiscalização do funcionamento das estações e que são provenientes da utilização de posições orbitais.</t>
  </si>
  <si>
    <t>Taxa de Controle e Fiscalização de Produtos Químicos</t>
  </si>
  <si>
    <t>Agrega receitas da taxa pelo exercício do poder de polícia para controle e fiscalização de produtos químicos.</t>
  </si>
  <si>
    <t>Taxa de Controle e Fiscalização Ambiental</t>
  </si>
  <si>
    <t>Agrega as receitas relativas à taxa pelo poder de polícia para controle e fiscalização das atividades potencialmente poluidoras e utilizadoras de recursos naturais.</t>
  </si>
  <si>
    <t>Taxa de Controle e Fiscalização da Pesca e Aquicultura</t>
  </si>
  <si>
    <t>Agrega as receitas relativas à Taxa de Controle e Fiscalização da Pesca e Aquicultura.</t>
  </si>
  <si>
    <t>Taxas pela Prestação de Serviços</t>
  </si>
  <si>
    <t>Agrega receitas que se originaram de taxas pela utilização efetiva ou potencial de serviço público específico e divisível, prestado ao contribuinte ou posto à sua disposição.</t>
  </si>
  <si>
    <t>Emolumentos e Custas Judiciais</t>
  </si>
  <si>
    <t>Agrega o valor da arrecadação de receita de Custas devidas à União em razão da atividade jurisdicional do Estado, na Justiça Federal, bem como aos estados, na Justiça Estadual, com o devido acompanhamento dessas receitas pelo CNJ, de acordo com a Resolução CNJ nº 102/2009. Nas ações cíveis em geral, o valor das custas é calculado como percentual sobre o valor da causa; no caso de ações cíveis com causas de valor inestimável e cumprimento de carta rogatória, ações criminais, arrematação, adjudicação, remição, certidões e cartas de sentenças, o valor é fixo.</t>
  </si>
  <si>
    <t>Taxas - Específicas de Estados, DF e Municípios</t>
  </si>
  <si>
    <t>Agrega as receitas relacionadas às taxas de competência dos Estados, Distrito Federal e Municípios.</t>
  </si>
  <si>
    <t>Agrega as receitas relacionadas às taxas de inspeção, controle e fiscalização de competência dos Estados, Distrito Federal e Municípios.</t>
  </si>
  <si>
    <t>Taxa de Fiscalização de Vigilância Sanitária</t>
  </si>
  <si>
    <t>Agrega as receitas relacionadas às taxas de inspeção, controle e fiscalização de vigilância sanitária, de competência dos Estados, Distrito Federal e Municípios.</t>
  </si>
  <si>
    <t>Taxa de Saúde Suplementar</t>
  </si>
  <si>
    <t>Agrega as receitas relacionadas às taxas de inspeção, controle e fiscalização relativas a saúde suplementar, de competência dos Estados, Distrito Federal e Municípios.</t>
  </si>
  <si>
    <t>Taxas de Inspeção, Controle e Fiscalização - Outras</t>
  </si>
  <si>
    <t>Agrega as receitas relacionadas a outras taxas não especificadas anteriormente relativas a atividades de inspeção, controle e fiscalização de competência dos Estados, Distrito Federal e Municípios.</t>
  </si>
  <si>
    <t>Taxas Judiciais</t>
  </si>
  <si>
    <t>Agrega o valor da arrecadação de receita de Taxas devidas à União em razão da atividade jurisdicional do Estado, na Justiça Federal, bem como aos estados, na Justiça Estadual, com o devido acompanhamento dessas receitas pelo CNJ, de acordo com a Resolução CNJ nº 102/2009.</t>
  </si>
  <si>
    <t>Portaria STN 387, de 13 de Junho de 2019</t>
  </si>
  <si>
    <t>Taxas Extrajudiciais</t>
  </si>
  <si>
    <t>Agrega o valor da arrecadação de receita de taxas relativas a serviços extrajudiciais ligadas à atividade de constrole jurisdicional do Estado, com o devido acompanhamento dessas receitas pelo CNJ, de acordo com a Resolução CNJ nº 102/2009.</t>
  </si>
  <si>
    <t>Taxa de Estudo de Impacto de Vizinhança (EIV)</t>
  </si>
  <si>
    <t>Agrega as receitas relativas à Taxa de Estudo de Impacto de Vizinhança (EIV), estabelecidas conforme a Lei nº 10.257/2001.</t>
  </si>
  <si>
    <t>Taxas pela Prestação de Serviços - Outras</t>
  </si>
  <si>
    <t>Agrega receitas que se originaram de taxas pela utilização efetiva ou potencial de serviço público específico e divisível, prestado ao contribuinte ou posto à sua disposição, não especificadas anteriormente.</t>
  </si>
  <si>
    <t>Contribuição de Melhoria</t>
  </si>
  <si>
    <t>Agrega as receitas relacionadas à contribuição de melhoria, decorrente de obras públicas.</t>
  </si>
  <si>
    <t>Contribuição de Melhoria - Específica de Estados, DF e Municípios</t>
  </si>
  <si>
    <t>Agrega as receitas relacionadas à contribuição de melhoria de competência dos Estados, Distrito Federal e Municípios, decorrente de obras públicas.</t>
  </si>
  <si>
    <t>Contribuição de Melhoria para Expansão da Rede de Água Potável e Esgoto Sanitário</t>
  </si>
  <si>
    <t>Registra o valor da arrecadação de receita de contribuição de melhoria decorrente de valorização de propriedades em função da expansão da rede de água potável e esgoto sanitário.</t>
  </si>
  <si>
    <t>Contribuição de Melhoria para Expansão da Rede de Iluminação Pública na Cidade</t>
  </si>
  <si>
    <t>Registra o valor da arrecadação de receita de contribuição de melhoria decorrente de valorização de propriedades em função da expansão da rede de iluminação pública na cidade.</t>
  </si>
  <si>
    <t>Contribuição de Melhoria para Expansão de Rede de Iluminação Pública Rural</t>
  </si>
  <si>
    <t>Registra o valor da arrecadação de receita sobre a cobrança decorrente de valorização de propriedades em função da expansão da rede de iluminação pública rural.</t>
  </si>
  <si>
    <t>Contribuição de Melhoria para Pavimentação e Obras Complementares</t>
  </si>
  <si>
    <t>Registra o valor da arrecadação de receita de contribuição de melhoria decorrente de valorização de propriedades em função da pavimentação asfáltica, bem como pela colocação de guias, sarjetas e calçamento.</t>
  </si>
  <si>
    <t>Outras Contribuições de Melhoria</t>
  </si>
  <si>
    <t>Registra o valor de outras contribuições de melhorias, não classificadas nos itens anteriores.</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</si>
  <si>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</si>
  <si>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</si>
  <si>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Contribuições Sociais</t>
  </si>
  <si>
    <t>Agrega as receitas originadas de contribuições sociais e de interesse de categorias profissionais ou econômicas</t>
  </si>
  <si>
    <t>Contribuição para Financiamento da Seguridade Social - COFINS</t>
  </si>
  <si>
    <t>Agrega as receitas oriundas da Contribuição para o Financiamento da Seguridade Social sobre o faturamento de pessoas jurídicas ou a elas equiparadas pela legislação do imposto de renda.</t>
  </si>
  <si>
    <t>Contribuição para Financiamento da Seguridade Social - COFINS sobre o Faturamento</t>
  </si>
  <si>
    <t>Agrega as receitas oriundas da Contribuição para o Financiamento da Seguridade
Social sobre o faturamento de pessoas jurídicas ou a elas equiparadas pela legislação
do imposto de renda.</t>
  </si>
  <si>
    <t>Registra receitas originadas da Contribuição para o Financiamento da Seguridade
Social sobre o faturamento das pessoas jurídicas, exclusive as optantes pelo SIMPLES.</t>
  </si>
  <si>
    <t>Contribuição para Financiamento da Seguridade Social - COFINS sobre o Faturamento - SIMPLES</t>
  </si>
  <si>
    <t>Registra receitas originadas da Contribuição para o Financiamento da Seguridade
Social sobre o faturamento das pessoas jurídicas optantes pelo SIMPLES.</t>
  </si>
  <si>
    <t>Contribuição para Financiamento da Seguridade Social - COFINS sobre o Faturamento - Parcelamentos</t>
  </si>
  <si>
    <t>Registra receitas originadas do parcelamento de débitos da Contribuição para o
Financiamento da Seguridade Social sobre o faturamento das pessoas jurídicas ou a
elas equiparadas pela legislação do imposto de renda.</t>
  </si>
  <si>
    <t>Contribuição para o Programa de Integração Social e para Programa de Formação de Patrimônio do Servidor Público PIS/PASEP</t>
  </si>
  <si>
    <t>Agrega as receitas originadas das Contribuições para os Programas de Integração
Social e de Formação do Patrimônio do Servidor Público.</t>
  </si>
  <si>
    <t>Contribuição para o PIS/PASEP</t>
  </si>
  <si>
    <t>Registra receitas originadas das Contribuições para os Programas de Integração
Social e de Formação do Patrimônio do Servidor Público.</t>
  </si>
  <si>
    <t>Portaria SEAFI nº 25, de 24 de Abril de 2019 (SOF)</t>
  </si>
  <si>
    <t>Contribuição para o PIS/PASEP - Contribuintes Não Optantes pelo Simples Nacional</t>
  </si>
  <si>
    <t>Registra receitas originadas das Contribuições para os Programas de Integração
Social e de Formação do Patrimônio do Servidor Público, exclusive as optantes pelo SIMPLES.</t>
  </si>
  <si>
    <t>Contribuição para o PIS/PASEP - Contribuintes Optantes pelo Simples Nacional</t>
  </si>
  <si>
    <t>Registra receitas originadas das Contribuições para os Programas de Integração
Social e de Formação do Patrimônio do Servidor Público sobre optantes pelo SIMPLES.</t>
  </si>
  <si>
    <t>Contribuição para o PIS/PASEP sobre o Faturamento - SIMPLES</t>
  </si>
  <si>
    <t>Registra receitas originadas das Contribuições para os Programas de Integração
Social e de Formação do Patrimônio do Servidor Público sobre o faturamento das
pessoas jurídicas optantes pelo SIMPLES.</t>
  </si>
  <si>
    <t>Contribuição para o PIS/PASEP sobre a Folha de Salários - Templos de Qualquer Culto</t>
  </si>
  <si>
    <t>Registram receitas originadas da Contribuições para os Programas de Integração Social e de Formação do Patrimônio do Servidor Público sobre a folha de salários,
respectivamente, das seguintes entidades: Templos de Qualquer Culto;</t>
  </si>
  <si>
    <t>Contribuição para o PIS/PASEP sobre a Folha de Salários - Partidos Políticos</t>
  </si>
  <si>
    <t>Registram receitas originadas da Contribuições para os Programas de Integração Social e de Formação do Patrimônio do Servidor Público sobre a folha de salários,
respectivamente, das seguintes entidades: Partidos Políticos;</t>
  </si>
  <si>
    <t>Contribuição para o PIS/PASEP sobre a Folha de Salários - Instituições de Educação e de Assistência Social (Art. 12 da Lei nº 9.532, de 1997)</t>
  </si>
  <si>
    <t>Registram receitas originadas da Contribuições para os Programas de Integração Social e de Formação do Patrimônio do Servidor Público sobre a folha de salários,
respectivamente, das seguintes entidades: Instituições de Educação e de Assistência Social (Art. 12 da Lei nº 9.532-1997);</t>
  </si>
  <si>
    <t>Contribuição para o PIS/PASEP sobre a Folha de Salários - Instituições de Caráter Filantrópico, Recreativo, Cultural, Científico e as Associações (Art. 15 da Lei nº 9.532, de 1997)</t>
  </si>
  <si>
    <t>Registram receitas originadas da Contribuições para os Programas de Integração Social e de Formação do Patrimônio do Servidor Público sobre a folha de salários,
respectivamente, das seguintes entidades:Instituições de Caráter Filantrópico, Recreativo, Cultural, Científico e as Associações (Art. 15 da Lei nº 9.532, de 1997)</t>
  </si>
  <si>
    <t>Contribuição para o PIS/PASEP sobre a Folha de Salários - Sindicados, Federações e Confederações</t>
  </si>
  <si>
    <t>Registram receitas originadas da Contribuições para os Programas de Integração Social e de Formação do Patrimônio do Servidor Público sobre a folha de salários,
respectivamente, das seguintes entidades: Sindicados, Federações e Confederações;</t>
  </si>
  <si>
    <t>Contribuição para o PIS/PASEP sobre a Folha de Salários - Serviços Sociais Autônomos</t>
  </si>
  <si>
    <t>Registram receitas originadas da Contribuições para os Programas de Integração Social e de Formação do Patrimônio do Servidor Público sobre a folha de salários,
respectivamente, das seguintes entidades: Serviços Sociais Autônomos;</t>
  </si>
  <si>
    <t>Contribuição para o PIS/PASEP sobre a Folha de Salários - Conselhos de Fiscalização de Profissões Regulamentadas</t>
  </si>
  <si>
    <t>Registram receitas originadas da Contribuições para os Programas de Integração Social e de Formação do Patrimônio do Servidor Público sobre a folha de salários,
respectivamente, das seguintes entidades: Conselhos de Fiscalização de Profissões Regulamentadas;</t>
  </si>
  <si>
    <t>Contribuição para o PIS/PASEP sobre a Folha de Salários - Fundações de Direito Privado</t>
  </si>
  <si>
    <t>Registram receitas originadas da Contribuições para os Programas de Integração Social e de Formação do Patrimônio do Servidor Público sobre a folha de salários,
respectivamente, das seguintes entidades: Fundações de Direito Privado;</t>
  </si>
  <si>
    <t>Contribuição para o PIS/PASEP sobre a Folha de Salários - Condomínio de Proprietários de Imóveis Residenciais ou Comerciais</t>
  </si>
  <si>
    <t>Registram receitas originadas da Contribuições para os Programas de Integração Social e de Formação do Patrimônio do Servidor Público sobre a folha de salários,
respectivamente, das seguintes entidades: Condomínio de Proprietários de Imóveis Residenciais ou Comerciais;</t>
  </si>
  <si>
    <t>Contribuição para o PIS/PASEP sobre a Folha de Salários - Organização das Cooperativas Brasileiras e as Organizações Estaduais de Cooperativas (Lei nº 5.764, de 1971)</t>
  </si>
  <si>
    <t>Registram receitas originadas da Contribuições para os Programas de Integração Social e de Formação do Patrimônio do Servidor Público sobre a folha de salários,
respectivamente, das seguintes entidades: Organização das Cooperativas Brasileiras e as Organizações Estaduais de Cooperativas (Lei nº 5.764, de 1971);</t>
  </si>
  <si>
    <t>Contribuição para o PIS/PASEP - Parcelamentos</t>
  </si>
  <si>
    <t>Agrega as receitas originadas dos parcelamentos de débitos da Contribuição para o
PIS/PASEP.</t>
  </si>
  <si>
    <t>Contribuição Social sobre o Lucro Líquido - CSLL</t>
  </si>
  <si>
    <t>Agrega as receitas originadas da Contribuição Social sobre o Lucro Líquido.</t>
  </si>
  <si>
    <t>Registra receitas originadas da Contribuição Social sobre o Lucro Líquido.</t>
  </si>
  <si>
    <t>Contribuição Social sobre o Lucro Líquido - CSLL - Contribuintes Não Optantes pelo Simples Nacional</t>
  </si>
  <si>
    <t>Registra receitas originadas da Contribuição Social sobre o Lucro Líquido de contribuintes não optantes pelo Simples Nacional.</t>
  </si>
  <si>
    <t>Contribuição Social sobre o Lucro Líquido - CSLL - Contribuintes Optantes pelo Simples Nacional</t>
  </si>
  <si>
    <t>Registra receitas originadas da Contribuição Social sobre o Lucro Líquido de contribuintes optantes pelo Simples Nacional.</t>
  </si>
  <si>
    <t>Contribuição Social sobre o Lucro Líquido - CSLL - Pessoas Jurídicas Não Financeiras</t>
  </si>
  <si>
    <t>Registra receitas originadas da Contribuição Social sobre o Lucro Líquido das
pessoas jurídicas não financeiras.</t>
  </si>
  <si>
    <t>Contribuição Social sobre o Lucro Líquido - CSLL - Entidades Financeiras, de Seguros Privados e de Capitalização</t>
  </si>
  <si>
    <t>Registra receitas originadas da Contribuição Social sobre o Lucro Líquido das
entidades financeiras, de seguros privados e de capitalização.</t>
  </si>
  <si>
    <t>Contribuição Social sobre o Lucro Líquido - CSLL - Parcelamentos</t>
  </si>
  <si>
    <t>Registra receitas originadas do parcelamento de débitos da Contribuição Social sobre o Lucro Líquido.</t>
  </si>
  <si>
    <t>Registra receitas originadas do parcelamento de débitos da Contribuição Social sobre
o Lucro Líquido.</t>
  </si>
  <si>
    <t>Contribuição Social sobre o Lucro Líquido - CSLL - Outros Contribuintes</t>
  </si>
  <si>
    <t>Registra receitas originadas da Contribuição Social sobre o Lucro Líquido dos demais
contribuintes.</t>
  </si>
  <si>
    <t>Contribuições para o Regime Geral de Previdência Social - RGPS</t>
  </si>
  <si>
    <t>Agrega as receitas originadas da Contribuição para o Regime Geral de Previdência
Social.</t>
  </si>
  <si>
    <t>Contribuição Previdenciária do Empregador ou Equiparado</t>
  </si>
  <si>
    <t>Agrega as receitas originadas da Contribuição Previdenciária para o RGPS de empresário ou sociedade que assume o risco de atividade econômica urbana ou rural, com fins lucrativos ou não, bem como dos órgãos e das entidades da administração pública direta, indireta e fundacional. Equipara-se a empresa, para fins previdenciários, o contribuinte individual em relação ao segurado que lhe presta serviço, bem como a cooperativa, associação ou entidade de qualquer natureza ou finalidade, missão diplomática e repartição consular de carreiras estrangeiras.</t>
  </si>
  <si>
    <t>Contribuição Previdenciária do Empregador ou Equiparado - Contribuintes Não Optantes pelo Simples Nacional</t>
  </si>
  <si>
    <t>Registra receitas originadas da Contribuição Previdenciária para o RGPS de: I - empresa: firma individual ou sociedade que assume o risco de atividade econômica urbana ou rural, com fins lucrativos ou não, bem como dos órgãos e das entidades da administração pública direta, indireta e fundacional para contribuintes não optantes pelo Simples Nacional; II - empregador doméstico: a pessoa ou família que admite a seu serviço, sem finalidade lucrativa, empregado doméstico; Equiparam-se a empresa, para fins previdenciários,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t>
  </si>
  <si>
    <t>Contribuição Previdenciária do Empregador ou Equiparado - Contribuintes Optantes pelo Simples Nacional</t>
  </si>
  <si>
    <t>Registra receitas originadas da Contribuição Previdenciária para o RGPS de firma individual ou sociedade que assume o risco de atividade econômica urbana ou rural, com fins lucrativos ou não, para contribuintes optantes pelo Simples Nacional. Equiparam-se a empresa, para fins previdenciários,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t>
  </si>
  <si>
    <t>Contribuição Previdenciária do Segurado</t>
  </si>
  <si>
    <t>Agrega as receitas originadas da Contribuição Previdenciária para o RGPS dos seguintes segurados obrigatórios (Empregado, Empregado Doméstico, Contribuinte Individual, Trabalhador Avulso e Segurado Especial) e facultativos.</t>
  </si>
  <si>
    <t>Registram as receitas originadas da Contribuição Previdenciária para o RGPS dos seguintes segurados obrigatórios (Empregado, Empregado Doméstico, Contribuinte Individual, Trabalhador Avulso e Segurado Especial) e facultativos.</t>
  </si>
  <si>
    <t>Contribuição Previdenciária do Segurado Obrigatório</t>
  </si>
  <si>
    <t>Agrega as receitas originadas da Contribuição Previdenciária para o RGPS dos
segurados obrigatórios.</t>
  </si>
  <si>
    <t>Conbrituição Previdenciária do Empregado</t>
  </si>
  <si>
    <t>Registram as receitas originadas, respectivamente, da Contribuição Previdenciária
para o RGPS dos seguintes segurados obrigatórios: empregado;</t>
  </si>
  <si>
    <t>Conbrituição Previdenciária do Empregado Doméstico</t>
  </si>
  <si>
    <t>Registram as receitas originadas, respectivamente, da Contribuição Previdenciária
para o RGPS dos seguintes segurados obrigatórios: empregado doméstico;</t>
  </si>
  <si>
    <t>Conbrituição Previdenciária do Contribuinte Individual</t>
  </si>
  <si>
    <t>Registram as receitas originadas, respectivamente, da Contribuição Previdenciária
para o RGPS dos seguintes segurados obrigatórios: contribuinte individual;</t>
  </si>
  <si>
    <t>Contribuição Previdenciária do Trabalhador Avulso</t>
  </si>
  <si>
    <t>Registram as receitas originadas, respectivamente, da Contribuição Previdenciária
para o RGPS dos seguintes segurados obrigatórios: trabalhador avulso;</t>
  </si>
  <si>
    <t>Conbrituição Previdenciária do Segurado Especial</t>
  </si>
  <si>
    <t>Registram as receitas originadas, respectivamente, da Contribuição Previdenciária
para o RGPS dos seguintes segurados obrigatórios: segurado especial;</t>
  </si>
  <si>
    <t>Conbrituição Previdenciária do Segurado Facultativo</t>
  </si>
  <si>
    <t>Registra receitas originadas da Contribuição Previdenciária para o RGPS dos
segurados facultativos.</t>
  </si>
  <si>
    <t>Contribuições para o Regime Geral de Previdência Social - RGPS - Parcelamentos</t>
  </si>
  <si>
    <t>Registra receitas originadas do parcelamento de débitos da Contribuição
Previdenciária para o RGPS.</t>
  </si>
  <si>
    <t>Contribuição para o Plano de Seguridade Social do Servidor Público - CPSSS</t>
  </si>
  <si>
    <t>Agrega as receitas provenientes da Contribuição para o Plano de Seguridade Social do Servidor Público, recolhidas dos servidores, da União, das Autarquias e das Fundações.</t>
  </si>
  <si>
    <t>CPSSS - Servidor Civil</t>
  </si>
  <si>
    <t>Agrega as receitas provenientes da Contribuição para o Plano de Seguridade Social do Servidor Público, recolhidas dos servidores.</t>
  </si>
  <si>
    <t>CPSSS - Servidor Civil Ativo</t>
  </si>
  <si>
    <t>Registram as receitas provenientes da Contribuição para o Plano de Seguridade Social do Servidor Público, recolhidas, dos servidores civis ativos.</t>
  </si>
  <si>
    <t>CPSSS - Servidor Civil Inativo</t>
  </si>
  <si>
    <t>Registram as receitas provenientes da Contribuição para o Plano de Seguridade Social do Servidor Público, recolhidas, dos servidores civis inativos.</t>
  </si>
  <si>
    <t>CPSSS - Servidor Civil - Pensionistas</t>
  </si>
  <si>
    <t>Registram as receitas provenientes da Contribuição para o Plano de Seguridade Social do Servidor Público, recolhidas, dos pensionistas civis - servdiores públicos.</t>
  </si>
  <si>
    <t>CPSSS Oriunda de Sentenças Judiciais - Servidor Civil Ativo</t>
  </si>
  <si>
    <t>Registram as receitas provenientes da Contribuição para o Plano de Seguridade Social do Servidor Público, recolhidas, oriundas de sentenças judiciais, dos servidores civis ativos.</t>
  </si>
  <si>
    <t>CPSSS Oriunda de Sentenças Judiciais - Servidor Civil Inativo</t>
  </si>
  <si>
    <t>Registram as receitas provenientes da Contribuição para o Plano de Seguridade Social do Servidor Público, recolhidas, oriundas de sentenças judiciais, dos servidores civis inativos.</t>
  </si>
  <si>
    <t>CPSSS Oriunda de Sentenças Judiciais - Servidor Civil - Pensionistas</t>
  </si>
  <si>
    <t>Registram as receitas provenientes da Contribuição para o Plano de Seguridade Social do Servidor Público, recolhidas, oriundas de sentenças judiciais, dos pensionistas civis - servdiores públicos.</t>
  </si>
  <si>
    <t>CPSSS Patronal</t>
  </si>
  <si>
    <t>Agrega as receitas provenientes da Contribuição para o Plano de Seguridade Social do Servidor Público, recolhidas pela União, Autarquias e Fundações.</t>
  </si>
  <si>
    <t>CPSSS Patronal - Servidor Civil</t>
  </si>
  <si>
    <t>Registram as receitas provenientes da Contribuição para o Plano de Seguridade Social do Servidor Público, recolhidas, respectivamente, das entidades patronais (União, Autarquias e Fundações).</t>
  </si>
  <si>
    <t>CPSSS Oriunda de Sentenças Judiciais - Patronal - Servidor Civil</t>
  </si>
  <si>
    <t>Registram as receitas provenientes da Contribuição para o Plano de Seguridade Social do Servidor Público, recolhidas, respectivamente, das entidades patronais (União, Autarquias e Fundações) em virtude de sentenças judiciais.</t>
  </si>
  <si>
    <t>CPSSS - Parcelamentos</t>
  </si>
  <si>
    <t>Agrega as receitas provenientes dos parcelamentos de débitos da Contribuição para o Plano de Seguridade Social do Servidor Público.</t>
  </si>
  <si>
    <t>Contribuição para Fundos de Assistência Médica</t>
  </si>
  <si>
    <t>Agrega as receitas originadas da contribuição para assistência médico-hospitalar dos Policiais Militares e do Corpo de Bombeiros Militar do Distrito Federal e dos estados.</t>
  </si>
  <si>
    <t>Contribuição para Fundos de Assistência Médica - Policiais Militares</t>
  </si>
  <si>
    <t>Registra as receitas originadas de recursos que integram o Fundo de Saúde da Polícia Militar do Distrito Federal e dos estados, destinado ao atendimento médico-hospitalar, médicodomiciliar, odontológico, psicológico e social do militar, seus dependentes e pensionistas.</t>
  </si>
  <si>
    <t>Contribuição para Fundos de Assistência Médica - Policiais Militares - Parcelamentos</t>
  </si>
  <si>
    <t>Registra as receitas originadas do parcelamento de débitos da contribuição que integra o Fundo de Saúde da Polícia Militar do Distrito Federal e dos estados, destinado ao atendimento médico-hospitalar, médico-domiciliar, odontológico, psicológico e social do militar, seus dependentes e pensionistas.</t>
  </si>
  <si>
    <t>Contribuição para Fundos de Assistência Médica - Bombeiros Militares</t>
  </si>
  <si>
    <t>Registra as receitas da contribuição para a Assistência Médico-Hospitalar dos Bombeiros Militares do Distrito Federal e dos estados.</t>
  </si>
  <si>
    <t>Contribuição para Fundos de Assistência Médica - Bombeiros Militares - Parcelamentos</t>
  </si>
  <si>
    <t>Registra as receitas oriundas do parcelamento de débitos da contribuição para a Assistência Médico-Hospitalar dos Bombeiros Militares do Distrito Federal e dos estados.</t>
  </si>
  <si>
    <t>Contribuição para Fundos de Assistência Médica - Servidores Civis</t>
  </si>
  <si>
    <t>Registra as receitas originadas de recursos que integram o Fundo de Saúde de Assistência Médica, destinado ao atendimento médico-hospitalar, médico-domiciliar, odontológico, psicológico e social dos servidores civis.</t>
  </si>
  <si>
    <t>Contribuição para Fundos de Assistência Médica - Servidores Civis - Parcelamentos</t>
  </si>
  <si>
    <t>Registra as receitas originadas do parcelamento de débitos da contribuição que integra o Fundo de Saúde de Assistência Médica, destinado ao atendimento médico-hospitalar, médico-domiciliar, odontológico, psicológico e social dos servidores civis.</t>
  </si>
  <si>
    <t>Contribuição para Fundos de Assistência Médica - Outros Beneficiários</t>
  </si>
  <si>
    <t>Registra as receitas originadas de recursos que integram o Fundo de Saúde de Assistência Médica, destinado ao atendimento médico-hospitalar, médico-domiciliar, odontológico, psicológico e social de outros beneficiários não citados nas naturezas de receitas específicas.</t>
  </si>
  <si>
    <t>Registra as receitas originadas de recursos que integram o Fundo de Saúde de Assistência Médica, destinado ao atendimento médico-hospitalar, médico-domiciliar, odontológico, psicológico e social de outros beneficiários não citadas nas naturezas de receitas específicas.</t>
  </si>
  <si>
    <t>Contribuição para Fundos de Assistência Médica - Outros Beneficiários - Parcelamentos</t>
  </si>
  <si>
    <t>Registra as receitas originadas do parcelamento de débitos da contribuição que integra o Fundo de Saúde de Assistência Médica, destinado ao atendimento médicohospitalar, médico-domiciliar, odontológico, psicológico e social de outros beneficiários não citadas nas naturezas de receitas específicas.</t>
  </si>
  <si>
    <t>Contribuições sobre Concursos de Prognósticos e Sorteios</t>
  </si>
  <si>
    <t>Agrega as receitas originadas das Contribuições de Concursos de Prognósticos, tais
como Loteria Federal, Loteria Esportiva, Loterias de Números, Timemania e outros
sorteios.</t>
  </si>
  <si>
    <t>Contribuição sobre a Loteria Federal</t>
  </si>
  <si>
    <t>Registra as receitas das Contribuições sobre os Concursos da Loteria Federal.</t>
  </si>
  <si>
    <t>Contribuição sobre a Loteria Federal - Parcelamentos</t>
  </si>
  <si>
    <t>Registra as receitas de parcelamento das Contribuições sobre os Concursos da Loteria
Federal.</t>
  </si>
  <si>
    <t>Contribuição sobre Loterias Esportivas</t>
  </si>
  <si>
    <t>Registra as receitas das Contribuições sobre os Concursos de Loterias Esportivas.</t>
  </si>
  <si>
    <t>Contribuição sobre Loterias Esportivas - Parcelamentos</t>
  </si>
  <si>
    <t>Registra as receitas de parcelamento das Contribuições sobre os Concursos de
Loterias Esportivas.</t>
  </si>
  <si>
    <t>Contribuição sobre Concursos Especiais de Loterias Esportivas</t>
  </si>
  <si>
    <t>Registra a receita da contribuição sobre concurso de prognóstico esportivo, realizado
pela Caixa Econômica Federal, e que, excepcionalmente, repassa para a Cruz Vermelha
a renda líquida auferida para a Cruz Vermelha Brasileira, nos termos da Lei nº 6.905,
de 11 de maio de 1981, art. 2º.</t>
  </si>
  <si>
    <t>Registra a receita da contribuição sobre concurso de prognóstico esportivo, realizado pela Caixa Econômica Federal, e que, excepcionalmente, repassa para a Cruz Vermelha a renda líquida auferida para a Cruz Vermelha Brasileira, nos termos da Lei nº 6.905, de 11 de maio de 1981, art. 2º.</t>
  </si>
  <si>
    <t>Contribuição sobre Concursos Especiais de Loterias Esportivas - Parcelamentos</t>
  </si>
  <si>
    <t>Registra a receita de parcelamento da contribuição sobre concurso de prognóstico
esportivo, realizado pela Caixa Econômica Federal, e que, excepcionalmente, repassa
para a Cruz Vermelha a renda líquida auferida para a Cruz Vermelha Brasileira, nos
termos da Lei nº 6.905, de 11 de maio de 1981, art. 2º.</t>
  </si>
  <si>
    <t>Contribuição sobre Loterias de Números</t>
  </si>
  <si>
    <t>Registra a receita da Contribuição sobre Loterias de Números.</t>
  </si>
  <si>
    <t>Contribuição sobre Loterias de Números - Parcelamentos</t>
  </si>
  <si>
    <t>Registra a receita de parcelamento da Contribuição sobre Loterias de Números.</t>
  </si>
  <si>
    <t>Contribuição sobre a Loteria Instantânea</t>
  </si>
  <si>
    <t>Registra as receitas da Contribuição sobre a Loteria Instantânea.</t>
  </si>
  <si>
    <t>Contribuição sobre a Loteria Instantânea - Parcelamentos</t>
  </si>
  <si>
    <t>Contribuição sobre Concursos de Prognósticos - Modalidade Futebol</t>
  </si>
  <si>
    <t>Registra as receitas da contribuição sobre Concurso de Prognóstico Específico
destinado ao Desenvolvimento da Prática Desportiva – Timemania.</t>
  </si>
  <si>
    <t>Contribuição sobre Concursos de Prognósticos - Modalidade Futebol - Parcelamentos</t>
  </si>
  <si>
    <t>Contribuições Sociais Específicas de Estados, DF e Municípios</t>
  </si>
  <si>
    <t>Agrega as contribuiçoes sociais e de interesse das categorias profissionais ou econômicas, de arrecadação específica de Estados, DF e Municípios.</t>
  </si>
  <si>
    <t>Contribuição do Servidor Civil para o Plano de Seguridade Social - CPSSS - Específico de EST/DF/MUN</t>
  </si>
  <si>
    <t>Agrega a receita de contribuição dos servidores públicos e pensionistas civis correlatos dos Estados, DF e Municípios para o custeio do Plano de Seguridade Social do Serviço Público.</t>
  </si>
  <si>
    <t>CPSSS do Servidor Civil Ativo</t>
  </si>
  <si>
    <t>Agrega o valor da arrecadação da receita de contribuições previdenciárias dos servidores civis ativos para institutos de previdência social.</t>
  </si>
  <si>
    <t>CPSSS do Servidor Civil Inativo</t>
  </si>
  <si>
    <t>Agrega o valor da arrecadação da receita de contribuições previdenciárias dos servidores civis inativos para institutos de previdência social.</t>
  </si>
  <si>
    <t>CPSSS do Servidor Civil - Pensionistas</t>
  </si>
  <si>
    <t>Agrega o valor da arrecadação da receita de contribuições previdenciárias dos pensionistas civis públicos para institutos de previdência social.</t>
  </si>
  <si>
    <t>Agrega o valor da arrecadação da receita de contribuições previdenciárias oriunda de sentenças judiciais relativas a servidores civis ativos para institutos de previdência social.</t>
  </si>
  <si>
    <t>Agrega o valor da arrecadação da receita de contribuições previdenciárias oriunda de sentenças judiciais relativas a servidores civis inativos para institutos de previdência social.</t>
  </si>
  <si>
    <t>Agrega o valor da arrecadação da receita de contribuições previdenciárias oriunda de sentenças judiciais relativas a pensionistas civis públicos para institutos de previdência social.</t>
  </si>
  <si>
    <t>CPSSS - Parcelamentos - Específico de EST/DF/MUN</t>
  </si>
  <si>
    <t>Agrega a receita de parcelamentos de contribuição dos servidores públicos e pensionistas civis correlatos dos Estados, DF e Municípios para o custeio do Plano de Seguridade Social do Serviço Público.</t>
  </si>
  <si>
    <t>CPSSS  - Parcelamentos - do Servidor Civil Ativo</t>
  </si>
  <si>
    <t>Agrega o valor da arrecadação por meio de parcelamento da receita de contribuições previdenciárias dos servidores civis ativos para institutos de previdência social.</t>
  </si>
  <si>
    <t>CPSSS  - Parcelamentos - do Servidor Civil Inativo</t>
  </si>
  <si>
    <t>Agrega o valor da arrecadação por meio de parcelamento da receita de contribuições previdenciárias dos servidores civis inativos para institutos de previdência social.</t>
  </si>
  <si>
    <t>CPSSS  - Parcelamentos - Pensionistas</t>
  </si>
  <si>
    <t>Agrega o valor da arrecadação por meio de parcelamento da receita de contribuições previdenciárias dos pensionistas civis públicos para institutos de previdência social.</t>
  </si>
  <si>
    <t>CPSSS  - Parcelamentos - Oriunda de Sentenças Judiciais - Servidor Civil Ativo</t>
  </si>
  <si>
    <t>Agrega o valor da arrecadação por meio de parcelamento da receita de contribuições previdenciárias oriunda de sentenças judiciais relativas a servidores civis ativos para institutos de previdência social.</t>
  </si>
  <si>
    <t>CPSSS  - Parcelamentos - Oriunda de Sentenças Judiciais - Servidor Civil Inativo</t>
  </si>
  <si>
    <t>Agrega o valor da arrecadação por meio de parcelamento da receita de contribuições previdenciárias oriunda de sentenças judiciais relativas a servidores civis inativos para institutos de previdência social.</t>
  </si>
  <si>
    <t>CPSSS  - Parcelamentos - Oriunda de Sentenças Judiciais - Servidor Civil - Pensionistas</t>
  </si>
  <si>
    <t>Agrega o valor da arrecadação por meio de parcelamento da receita de contribuições previdenciárias oriunda de sentenças judiciais relativas a pensionistas civis públicos para institutos de previdência social.</t>
  </si>
  <si>
    <t>CPSSS Patronal - Servidor Civil - Específico de EST/DF/MUN</t>
  </si>
  <si>
    <t>Agrega a receita de contribuição dos entes, específica para Estados, DF e Municípios, bem como seus órgãos e entidades obrigadas, para o custeio do Plano de Seguridade Social do Serviço Público.</t>
  </si>
  <si>
    <t>CPSSS Patronal - Servidor Civil Ativo</t>
  </si>
  <si>
    <t>Agrega o valor da arrecadação da receita de contribuições patronais relativas aos servidores civis ativos para institutos de previdência social.</t>
  </si>
  <si>
    <t>CPSSS Patronal - Servidor Civil Inativo</t>
  </si>
  <si>
    <t>Agrega o valor da arrecadação da receita de contribuições patronais relativas aos servidores civis inativos para institutos de previdência social.</t>
  </si>
  <si>
    <t>CPSSS Patronal - Servidor Civil - Pensionistas</t>
  </si>
  <si>
    <t>Agrega o valor da arrecadação da receita de contribuições patronais relativas aos pensionistas civis públicos para institutos de previdência social.</t>
  </si>
  <si>
    <t>CPSSS Patronal - Oriunda de Sentenças Judiciais - Servidor Civil Ativo</t>
  </si>
  <si>
    <t>Agrega o valor da arrecadação da receita de contribuições patronais oriundas de sentenças judiciais relativas aos servidores civis ativos para institutos de previdência social.</t>
  </si>
  <si>
    <t>CPSSS Patronal - Oriunda de Sentenças Judiciais - Servidor Civil Inativo</t>
  </si>
  <si>
    <t>Agrega o valor da arrecadação da receita de contribuições patronais oriundas de sentenças judiciais relativas aos servidores civis inativos para institutos de previdência social.</t>
  </si>
  <si>
    <t>CPSSS Patronal - Oriunda de Sentenças Judiciais - Servidor Civil - Pensionistas</t>
  </si>
  <si>
    <t>Agrega o valor da arrecadação da receita de contribuições patronais oriundas de sentenças judiciais relativas aos pensionistas civis públicos para institutos de previdência social.</t>
  </si>
  <si>
    <t>CPSSS Patronal - Parcelamentos - Específico de EST/DF/MUN</t>
  </si>
  <si>
    <t>Agrega a receita de parcelamentos de contribuição dos entes, específica para Estados, DF e Municípios, bem como seus órgãos e entidades obrigadas, para o custeio do Plano de Seguridade Social do Serviço Público.</t>
  </si>
  <si>
    <t>CPSSS Patronal - Parcelamentos - Servidor Civil Ativo</t>
  </si>
  <si>
    <t>Agrega o valor da arrecadação por meio de parcelamento da receita de contribuições patronais relativas aos servidores civis ativos para institutos de previdência social.</t>
  </si>
  <si>
    <t>CPSSS Patronal - Parcelamentos - Servidor Civil Inativo</t>
  </si>
  <si>
    <t>Agrega o valor da arrecadação por meio de parcelamento da receita de contribuições patronais relativas aos servidores civis inativos para institutos de previdência social.</t>
  </si>
  <si>
    <t>CPSSS Patronal - Parcelamentos - Servidor Civil - Pensionistas</t>
  </si>
  <si>
    <t>Agrega o valor da arrecadação por meio de parcelamento da receita de contribuições patronais relativas aos pensionistas civis públicos para institutos de previdência social.</t>
  </si>
  <si>
    <t>CPSSS Patronal - Parcelamentos - Oriunda de Sentenças Judiciais - Servidor Civil Ativo</t>
  </si>
  <si>
    <t>Agrega o valor da arrecadação por meio de parcelamento da receita de contribuições patronais oriundas de sentenças judiciais relativas aos servidores civis ativos para institutos de previdência social.</t>
  </si>
  <si>
    <t>CPSSS Patronal - Parcelamentos - Oriunda de Sentenças Judiciais - Servidor Civil Inativo</t>
  </si>
  <si>
    <t>Agrega o valor da arrecadação por meio de parcelamento da receita de contribuições patronais oriundas de sentenças judiciais relativas aos servidores civis inativos para institutos de previdência social.</t>
  </si>
  <si>
    <t>CPSSS Patronal - Parcelamentos - Oriunda de Sentenças Judiciais - Servidor Civil - Pensionistas</t>
  </si>
  <si>
    <t>Agrega o valor da arrecadação por meio de parcelamento da receita de contribuições patronais oriundas de sentenças judiciais relativas aos pensionistas civis públicos para institutos de previdência social.</t>
  </si>
  <si>
    <t>Contribuição dos Militares e Pensionistas para o Sistema de Proteção Social dos Militares - SPSM de Estados e DF</t>
  </si>
  <si>
    <t>Agrega a receita de contribuição dos militares e pensionistas militares dos Estados e DF para o custeio do Sistema de Proteção Social dos Militares.</t>
  </si>
  <si>
    <t>Emenda Constitucional nº 103/2019.</t>
  </si>
  <si>
    <t>Contribuição para o SPSM - Militar Ativo</t>
  </si>
  <si>
    <t>Agrega o valor da arrecadação da receita de contribuições dos militares ativos para custeio do Sistema de Proteção Social dos Militares.</t>
  </si>
  <si>
    <t>Contribuição para o SPSM - Militar Inativo</t>
  </si>
  <si>
    <t>Agrega o valor da arrecadação da receita de contribuições dos militares inativos para o custeio do Sistema de Proteção Social dos Militares.</t>
  </si>
  <si>
    <t>Contribuição para o SPSM - Pensionistas Militares</t>
  </si>
  <si>
    <t>Agrega o valor da arrecadação da receita de contribuições dos pensionistas militares para o custeio do Sistema de Proteção Social dos Militares.</t>
  </si>
  <si>
    <t>Contribuição dos Militares e Pensionistas para o Sistema de Proteção Social dos Militares - SPSM - Parcelamentos - de EST/DF/MUN</t>
  </si>
  <si>
    <t>Agrega a receita de parcelamentos de contribuição dos militares e pensionistas correlatos para o custeio do Sistema de Proteção Social dos Militares.</t>
  </si>
  <si>
    <t>Contribuição para o SPSM - Parcelamentos - Militar Ativo</t>
  </si>
  <si>
    <t>Agrega o valor da arrecadação por meio de parcelamento da receita de contribuições dos militares ativos para o custeio do Sistema de Proteção Social dos Militares.</t>
  </si>
  <si>
    <t>Contribuição para o SPSM - Parcelamentos - Militar Inativo</t>
  </si>
  <si>
    <t>Agrega o valor da arrecadação por meio de parcelamento da receita de contribuições dos militares inativos para o custeio do Sistema de Proteção Social dos Militares.</t>
  </si>
  <si>
    <t>Contribuição para o SPSM - Parcelamentos - Pensionistas Militares</t>
  </si>
  <si>
    <t>Agrega o valor da arrecadação por meio de parcelamento da receita de contribuições dos pensionistas militares para o custeio do Sistema de Proteção Social dos Militares.</t>
  </si>
  <si>
    <t>Contribuição Patronal para o Sistema de Proteção Social dos Militares - SPSM de Estados e DF</t>
  </si>
  <si>
    <t>Agrega a receita de contribuição dos entes, específica dos Estados e DF, para o custeio do Sistema de Proteção Social dos Militares.</t>
  </si>
  <si>
    <t>Contribuição Patronal para o SPSM - Militar Ativo</t>
  </si>
  <si>
    <t>Agrega o valor da arrecadação da receita de contribuições patronais relativas aos militares ativos para o custeio do Sistema de Proteção Social dos Militares.</t>
  </si>
  <si>
    <t>Contribuição Patronal para o SPSM - Militar Inativo</t>
  </si>
  <si>
    <t>Agrega o valor da arrecadação da receita de contribuições patronais relativas aos militares inativos para o custeio do Sistema de Proteção Social dos Militares.</t>
  </si>
  <si>
    <t>Contribuição Patronal para o SPSM - Pensionistas Militares</t>
  </si>
  <si>
    <t>Agrega o valor da arrecadação da receita de contribuições patronais relativas aos pensionistas militares para o custeio do Sistema de Proteção Social dos Militares.</t>
  </si>
  <si>
    <t>Contribuição Patronal para o Sistema de Proteção Social dos Militares - SPSM - Parcelamentos - de Estados e DF</t>
  </si>
  <si>
    <t>Agrega a receita de parcelamentos de contribuição dos entes, específica dos Estados e DF, para o custeio do Sistema de Proteção Social dos Militares.</t>
  </si>
  <si>
    <t>Contribuição Patronal - Parcelamentos - para o SPSM - Militar Ativo</t>
  </si>
  <si>
    <t>Agrega o valor da arrecadação por meio de parcelamento da receita de contribuições patronais relativas aos militares ativos para o custeio do Sistema de Proteção Social dos Militares.</t>
  </si>
  <si>
    <t>Contribuição Patronal - Parcelamentos - para o SPSM - Militar Inativo</t>
  </si>
  <si>
    <t>Agrega o valor da arrecadação por meio de parcelamento da receita de contribuições patronais relativas aos militares inativos para o custeio do Sistema de Proteção Social dos Militares.</t>
  </si>
  <si>
    <t>Contribuição Patronal - Parcelamentos - para o SPSM - Pensionistas Militares</t>
  </si>
  <si>
    <t>Agrega o valor da arrecadação por meio de parcelamento da receita de contribuições patronais relativas aos pensionistas militares para o custeio do Sistema de Proteção Social dos Militares.</t>
  </si>
  <si>
    <t>Outras Contribuições Sociais</t>
  </si>
  <si>
    <t>Agrega as receitas originadas de outras Contribuições Sociais não incluídas nos
códigos de natureza de receita anteriores.</t>
  </si>
  <si>
    <t>Contribuição sobre Sorteios Realizados por Entidades Filantrópicas</t>
  </si>
  <si>
    <t>Registra as receitas originadas da contribuição devida sobre sorteios realizados por
Entidades Filantrópicas.</t>
  </si>
  <si>
    <t>Contribuição sobre Sorteios Realizados por Entidades Filantrópicas - Parcelamentos</t>
  </si>
  <si>
    <t>Registra as receitas originadas do parcelamento de débitos da contribuição devida sobre sorteios realizados por Entidades Filantrópicas.</t>
  </si>
  <si>
    <t>Cota-Parte da Contribuição Sindical</t>
  </si>
  <si>
    <t>Registra as receitas que se originaram da cota-parte dos recursos arrecadados a título de contribuição sindical. Consiste da parcela de que trata o art. 4º da Lei nº 9.322, de 1996, uma vez que o restante da contribuição em questão não tramita pelo orçamento.</t>
  </si>
  <si>
    <t>Cota-Parte da Contribuição Sindical - Parcelamentos</t>
  </si>
  <si>
    <t>Registra as receitas que se originaram do parcelamento de débitos da cota-parte dos
recursos arrecadados a título de contribuição sindical. Consiste da parcela de que trata o art. 4º da Lei nº 9.322, de 1996, uma vez que o restante da contribuição em questão não tramita pelo orçamento.</t>
  </si>
  <si>
    <t>Contribuições Referentes ao Fundo de Garantia do Tempo de Serviço - FGTS</t>
  </si>
  <si>
    <t>Agrega as receitas originadas da contribuição devida pelos empregadores em caso de
despedida de empregado sem justa causa, bem como da contribuição sobre a
remuneração devida ao trabalhador</t>
  </si>
  <si>
    <t>Contribuição Relativa à Despedida de Empregado sem Justa Causa</t>
  </si>
  <si>
    <t>Registra as receitas originadas da contribuição devida pelos empregadores em caso de despedida de empregado sem justa causa.</t>
  </si>
  <si>
    <t>Contribuição sobre a Remuneração Devida ao Trabalhador</t>
  </si>
  <si>
    <t>Registra as receitas da contribuição sobre a remuneração devida ao trabalhador,
correspondentes ao adicional da contribuição social de 8%, devida pelo empregador,
determinada pela aplicação da alíquota de 0,5% sobre a base de cálculo especificada
nos §§ 2º e 3º do Decreto nº 3.914, de 11 de setembro de 2001 (total da remuneração
mensal), perfazendo uma alíquota total de 8,5%.</t>
  </si>
  <si>
    <t>Contribuições Referentes ao Fundo de Garantia do Tempo de Serviço - FGTS - Parcelamentos</t>
  </si>
  <si>
    <t>Agrega as receitas originadas do parcelamento de débitos da contribuição devida
pelos empregadores em caso de despedida de empregado sem justa causa, bem como
da contribuição sobre a remuneração devida ao trabalhador.</t>
  </si>
  <si>
    <t>Contribuição Social do Salário-Educação</t>
  </si>
  <si>
    <t>Registra as receitas que se originaram da Contribuição Social do Salário-Educação,
recolhida pelas Empresas calculada com base em alíquota incidente sobre a
remuneração paga ou creditada, a qualquer título, aos segurados empregados.</t>
  </si>
  <si>
    <t>Contribuição Social do Salário-Educação - Parcelamentos</t>
  </si>
  <si>
    <t>Registra as receitas que se originaram do parcelamento de débitos da Contribuição
Social do Salário-Educação, recolhida pelas Empresas calculada com base em alíquota incidente sobre a remuneração paga ou creditada, a qualquer título, aos segurados empregados.</t>
  </si>
  <si>
    <t>Contribuição para o Ensino Aeroviário</t>
  </si>
  <si>
    <t>Registra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</si>
  <si>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 xml:space="preserve">Registra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 </t>
  </si>
  <si>
    <t>Contribuição para o Ensino Aeroviário - Parcelamentos</t>
  </si>
  <si>
    <t>Registra as receitas que se originaram do parcelamento de débitos da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</si>
  <si>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Contribuição para o Desenvolvimento do Ensino Profissional Marítimo</t>
  </si>
  <si>
    <t>Registra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</si>
  <si>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Contribuição para o Desenvolvimento do Ensino Profissional Marítimo - Parcelamentos</t>
  </si>
  <si>
    <t>Registra receitas que se originaram do parcelamento de débitos da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</si>
  <si>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Contribuição sobre a Arrecadação dos Fundos de Investimentos Regionais</t>
  </si>
  <si>
    <t>Receita oriunda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</si>
  <si>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Contribuição sobre a Arrecadação dos Fundos de Investimentos Regionais - Parcelamentos</t>
  </si>
  <si>
    <t>Receita oriunda do parcelamento de débitos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</si>
  <si>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Contribuição Industrial Rural</t>
  </si>
  <si>
    <t>Registra as receitas oriundas de contribuições pagas por produtores rurais.</t>
  </si>
  <si>
    <t>Contribuição Industrial Rural - Parcelamentos</t>
  </si>
  <si>
    <t>Registra as receitas oriundas do parcelamento de débitos das contribuições pagas por produtores rurais.</t>
  </si>
  <si>
    <t>Adicional à Contribuição Previdenciária Rural</t>
  </si>
  <si>
    <t>Registra as receitas oriundas de adicional de 2,6% sobre o total de salários pagos, a título de contribuição previdenciária devido pelos empregadores rurais.</t>
  </si>
  <si>
    <t>Adicional à Contribuição Previdenciária Rural - Parcelamentos</t>
  </si>
  <si>
    <t>Registra as receitas oriundas do parcelamento de débitos de adicional de 2,6% sobre o total de salários pagos, a título de contribuição previdenciária devido pelos empregadores rurais.</t>
  </si>
  <si>
    <t>Contribuição sobre Movimentação ou Transmissão de Valores e de Créditos e Direitos de Natureza Financeira</t>
  </si>
  <si>
    <t>Registra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</si>
  <si>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Registra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</si>
  <si>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Contribuição sobre Movimentação ou Transmissão de Valores e de Créditos e Direitos de Natureza Financeira - Parcelamentos</t>
  </si>
  <si>
    <t>Registra valores relativos ao parcelamento de débitos da contribuição provisória
sobre movimentação ou transmissão de valores e de créditos e direitos de natureza
financeira, prevista nos arts. 74, 75 e 80, inciso I, do Ato das Disposições
Constitucionais Transitórias, cobrada até 31 de dezembro de 2007.</t>
  </si>
  <si>
    <t>Contribuição para Custeio das Pensões Militares das Forças Armadas</t>
  </si>
  <si>
    <t>Registra receitas originadas da contribuição paga por militares das Forças Armadas
para o custeio das Pensões Militares.</t>
  </si>
  <si>
    <t>Contribuição para Custeio das Pensões Militares das Forças Armadas - Parcelamentos</t>
  </si>
  <si>
    <t>Registra receitas originadas do parcelamento de débitos da contribuição paga por
militares das Forças Armadas para o custeio das Pensões Militares.</t>
  </si>
  <si>
    <t>Demais Contribuições Sociais</t>
  </si>
  <si>
    <t>Registra quaisquer outras contribuições sociais que não se enquadrem nos itens
anteriores.</t>
  </si>
  <si>
    <t>Demais Contribuições Sociais - Parcelamentos</t>
  </si>
  <si>
    <t>Registra o parcelamento de débitos de quaisquer outras contribuições sociais que não se enquadrem nos itens anteriores.</t>
  </si>
  <si>
    <t>Contribuições Econômicas</t>
  </si>
  <si>
    <t>Agrega as receitas originadas de Contribuições de Intervenção no Domínio Econômico - CIDE. O art. 149 da Constituição dispõe que compete exclusivamente à União instituir contribuições sociais, de intervenção no domínio econômico e de interesse das categorias profissionais ou econômicas, como instrumento de sua atuação nas respectivas áreas.</t>
  </si>
  <si>
    <t>Contribuições para o Programa de Integração Nacional - PIN e para o Programa de Redistribuição de Terras e de Estímulo à Agroindústria do Norte e do Nordeste - PROTERRA</t>
  </si>
  <si>
    <t>Agrega as receitas originadas das contribuições para o Programa de Integração Nacional - PIN, e para o Programa de Redistribuição de Terras e de Estímulo à Agroindústria do Norte e do Nordeste - PROTERRA.</t>
  </si>
  <si>
    <t>Contribuição para o Programa de Integração Nacional - PIN</t>
  </si>
  <si>
    <t>Agrega as receitas originadas das contribuições para o Programa de Integração Nacional - PIN.</t>
  </si>
  <si>
    <t>Contribuição para o Programa de Redistribuição de Terras e de Estímulo à Agroindústria do Norte e do Nordeste - PROTERRA</t>
  </si>
  <si>
    <t>Agrega as receitas originadas das contribuições para o Programa de Redistribuição de Terras e de Estímulo à Agroindústria do Norte e do Nordeste - PROTERRA.</t>
  </si>
  <si>
    <t>Contribuição de Lojas Francas, Entrepostos Aduaneiros e Depósitos Alfandegários</t>
  </si>
  <si>
    <t>Agrega as receitas relativas às contribuições para o Fundo de Desenvolvimento e Aperfeiçoamento das Atividades de Fiscalização - FUNDAF.</t>
  </si>
  <si>
    <t>Agrega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</si>
  <si>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Contribuição sobre Apostas em Competições Hípicas</t>
  </si>
  <si>
    <t>Agrega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</si>
  <si>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Contribuição para o Desenvolvimento da Indústria Cinematográfica Nacional - CONDECINE</t>
  </si>
  <si>
    <t>Agrega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</si>
  <si>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Cota-Parte do Adicional ao Frete para a Renovação da Marinha Mercante - AFRMM</t>
  </si>
  <si>
    <t>Agrega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</si>
  <si>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Contribuição sobre as Receitas de Concessionárias e Permissionárias de Energia Elétrica</t>
  </si>
  <si>
    <t>Agrega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</si>
  <si>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Contribuição pela Licença de Uso, Aquisição ou Transferência de Tecnologia - CIDE - Remessas ao Exterior</t>
  </si>
  <si>
    <t>Agrega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</si>
  <si>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Contribuição Relativa às Atividades de Importação e Comercialização de Petróleo e seus Derivados, Gás Natural e Álcool Carburante - CIDE Combustíveis</t>
  </si>
  <si>
    <t>Agrega as receitas originadas da Contribuição de Intervenção no Domínio Econômico relativa às atividades de comercialização e de importação de petróleo e seus derivados, gás natural e álcool carburante - CIDE Combustíveis.</t>
  </si>
  <si>
    <t>Contribuição de Intervenção no Domínio Econômico - CIDE-Combustíveis - Importação</t>
  </si>
  <si>
    <t>Agrega as receitas originadas da Contribuição relativa às atividades de comercialização e de importação de petróleo e seus derivados, gás natural e álcool carburante - CIDE Combustíveis - Importação.</t>
  </si>
  <si>
    <t>Contribuição de Intervenção no Domínio Econômico - CIDE-Combustíveis - Comercialização</t>
  </si>
  <si>
    <t>Agrega as receitas originadas da Contribuição relativa às atividades de comercialização e de importação de petróleo e seus derivados, gás natural e álcool carburante - CIDE Combustíveis - Comercialização.</t>
  </si>
  <si>
    <t>Contribuição sobre a Receita das Empresas Prestadoras de Serviços de Telecomunicações</t>
  </si>
  <si>
    <t>Agrega as receitas advindas de contribuição sobre a receita das empresas prestadoras de serviços de telecomunicações, incidente à aliquota de 1,0% sobre a receita operacional bruta para o FUST e de 0,5% sobre a receita bruta para o FUNTTEL, excluindo-se o ICMS, o PIS e o COFINS, decorrente de prestação de serviços de telecomunicações.</t>
  </si>
  <si>
    <t>Contribuição sobre a Receita Operacional Bruta Decorrente de Prestação de Serviços de Telecomunicações</t>
  </si>
  <si>
    <t>Agrega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</si>
  <si>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sobre a Receita Bruta das Empresas Prestadoras de Serviços de Telecomunicações</t>
  </si>
  <si>
    <t>Agrega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</si>
  <si>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para o Fomento da Radiodifusão Pública</t>
  </si>
  <si>
    <t>Agrega as receitas originadas da Contribuição para Fomento da Radiodifusão Pública.</t>
  </si>
  <si>
    <t>Contribuição sobre o Faturamento das Empresas de Informática</t>
  </si>
  <si>
    <t>Contribuição sobre o Faturamento das Empresas de Informática instaladas na Amazônia</t>
  </si>
  <si>
    <t xml:space="preserve">Contribuição sobre o Faturamento das Empresas de Informática instaladas nas Demais Regiões </t>
  </si>
  <si>
    <t>Outras Contribuições Econômicas</t>
  </si>
  <si>
    <t>Agrega as receitas originadas de contribuições econômicas que não se enquadram nos itens anteriores.</t>
  </si>
  <si>
    <t>Contribuições Econômicas Específicas de Estados e Municípios</t>
  </si>
  <si>
    <t>Agrega as receitas originadas de contribuições econômicas específicas de Estados e Municípios.</t>
  </si>
  <si>
    <t>Contribuições Econômicas sobre Commodities</t>
  </si>
  <si>
    <t>Agrega as receitas originadas de contribuições econômicas sobre commodities, específicas de Estados e Municípios</t>
  </si>
  <si>
    <t>Contribuição Econômica destinada ao Fethab</t>
  </si>
  <si>
    <t>Agrega as receitas decorrentes de contribuições arrecadadas, coforme Lei Estadual do Estado do Mato Grosso nº 10.353/2015.</t>
  </si>
  <si>
    <t>Contribuições para Entidades Privadas de Serviço Social e de Formação Profissional</t>
  </si>
  <si>
    <t>Agrega as receitas decorrentes das contribuições, bem como dos respectivos adicionais, arrecadados em favor das entidades privadas de serviço social, de apoio e de formação profissional.</t>
  </si>
  <si>
    <t>Contribuição para o Custeio do Serviço de Iluminação Pública</t>
  </si>
  <si>
    <t>Registra a receita decorrente da contribuição para o custeio do serviço de iluminação pública.</t>
  </si>
  <si>
    <t>Receita Patrimonial</t>
  </si>
  <si>
    <t>Agrega recursos decorrentes da fruição do patrimônio mobiliário e imobiliário do ente público.</t>
  </si>
  <si>
    <t>Exploração do Patrimônio Imobiliário do Estado</t>
  </si>
  <si>
    <t>Agrega recursos decorrentes da fruição do patrimônio imobiliário do ente público.</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</si>
  <si>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</si>
  <si>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</si>
  <si>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Aluguéis e Arrendamentos</t>
  </si>
  <si>
    <t>Agrega as receitas que se originaram da exploração do patrimônio imobiliário do Estado, como, por exemplo, as provenientes de aluguéis e arrendamentos, dentre outras.</t>
  </si>
  <si>
    <t>Foros, Laudêmios e Tarifas de Ocupação</t>
  </si>
  <si>
    <t>Agrega as receitas que se originaram da exploração do patrimônio imobiliário do Estado, como, por exemplo, foros, laudêmios, tarifas de ocupação de terrenos, tarifas de ocupação de imóveis.</t>
  </si>
  <si>
    <t>Concessão, Permissão, Autorização ou Cessão do Direito de Uso de Bens Imóveis Públicos</t>
  </si>
  <si>
    <t>Agrega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</si>
  <si>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Outras Receitas Imobiliárias</t>
  </si>
  <si>
    <t>Agrega receitas oriundas da exploração do patrimônio imobiliário do Estado que não tenham se enquadrado nos itens anteriores.</t>
  </si>
  <si>
    <t>Valores Mobiliários</t>
  </si>
  <si>
    <t>Agrega as receitas decorrentes de valores mobiliários.</t>
  </si>
  <si>
    <t>Juros e Correções Monetárias</t>
  </si>
  <si>
    <t>Agrega as receitas decorrentes de juros e correções monetárias</t>
  </si>
  <si>
    <t>Remuneração de Depósitos Bancários</t>
  </si>
  <si>
    <t>Agrega as receitas decorrentes de juros e correções monetárias incidentes sobre depósitos bancários</t>
  </si>
  <si>
    <t>Remuneração de Depósitos Especiais</t>
  </si>
  <si>
    <t>Registra a receita oriunda de juros e correções monetárias auferidos sobre depósitos especiais.</t>
  </si>
  <si>
    <t>Remuneração de Saldos de Recursos Não-Desembolsados</t>
  </si>
  <si>
    <t>Registra a receita oriunda de juros e correções monetárias auferidos sobre saldos de recursos não desembolsados.</t>
  </si>
  <si>
    <t>Remuneração dos Recursos do Regime Próprio de Previdência Social - RPPS</t>
  </si>
  <si>
    <t>Agrega recursos oruindos dos rendimentos auferidos decorrentes da aplicação de recursos do RPPS no mercado financeiro, em fundos de renda fixa, de renda variável, ou em fundos imobiliários.</t>
  </si>
  <si>
    <t>Juros de Títulos de Renda</t>
  </si>
  <si>
    <t>Agrega recursos oriundos de juros de título de renda, provenientes de aplicações no mercado financeiro. Inclui o resultado das aplicações em títulos públicos.</t>
  </si>
  <si>
    <t>Juros sobre o Capital Próprio</t>
  </si>
  <si>
    <t>Agrega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</si>
  <si>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Dividendos</t>
  </si>
  <si>
    <t>Agrega as receitas decorrente de dividendos.</t>
  </si>
  <si>
    <t>Participações</t>
  </si>
  <si>
    <t>Agrega receitas atribuíveis à União, provenientes da participação societária nos resultados de empresas.</t>
  </si>
  <si>
    <t>Outros Valores Mobiliários</t>
  </si>
  <si>
    <t>Agrega as receitas de valores mobiliários não classificadas nos itens anteriores.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</si>
  <si>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</si>
  <si>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</si>
  <si>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Delegação para a Prestação dos Serviços de Transporte</t>
  </si>
  <si>
    <t>Agrega receitas decorrentes da delegação (mediante Concessão, Permissão ou Autorização) para o setor privado ou outros entes estatais prestarem serviços públicos de transporte</t>
  </si>
  <si>
    <t>Delegação para a Prestação dos Serviços de Transporte Rodoviário</t>
  </si>
  <si>
    <t>Agrega receitas decorrentes da delegação (mediante Concessão, Permissão ou Autorização) para o setor privado ou outros entes estatais prestarem serviços públicos de transporte rodoviário.</t>
  </si>
  <si>
    <t>Delegação para a Prestação dos Serviços de Transporte Ferroviário</t>
  </si>
  <si>
    <t>Agrega receitas decorrentes da delegação (mediante Concessão, Permissão ou Autorização) para o setor privado ou outros entes estatais prestarem serviços públicos de transporte ferroviário.</t>
  </si>
  <si>
    <t>Delegação para a Prestação dos Serviços de Transporte Metroviário</t>
  </si>
  <si>
    <t>Agrega receitas decorrentes da delegação (mediante Concessão, Permissão ou Autorização) para o setor privado ou outros entes estatais prestarem serviços públicos de transporte metroviário.</t>
  </si>
  <si>
    <t>Delegação para a Prestação dos Serviços de Transporte Aquaviário</t>
  </si>
  <si>
    <t>Agrega receitas decorrentes da delegação (mediante Concessão, Permissão ou Autorização) para o setor privado ou outros entes estatais prestarem serviços públicos de transporte aquaviário.</t>
  </si>
  <si>
    <t>Delegação para a Prestação dos Serviços de Transporte Aeroviário</t>
  </si>
  <si>
    <t>Agrega receitas decorrentes da delegação (mediante Concessão, Permissão ou Autorização) para o setor privado ou outros entes estatais prestarem serviços públicos de transporte aeroviário.</t>
  </si>
  <si>
    <t>Delegação dos Serviços de Infraestrutura</t>
  </si>
  <si>
    <t>Agrega receitas decorrentes da delegação para o setor privado ou outros entes estatais explorarem serviços públicos de infraestrutura, mediante Concessão, Permissão ou Autorização.</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</si>
  <si>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</si>
  <si>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</si>
  <si>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Delegação para Exploração da Infraestrutura de Transporte Rodoviário para o Setor Privado</t>
  </si>
  <si>
    <t>Delegação para Exploração da Infraestrutura de Transporte Rodoviário para os Estados, Distrito Federal e Municípios</t>
  </si>
  <si>
    <t>Agrega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t>
  </si>
  <si>
    <t>Delegação para Exploração da Infraestrutura de Transporte Ferroviário</t>
  </si>
  <si>
    <t>Agrega receitas decorrentes da delegação para o setor privado explorar serviços públicos de infraestrutura de Transporte Ferroviário, mediante Concessão, Permissão ou Autorização.</t>
  </si>
  <si>
    <t>Delegação para Exploração da Infraestrutura de Transporte Aquaviário</t>
  </si>
  <si>
    <t>Agrega receitas decorrentes da delegação para o setor privado explorar serviços públicos de infraestrutura de Transporte Aquaviário, mediante Concessão, Permissão ou Autorização.</t>
  </si>
  <si>
    <t>Delegação para Exploração da Infraestrutura Aeroportuária</t>
  </si>
  <si>
    <t>Agrega as receitas de outorga de infraestrutura aeroportuária.</t>
  </si>
  <si>
    <t>Delegação dos Serviços de Telecomunicação</t>
  </si>
  <si>
    <t>Agrega as receitas decorrentes da delegação dos serviços de telecomunicações</t>
  </si>
  <si>
    <t>Delegação dos Serviços de Telecomunicação - Poder Concedente no Regime Público</t>
  </si>
  <si>
    <t>Registra as receitas relativas ao exercício do poder concedente dos serviços de telecomunicações, no regime público, inclusive pagamentos pela outorga, multas e indenizações.</t>
  </si>
  <si>
    <t>Portaria SEAFI nº 01, de 29 de Março de 2019 (SOF)</t>
  </si>
  <si>
    <t>Delegação dos Serviços de Telecomunicação - Poder Concedente no Regime Público - Não Proveniente da Utilização de Posições Orbitais</t>
  </si>
  <si>
    <t>Agrega as receitas relativas ao exercício do poder concedente dos serviços de telecomunicações, no regime público, inclusive pagamentos pela outorga, multas e indenizações. Essa natureza registra apenas os recursos não provenientes da utilização de posições orbitais.</t>
  </si>
  <si>
    <t>Delegação dos Serviços de Telecomunicação - Poder Concedente no Regime Público - Proveniente da Utilização de Posições Orbitais</t>
  </si>
  <si>
    <t>Agrega as receitas relativas ao exercício do poder concedente dos serviços de telecomunicações, no regime público, inclusive pagamentos pela outorga, multas e indenizações. Essa natureza registra apenas os recursos provenientes da utilização de posições orbitais</t>
  </si>
  <si>
    <t>Delegação dos Serviços de Telecomunicação - Atividade Ordenadora no Regime Privado</t>
  </si>
  <si>
    <t>Registra as receitas relativas ao exercício da atividade ordenadora da exploração de serviços de telecomunicações, no regime privado, inclusive pagamentos pela expedição de autorização de serviço, multas e indenizações.</t>
  </si>
  <si>
    <t>Delegação dos Serviços de Telecomunicação - Atividade Ordenadora no Regime Privado - Não Proveniente da Utilização de Posições Orbitais</t>
  </si>
  <si>
    <t>Agrega as receitas relativas ao exercício da atividade ordenadora da exploração de serviços de telecomunicações, no regime privado, inclusive pagamentos pela expedição de autorização de serviço, multas e indenizações. Essa natureza registra apenas os recursos não provenientes da utilização de posições orbitais.</t>
  </si>
  <si>
    <t>Delegação dos Serviços de Telecomunicação - Atividade Ordenadora no Regime Privado - Proveniente da utilização de Posições Orbitais</t>
  </si>
  <si>
    <t>Agrega as receitas relativas ao exercício da atividade ordenadora da exploração de serviços de telecomunicações, no regime privado, inclusive pagamentos pela expedição de autorização de serviço, multas e indenizações. Essa natureza registra apenas os recursos provenientes da utilização de posições orbitais.</t>
  </si>
  <si>
    <t>Delegação dos Serviços de Radiodifusão Sonora e de Sons e Imagens</t>
  </si>
  <si>
    <t>Agrega as receitas relativas ao exercício do poder concedente dos serviços públicos de radiodifusão, a serem recebidos direta e livremente pelo público em geral, compreendendo a radiodifusão sonora e de sons e imagens.</t>
  </si>
  <si>
    <t>Delegação dos Serviços de Radiodifusão Sonora e de Sons e Imagens - Não Proveniente da Utilização de Posições Orbitais</t>
  </si>
  <si>
    <t>Agrega as receitas relativas ao exercício do poder concedente dos serviços públicos de radiodifusão, a serem recebidos direta e livremente pelo público em geral, compreendendo a radiodifusão sonora e de sons e imagens. Essa natureza registra apenas os recursos não provenientes da utilização de posições orbitais.</t>
  </si>
  <si>
    <t>Delegação dos Serviços de Radiodifusão Sonora e de Sons e Imagens - Proveniente da Utilização de Posições Orbitais</t>
  </si>
  <si>
    <t>Agrega as receitas relativas ao exercício do poder concedente dos serviços públicos de radiodifusão, a serem recebidos direta e livremente pelo público em geral, compreendendo a radiodifusão sonora e de sons e imagens. Essa natureza registra apenas os recursos provenientes da utilização de posições orbitais.</t>
  </si>
  <si>
    <t>Cessão do Direito de Uso de Radiofrequência</t>
  </si>
  <si>
    <t>Registra as receitas relativas à cessão do direito de uso de radiofrequência para qualquer fim, inclusive multas e indenizações.</t>
  </si>
  <si>
    <t>Cessão do Direito de Uso de Radiofrequência - Não Proveniente da Utilização de Posições Orbitais</t>
  </si>
  <si>
    <t>Agrega as receitas relativas à cessão do direito de uso de radiofrequência para qualquer fim, inclusive multas e indenizações. Essa natureza registra apenas os recursos não provenientes da utilização de posições orbitais.</t>
  </si>
  <si>
    <t>Cessão do Direito de Uso de Radiofrequência - Proveniente da Utilização de Posições Orbitais</t>
  </si>
  <si>
    <t>Agrega as receitas relativas à cessão do direito de uso de radiofrequência para qualquer fim, inclusive multas e indenizações. Essa natureza registra apenas os recursos provenientes da utilização de posições orbitais.</t>
  </si>
  <si>
    <t>Cessão do Direito de Exploração de Satélite Brasileiro</t>
  </si>
  <si>
    <t>Registra recursos provenientes da cessão do direito de exploração de satélite brasileiro, mediante licitação.</t>
  </si>
  <si>
    <t>Registra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fazer-se na forma de quantia certa, em uma ou várias parcelas, bem como de parcelas anuais ou, complementarmente, de cessão de capacidade.</t>
  </si>
  <si>
    <t>Transferência da Delegação dos Serviços de Telecomunicações ou do Direito de Uso de Radiofrequência</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</si>
  <si>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</si>
  <si>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Transferência da Delegação dos Serviços de Telecomunicações ou do Direito de Uso de Radiofrequência - Não Proveniente da Utilização de Posições Orbitais</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</si>
  <si>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 Essa natureza registra apenas os recursos não provenientes da utilização de posições orbitais.</t>
  </si>
  <si>
    <t>Transferência da Delegação dos Serviços de Telecomunicações ou do Direito de Uso de Radiofrequência - Proveniente da Utilização de Posições Orbitais</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</si>
  <si>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 Essa natureza registra apenas os recursos provenientes da utilização de posições orbitais.</t>
  </si>
  <si>
    <t>Concessão de Licenças e Autorizações da Agência Espacial Brasileira</t>
  </si>
  <si>
    <t>Registra as receitas provenientes da concessão de licenças e autorizações da Agência Espacial Brasileira - AEB.</t>
  </si>
  <si>
    <t>Outras Delegações dos Serviços de Telecomunicação</t>
  </si>
  <si>
    <t>Registra as receitas decorrentes concessões, permissões e autorizações dos serviços de telecomunicações e de uso de radiofrequência não relacionados nos itens anteriores. Não inclui receitas provenientes de posições orbitais.</t>
  </si>
  <si>
    <t>Outras Delegações dos Serviços de Telecomunicação - Não Proveniente da Utilização de Posições Orbitais</t>
  </si>
  <si>
    <t>Agrega as receitas decorrentes de concessões, permissões e autorizações dos serviços de telecomunicações e de uso de radiofrequência não relacionados nos itens anteriores. Essa natureza registra apenas os recursos não provenientes da utilização de posições orbitais.</t>
  </si>
  <si>
    <t>Outras Delegações dos Serviços de Telecomunicação - Proveniente da Utilização de Posições Orbitais</t>
  </si>
  <si>
    <t>Agrega as receitas decorrentes de concessões, permissões e autorizações dos serviços de telecomunicações e de uso de radiofrequência não relacionados nos itens anteriores. Essa natureza registra apenas os recursos provenientes da utilização de posições orbitais.</t>
  </si>
  <si>
    <t>Extinta pela Portaria SEAFI nº 1, de 29 de março de 2019, com efeitos retroativos a 1 de janeiro de 2019. Agrega as receitas relativas ao exercício do poder concedente dos serviços de telecomunicações, no regime público, inclusive pagamentos pela outorga, multas e indenizações. Concessão de Serviço de Telecomunicações é a delegação de sua prestação, mediante contrato, por prazo determinado, no regime público, sujeitando-se as concessionárias aos riscos empresariais, remunerando-se pela cobrança de tarifas dos usuários ou por outras receitas alternativas e respondendo diretamente pelas suas obrigações e pelos prejuízos que causar.</t>
  </si>
  <si>
    <t>Agrega as receitas relativas ao exercício da atividade ordenadora da exploração de serviços de telecomunicações, no regime privado, inclusive pagamentos pela expedição de autorização de serviço, multas e indenizações.
Autorização de Serviço de Telecomunicações é o ato administrativo vinculado que faculta a exploração, no regime privado, de modalidade de serviço de telecomunicações, quando preenchidas as condições objetivas e subjetivas necessárias.</t>
  </si>
  <si>
    <t>Agrega as receitas relativas à cessão do direito de uso de radiofrequência para qualquer fim, inclusive multas e indenizações.
A cessão do direito de uso de radiofrequência decorre de ato administrativo vinculado, associado à concessão, permissão ou autorização para prestação de serviço de telecomunicações, que atribui a interessado, por prazo determinado, o direito de uso de radiofrequência nas condições legais e regulamentares.</t>
  </si>
  <si>
    <t>Agrega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 ANATEL, fazer-se na forma de quantia certa, em uma ou várias parcelas, bem como de parcelas anuais ou, complementarmente, de cessão de capacidade.</t>
  </si>
  <si>
    <t>Agrega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</si>
  <si>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Agrega as receitas provenientes da concessão de licenças e autorizações da Agência Espacial Brasileira - AEB.</t>
  </si>
  <si>
    <t>Agrega as receitas decorrentes concessões, permissões e autorizações dos serviços de telecomunicações e de uso de radiofrequência não relacionados nos itens anteriores.</t>
  </si>
  <si>
    <t>Concessão para Prestação de Serviços de Energia Elétrica</t>
  </si>
  <si>
    <t>Agrega receitas originadas de concessão para prestação de serviços de energia elétrica.</t>
  </si>
  <si>
    <t>Portaria SEAFI/SOF nº 11.044, de 29 de Outubro de 2018.</t>
  </si>
  <si>
    <t>Concessão dos Serviços de Geração, Transmissão ou Distribuição de Energia Elétrica</t>
  </si>
  <si>
    <t>Registra as receitas originadas da concessão dos serviços de geração, transmissão ou distribuição de energia elétrica.</t>
  </si>
  <si>
    <t>Demais Delegações de Serviços Públicos</t>
  </si>
  <si>
    <t>Agrega demais receitas oriundas da delegação de serviços públicos</t>
  </si>
  <si>
    <t>Outras Delegações de Serviços Públicos</t>
  </si>
  <si>
    <t>Agrega receitas decorrentes da delegação para prestação de serviços públicos não abarcadas por códigos específicos.</t>
  </si>
  <si>
    <t>Exploração de Recursos Naturais</t>
  </si>
  <si>
    <t>Agrega as receitas originadas da exploração de recursos naturais.</t>
  </si>
  <si>
    <t>Petróleo - Regime de Concessão</t>
  </si>
  <si>
    <t>Agrega as receitas oriundas da produção de petróleo, gás natural ou outros hidrocarbonetos fluidos, quando a lavra ocorrer sob o regime de concessão.</t>
  </si>
  <si>
    <t>Outorga de Exploração e Produção de Petróleo e Gás Natural - Regime de Concessão</t>
  </si>
  <si>
    <t>Agrega as receitas de outorga dos serviços de exploração e produção de petróleo e gás natural no regime de concessão.</t>
  </si>
  <si>
    <t>Bônus de Assinatura do Contrato de Concessão</t>
  </si>
  <si>
    <t>Agrega as receitas decorrentes do pagamento oferecido na proposta para obtenção da concessão. Esse bônus de assinatura terá valor mínimo estabelecido em edital, devendo ser pago no ato da assinatura do contrato.</t>
  </si>
  <si>
    <t>Pagamento pela Retenção de Área para Exploração ou Produção</t>
  </si>
  <si>
    <t>Agrega as receitas auferidas em função do pagamento anual pela retenção de área para exploração, desenvolvimento ou produção de petróleo e gás natural.</t>
  </si>
  <si>
    <t>Royalties Mínimos pela Produção de Petróleo - Contrato de Concessão</t>
  </si>
  <si>
    <t>Royalties Mínimos pela Produção de Petróleo em Terra (Qualquer Situação) - Contrato de Concessão</t>
  </si>
  <si>
    <t>Agrega as receitas oriundas da parcela do valor do royalty, previsto no contrato de concessão, que representar 5% do valor da produção de petróleo, gás natural ou outros hidrocarbonetos fluidos, quando a lavra ocorrer em terra.</t>
  </si>
  <si>
    <t>Royalties Mínimos pela Produção de Petróleo em Plataforma - Contrato de Concessão - Declaração de Comercialidade antes de 3/12/2012 - Área e Camada Pré-Sal</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</si>
  <si>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</si>
  <si>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Mínimos pela Produção de Petróleo em Plataforma - Contrato de Concessão - Declaração de Comercialidade antes de 3/12/2012 - Demais Situações</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</si>
  <si>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</si>
  <si>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Mínimos pela Produção de Petróleo em Plataforma - Contrato de Concessão - Declaração de Comercialidade a partir de 3/12/2012 - Qualquer Situação</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</si>
  <si>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</si>
  <si>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 Contrato de Concessão</t>
  </si>
  <si>
    <t>Royalties Excedentes pela Produção de Petróleo em Terra (Qualquer Situação) - Contrato de Concessão</t>
  </si>
  <si>
    <t>Agrega as receitas oriundas da parcela do valor do royalty, previsto no contrato de concessão, que exceder a 5% do valor da produção de petróleo, gás natural ou outros hidrocarbonetos fluidos, quando a lavra ocorrer em terra.</t>
  </si>
  <si>
    <t>Royalties Excedentes pela Produção de Petróleo em Plataforma - Contrato de Concessão - Declaração de Comercialidade antes de 3/12/2012 - Área e Camada Pré-Sal</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</si>
  <si>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</si>
  <si>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Excedentes pela Produção de Petróleo em Plataforma - Contrato de Concessão - Declaração de Comercialidade antes de 3/12/2012 - Demais Situações</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</si>
  <si>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</si>
  <si>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Excedentes pela Produção de Petróleo em Plataforma - Contrato de Concessão - Declaração de Comercialidade a partir de 3/12/2012 - Qualquer Situação</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</si>
  <si>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</si>
  <si>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Participação Especial pela Produção de Petróleo - Contrato de Concessão</t>
  </si>
  <si>
    <t>Agrega as receitas oriundas da participação especial pela produção de petróleo, gás natural ou outros hidrocarbonetos fluidos, quando a lavra ocorrer sob o regime de concessão.</t>
  </si>
  <si>
    <t>Participação Especial pela Produção de Petróleo em Terra (Qualquer Situação) - Contrato de Concessão</t>
  </si>
  <si>
    <t>Agrega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</si>
  <si>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Especial pela Produção de Petróleo em Plataforma - Contrato de Concessão - Declaração de Comercialidade antes de 3/12/2012 - Área e Camada Pré-Sal</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</si>
  <si>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</si>
  <si>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Participação Especial pela Produção de Petróleo em Plataforma - Contrato de Concessão - Declaração de Comercialidade antes de 3/12/2012 - Demais Situações</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</si>
  <si>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</si>
  <si>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Participação Especial pela Produção de Petróleo em Plataforma - Contrato de Concessão - Declaração de Comercialidade a partir de 3/12/2012 - Qualquer Situação</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</si>
  <si>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</si>
  <si>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Petróleo - Regime de Cessão Onerosa</t>
  </si>
  <si>
    <t>Agrega as receitas oriundas da produção de petróleo, gás natural ou outros hidrocarbonetos fluidos, relativas a contratos celebrados sob o regime de cessão onerosa.</t>
  </si>
  <si>
    <t>Royalties Mínimos pela Produção de Petróleo - Cessão Onerosa - Declaração de Comercialidade a partir de 3/12/2012</t>
  </si>
  <si>
    <t>Agrega as receitas oriundas da parcela do valor do royalty, previsto no contrato de cessão onerosa, que representar 5% do valor da produção de petróleo, gás natural ou outros hidrocarbonetos fluidos.</t>
  </si>
  <si>
    <t>Royalties Mínimos pela Produção de Petróleo em Terra - Cessão Onerosa - Declaração de Comercialidade a partir de 3/12/2012</t>
  </si>
  <si>
    <t>Agrega as receitas oriundas da parcela do valor do royalty, previsto no contrato de cessão onerosa, que representar 5% do valor da produção de petróleo, gás natural ou outros hidrocarbonetos fluidos, quando a lavra ocorrer em terra ou em lagos, rios, ilhas fluviais e lacustres.</t>
  </si>
  <si>
    <t>Royalties Mínimos pela Produção de Petróleo em Plataforma - Cessão Onerosa - Declaração de Comercialidade a partir de 3/12/2012</t>
  </si>
  <si>
    <t>Agrega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</si>
  <si>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Royalties Excedentes pela Produção de Petróleo - Cessão Onerosa - Declaração de Comercialidade a partir de 3/12/2012</t>
  </si>
  <si>
    <t>Agrega as receitas oriundas da parcela do valor do royalty, previsto no contrato de cessão onerosa, que exceder a 5% do valor da produção de petróleo, gás natural ou outros hidrocarbonetos fluidos.</t>
  </si>
  <si>
    <t>Royalties Excedentes pela Produção de Petróleo em Terra - Cessão Onerosa - Declaração de Comercialidade a partir de 3/12/2012</t>
  </si>
  <si>
    <t>Agrega as receitas oriundas da parcela do valor do royalty, previsto no contrato de cessão onerosa, que exceder a 5% do valor da produção de petróleo, gás natural ou outros hidrocarbonetos fluidos, quando a lavra ocorrer em terra ou em lagos, rios, ilhas fluviais e lacustres.</t>
  </si>
  <si>
    <t>Royalties Excedentes pela Produção de Petróleo em Plataforma - Cessão Onerosa - Declaração de Comercialidade a partir de 3/12/2012</t>
  </si>
  <si>
    <t>Agrega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</si>
  <si>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Petróleo - Regime de Partilha de Produção</t>
  </si>
  <si>
    <t>Agrega as receitas oriundas da produção de petróleo, gás natural ou outros hidrocarbonetos fluidos, relativas a contratos celebrados sob o regime de partilha de produção.</t>
  </si>
  <si>
    <t>Outorga dos Serviços de Exploração e Produção de Petróleo e Gás Natural - Regime de Partilha de Produção</t>
  </si>
  <si>
    <t>Agrega as receitas de outorga dos serviços de exploração e produção de petróleo e gás natural no regime de partilha de produção.</t>
  </si>
  <si>
    <t>Bônus de Assinatura de Contrato de Partilha de Produção - Parcela da União</t>
  </si>
  <si>
    <t>Registra as receitas que se originaram do bônus de assinatura do contrato de partilha
de produção que são devidas à União, conforme determinação legal.</t>
  </si>
  <si>
    <t>Bônus de Assinatura de Contrato de Partilha de Produção - Parcela do Fundo Social</t>
  </si>
  <si>
    <t>Registra as receitas que se originaram do bônus de assinatura do contrato de partilha
de produção que são devidas ao Fundo Social, conforme determinação legal.</t>
  </si>
  <si>
    <t>Bônus de Assinatura de Contrato de Partilha de Produção - Parcela da Empresa Gestora do Contrato</t>
  </si>
  <si>
    <t>Registra as receitas que se originaram do bônus de assinatura do contrato de partilha
de produção que são devidas à empresa gestora do contrato de partilha de produção,
conforme determinação legal.</t>
  </si>
  <si>
    <t>Royalties pela Produção de Petróleo - Partilha de Produção - Declaração de Comercialidade a partir de 3/12/2012</t>
  </si>
  <si>
    <t>Agrega as receitas oriundas da parcela do valor do royalty, no regime de partilha de produção, sobre a produção de petróleo, gás natural ou outros hidrocarbonetos fluidos.</t>
  </si>
  <si>
    <t>Royalties pela Produção de Petróleo em Terra - Partilha de Produção - Declaração de Comercialidade a partir de 3/12/2012</t>
  </si>
  <si>
    <t>Agrega as receitas oriundas da parcela do valor do royalty, no regime de partilha de produção, sobre o valor da produção de petróleo, gás natural ou outros hidrocarbonetos fluidos, quando a lavra ocorrer em terra ou em lagos, rios, ilhas fluviais e lacustres.</t>
  </si>
  <si>
    <t>Royalties pela Produção de Petróleo em Plataforma - Partilha de Produção - Declaração de Comercialidade a partir de 3/12/2012</t>
  </si>
  <si>
    <t>Agrega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</si>
  <si>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Exploração de Recursos Minerais</t>
  </si>
  <si>
    <t>Agrega receitas decorrentes da extração mineral</t>
  </si>
  <si>
    <t>Outorga de Direitos de Exploração e Pesquisa Mineral</t>
  </si>
  <si>
    <t>Agrega receitas decorrentes da outorga do Alvará de Pesquisa Mineral.</t>
  </si>
  <si>
    <t>Compensação Financeira pela Exploração de Recursos Minerais</t>
  </si>
  <si>
    <t>Agrega receitas decorrentes da compensação financeira pela exploração de recursos minerais.</t>
  </si>
  <si>
    <t>Exploração de Recursos Hídricos</t>
  </si>
  <si>
    <t>Agrega as receitas de compensação financeira pela exploração e utilização de recursos hídricos.</t>
  </si>
  <si>
    <t>Outorga de Direitos de Uso de Recursos Hídricos</t>
  </si>
  <si>
    <t>Agrega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</si>
  <si>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Concessão de Uso do Potencial de Energia Hidráulica</t>
  </si>
  <si>
    <t>Agrega as receitas decorrentes da autorização ou concessão, por parte da União, para exploração e aproveitamento dos potenciais de energia hidráulica.</t>
  </si>
  <si>
    <t>Compensação Financeira com a Exploração de Recursos Hídricos</t>
  </si>
  <si>
    <t>Agrega as receitas de compensação financeira pela exploração e utilização de recursos hídricos para geração de energia elétrica.</t>
  </si>
  <si>
    <t>Utilização de Recursos Hídricos - Itaipu</t>
  </si>
  <si>
    <t>Agrega as receitas de compensação financeira pela utilização de recursos hídricos por parte da Itaipu Binacional do Brasil.</t>
  </si>
  <si>
    <t>Utilização de Recursos Hídricos - Demais Empresas</t>
  </si>
  <si>
    <t>Agrega as receitas de compensação financeira pela utilização de recursos hídricos para geração de energia elétrica por parte de outras empresas, exceto Itaipu.</t>
  </si>
  <si>
    <t>Utilização de Recursos Hídricos - Demais Empresas - Prorrogação de Outorga</t>
  </si>
  <si>
    <t>Agrega as receitas de compensação financeira pela utilização de recursos hídricos para geração de energia elétrica por parte de outras empresas, exceto Itaipu, nos casos de prorrogação de outorga de que trata o art. 2º, da Lei 12.783, de 11 de janeiro de 2013.</t>
  </si>
  <si>
    <t>Exploração de Recursos Florestais</t>
  </si>
  <si>
    <t>Agrega receitas decorrentes da exploração de recursos florestais.</t>
  </si>
  <si>
    <t>Concessão de Florestas Nacionais</t>
  </si>
  <si>
    <t>Agrega receitas decorrentes da concessão florestal de unidades localizadas em florestas nacionais criadas pela União nos termos do art. 17 da Lei no 9.985, de 18 de julho de 2000.</t>
  </si>
  <si>
    <t>Concessão de Florestas Nacionais - Valor Mínimo</t>
  </si>
  <si>
    <t>Agrega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</si>
  <si>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Nacionais - Demais Valores</t>
  </si>
  <si>
    <t>Agrega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</si>
  <si>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Outras Concessões Florestais</t>
  </si>
  <si>
    <t>Agrega receitas decorrentes da concessão florestal de unidades localizadas em florestas não classificadas como "florestas nacionais nos termos do art. 17 da Lei no 9.985, de 18 de julho de 2000".</t>
  </si>
  <si>
    <t>Outras Concessões Florestais - Valor Mínimo</t>
  </si>
  <si>
    <t>Agrega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</si>
  <si>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Outras Concessões Florestais - Demais Valores</t>
  </si>
  <si>
    <t>Agrega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</si>
  <si>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Demais Receitas de Concessão Florestal</t>
  </si>
  <si>
    <t>Agrega receitas decorrentes de concessões florestais não especificadas nos itens anteriores.</t>
  </si>
  <si>
    <t>Custos de Edital de Concessão Florestal</t>
  </si>
  <si>
    <t>Agrega receitas decorrentes do pagamento de preço calculado sobre os custos de realização do edital de licitação da concessão florestal da unidade de manejo.</t>
  </si>
  <si>
    <t>Contratos de Transição de Concessão Florestal</t>
  </si>
  <si>
    <t>Agrega receitas decorrentes do pagamento de preço decorrente de contratos de transição de concessão florestal para exploração e gestão de florestas públicas e recursos florestais.</t>
  </si>
  <si>
    <t>Supressão Vegetal no Interior das Florestas Nacionais</t>
  </si>
  <si>
    <t>Agrega receitas decorrentes da indenização pela supressão de vegetação, no interior de florestas nacionais, para execução de obras, planos, atividades ou projetos de utilidade pública ou interesse social, bem como para uso alternativo do solo, nas hipóteses admitidas em lei.</t>
  </si>
  <si>
    <t>Exploração de Outros Recursos Naturais</t>
  </si>
  <si>
    <t>Agrega receitas oriundas da exploração de recursos naturais não listados de forma específica nos códigos de natureza de receita anteriores.</t>
  </si>
  <si>
    <t>Compensações Ambientais</t>
  </si>
  <si>
    <t>Agrega receitas oriundas de Compensações Ambientais</t>
  </si>
  <si>
    <t>Outras Delegações para Exploração de Recursos Naturais</t>
  </si>
  <si>
    <t>Agrega receitas oriundas da exploração de quaisquer outros recursos naturais não listados em códigos de natureza de receita específicos.</t>
  </si>
  <si>
    <t>Exploração do Patrimônio Intangível</t>
  </si>
  <si>
    <t>Agrega as receitas originadas com a exploração do patrimônio intangível.</t>
  </si>
  <si>
    <t>Outorga de Direito de Uso ou de Exploração de Criação Protegida - Instituição Científica e Tecnológica</t>
  </si>
  <si>
    <t>Agrega valores referentes à receita decorrente da celebração de contratos de transferência de tecnologia e de licenciamento para outorga de direito de uso de exploração de criação protegida.</t>
  </si>
  <si>
    <t>Direito de Uso da Imagem e de Reprodução dos Bens do Acervo Patrimonial</t>
  </si>
  <si>
    <t>Agrega o valor das receitas provenientes do exercício de atividades que sejam afetas à exploração dos direitos de uso da imagem e de reprodução de bens do acervo patrimonial sob sua jurisdição.</t>
  </si>
  <si>
    <t>Royalties pela Exploração do Patrimônio Genético ou Conhecimento Tradicional Associado</t>
  </si>
  <si>
    <t>Registra os recursos decorrentes da exploração do patrimônio genético ou ao conhecimento tradicional associado</t>
  </si>
  <si>
    <t>Royalties pela Comercialização de Produtos Resultantes de Criação Protegida</t>
  </si>
  <si>
    <t>Agrega as receitas oriundas de royalties recebidos por órgãos ou entidades da administração pública direta ou indireta em decorrência da comercialização
de produtos que tenham sido desenvolvidos com a utilização de tecnologia por eles desenvolvida.</t>
  </si>
  <si>
    <t>Cessão de Direitos</t>
  </si>
  <si>
    <t>Agrega receitas decorrentes da cessão de direitos</t>
  </si>
  <si>
    <t>Cessão do Direito de Operacionalização de Pagamentos</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</si>
  <si>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</si>
  <si>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Cessão do Direito de Operacionalização de Pagamentos - Poder Judiciário</t>
  </si>
  <si>
    <t>Agrega as receitas decorrentes da cessão do direito de operacionalizar pagamentos de determinado órgão ou entidade do Poder Judiciário.</t>
  </si>
  <si>
    <t>Portaria SEAFI/SOF nº 07, de 31 de Julho de 2019</t>
  </si>
  <si>
    <t>Demais Receitas Patrimoniais</t>
  </si>
  <si>
    <t>Agrega as receitas patrimoniais não classificadas nos itens anteriores, inclusive receitas de aluguéis de bens móveis.</t>
  </si>
  <si>
    <t>Receita Agropecuária</t>
  </si>
  <si>
    <t>Agrega as receitas decorrentes de atividades de exploração ordenada dos recursos naturais vegetais em ambiente natural e protegido.</t>
  </si>
  <si>
    <t>Agrega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</si>
  <si>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Receita Industrial</t>
  </si>
  <si>
    <t>Agrega as receitas decorrentes das atividades industriais.</t>
  </si>
  <si>
    <t>Agrega as receitas de atividades industriais. Envolvem a extração e o beneficiamento de matérias-primas, bem como a produção e comercialização bens relacionados às indústrias mecânica, química e de transformação em geral.</t>
  </si>
  <si>
    <t>Receita de Serviços</t>
  </si>
  <si>
    <t>Agrega as receitas características da prestação de serviços nas diversas áreas de atividade econômica.</t>
  </si>
  <si>
    <t>Serviços Administrativos e Comerciais Gerais</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</si>
  <si>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</si>
  <si>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Agrega as receitas decorrentes da prestação de serviços administrativos e de serviços comerciais nas diversas áreas de atividade econômica.</t>
  </si>
  <si>
    <t>Inscrição em Concursos e Processos Seletivos</t>
  </si>
  <si>
    <t>Agrega as receitas de inscrição em concursos e processos seletivos, inclusive vestibulares realizados pelas instituições de ensino.</t>
  </si>
  <si>
    <t>Serviços de Registro, Certificação e Fiscalização</t>
  </si>
  <si>
    <t>Agrega as receitas originadas de procedimentos obrigatórios de registro, certificação, inspeção e fiscalização.</t>
  </si>
  <si>
    <t>Agrega as receitas de serviços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entre outros.</t>
  </si>
  <si>
    <t>Serviços de Informação e Tecnologia</t>
  </si>
  <si>
    <t>Agrega as receitas originadas da prestação de serviços relacionados à disponibilização de informações em redes e sistemas de dados em meio digital e à prestação de serviços relacionados ao uso intensivo de tecnologia.</t>
  </si>
  <si>
    <t>Agrega as receitas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</si>
  <si>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Serviços Técnicos e Aprovação de Laudos de Telecomunicações</t>
  </si>
  <si>
    <t>Agrega as receitas decorrentes da aprovação de laudos de ensaio de produtos e prestação de serviços técnicos por órgãos da Agência Nacional de telecomunicações - Anatel.</t>
  </si>
  <si>
    <t>Serviços e Atividades Referentes à Navegação e ao Transporte</t>
  </si>
  <si>
    <t>Agrega as receitas originadas da prestação de serviços e de atividades referentes à navegação e ao transporte. Compreende os serviços de navegação e de transporte nas diversas modalidades viárias, inclusive serviços executados em instalações portuárias e aeroportuárias.</t>
  </si>
  <si>
    <t>Serviços de Navegação</t>
  </si>
  <si>
    <t>Agrega as receitas originadas de serviços de navegação, decorrentes da utilização de instalações e serviços destinados a apoiar e tornar segura a navegação aérea e naval, de acordo com normas específicas.</t>
  </si>
  <si>
    <t>Agrega as receitas de serviços de navegação, decorrentes da utilização de instalações e serviços destinados a apoiar e tornar segura a navegação aérea e naval, de acordo com normas específicas.</t>
  </si>
  <si>
    <t>Serviços de Transporte</t>
  </si>
  <si>
    <t>Agrega as receitas originadas da prestação de serviços de transporte. Compreende as atividades de transporte de passageiros ou mercadorias, em todas as modalidades viárias.</t>
  </si>
  <si>
    <t>Agrega as receitas da prestação de serviços de transporte. Compreende as atividades de transporte de passageiros ou mercadorias, em todas as modalidades viárias.</t>
  </si>
  <si>
    <t>Serviços Portuários</t>
  </si>
  <si>
    <t>Agrega as receitas originadas na exploração dos portos, terminais marítimos, atracadouros e ancoradouros.</t>
  </si>
  <si>
    <t>Agrega as receitas pela exploração dos portos, terminais marítimos, atracadouros e ancoradouros.</t>
  </si>
  <si>
    <t>Serviços Aeroportuários</t>
  </si>
  <si>
    <t>Agrega as receitas originadas na prestação de serviços aeroportuários. Compreende as tarifas aeroportuárias cobradas pelo embarque de passageiros, pouso e permanência de aeronaves nos aeroportos, pelo armazenamento, guarda e controle de mercadorias em armazéns de carga aérea, além do adicional sobre tarifa aeroportuária e da parcela de embarque internacional.</t>
  </si>
  <si>
    <t>Tarifa Aeroportuária</t>
  </si>
  <si>
    <t>Agrega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</si>
  <si>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Adicional sobre Tarifa Aeroportuária</t>
  </si>
  <si>
    <t>Agrega as receitas originadas do adicional sobre as tarifas aeroportuárias referidas no art. 3º da Lei nº 6.009, de 26 de dezembro de 1973.</t>
  </si>
  <si>
    <t>Parcela da Tarifa de Embarque Internacional</t>
  </si>
  <si>
    <t>Agrega as receitas originadas da parcela da tarifa de embarque internacional, correspondente ao aumento concedido pela Portaria nº 861/GM2, de 9 de dezembro de 1997, do Ministério da Aeronáutica, conforme disposto na Lei nº 9.825, de 23 de agosto de 1999.</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</si>
  <si>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</si>
  <si>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</si>
  <si>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t>
  </si>
  <si>
    <t>Agrega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t>
  </si>
  <si>
    <t>Agrega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</si>
  <si>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Serviços de Assistência à Saúde de Servidores Civis e Militares</t>
  </si>
  <si>
    <t>Agrega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</si>
  <si>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Serviços de Assistência à Saúde Suplementar do Servidor Civil</t>
  </si>
  <si>
    <t>Agrega as receitas decorrentes da contribuição dos servidores públicos civis ativos, inativos e pensionistas, destinada ao custeio da Assistência à Saúde Suplementar do Servidor Civil.</t>
  </si>
  <si>
    <t>Serviços de Assistência Médico-Hospitalar do Militar</t>
  </si>
  <si>
    <t>Serviços e Atividades Referentes à Saúde - Específico para Estados/DF/Municípios</t>
  </si>
  <si>
    <t xml:space="preserve">Agrega as receitas originadas de serviços de atendimento à saúde, de caráter especializado ou não, voltados à população em geral ou especificamente aos servidores públicos civis e militares. </t>
  </si>
  <si>
    <t>Serviços de Saúde - Específico para Estados/DF/Municípios</t>
  </si>
  <si>
    <t>Agrega as receitas originadas de serviços de atendimento à saúde, de caráter especializado ou não. Compreende a prestação de serviços relacionados à saúde em hospitais, ambulatórios, consultórios, clínicas, centros de assistência psicossocial, unidades móveis de atendimento a urgências e remoções, bem como testes, análises e outros serviços relacionados à saúde.</t>
  </si>
  <si>
    <t>Serviços Hospitalares</t>
  </si>
  <si>
    <t>Agrega as receitas originadas de serviços de atendimento à saúde, de caráter especializado ou não. Compreende a prestação de serviços relacionados à saúde em hospitais e similares, bem como serviços de saúde correlatos.</t>
  </si>
  <si>
    <t>Serviços de Registro de Análise e de Controle</t>
  </si>
  <si>
    <t>Agrega as receitas originadas de serviços de registro de análise e de controle de produtos sujeitos a normas de vigilância sanitária.</t>
  </si>
  <si>
    <t>Serviços Radiológicos e Laboratoriais</t>
  </si>
  <si>
    <t>Agrega as receitas originadas de serviços de atendimento à saúde, de caráter especializado ou não. Compreende a prestação de serviços relacionados à saúde com natureza radiológica ou laboratorial.</t>
  </si>
  <si>
    <t>Serviços Ambulatoriais</t>
  </si>
  <si>
    <t>Agrega as receitas originadas de serviços de atendimento à saúde, de caráter especializado ou não. Compreende a prestação de serviços relacionados à saúde com natureza ambulatórial.</t>
  </si>
  <si>
    <t>Outros Serviços de Saúde</t>
  </si>
  <si>
    <t>Compreende a prestação de outros serviços relacionados à saúde, não especificados anteriormente.</t>
  </si>
  <si>
    <t>Serviços e Atividades Financeiras</t>
  </si>
  <si>
    <t>Agrega as receitas correntes originadas da prestação de serviços financeiros, bem como as receitas de natureza não-financeira originadas da concessão de garantias, avais e seguros nas operações de crédito.</t>
  </si>
  <si>
    <t>Retorno de Operações, Juros e Encargos Financeiros</t>
  </si>
  <si>
    <t>Agrega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</si>
  <si>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Concessão de Avais, Garantias e Seguros</t>
  </si>
  <si>
    <t>Agrega as receitas de natureza não-financeira originadas da concessão de garantias, avais e seguros nas operações de crédito.</t>
  </si>
  <si>
    <t>Remuneração sobre Repasse para Programas de Desenvolvimento Econômico</t>
  </si>
  <si>
    <t>Agrega as receitas decorrentes de parte dos rendimentos dos empréstimos de recursos do Fundo de Amparo ao Trabalhador ao Banco Nacional de Desenvolvimento Econômico e Social - BNDES, de acordo com o art. 239 da Constituição Federal.</t>
  </si>
  <si>
    <t>Outros Serviços</t>
  </si>
  <si>
    <t>Agrega as receitas decorrentes de serviços não relacionados nos itens anteriores.</t>
  </si>
  <si>
    <t>Transferências Correntes</t>
  </si>
  <si>
    <t>Agrega as receitas provenientes de recursos financeiros decorrentes de doações, contratos, convênios, acordos, ajustes, termos de parceria ou outros instrumentos, quando destinados a atender despesas classificáveis como correntes.</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</si>
  <si>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</si>
  <si>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</si>
  <si>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Transferências da União - Específicas de Estados, DF e Municípios</t>
  </si>
  <si>
    <t>Registra o valor total das receitas recebidas por meio de transferências da União para Estados, Distrito Federal e Municípios.</t>
  </si>
  <si>
    <t>Participação na Receita da União</t>
  </si>
  <si>
    <t>Registra o valor total das receitas recebidas por meio de participação na receita da União.</t>
  </si>
  <si>
    <t>Cota-Parte do Fundo de Participação dos Estados e do Distrito Federal</t>
  </si>
  <si>
    <t>Agrega o valor total das receitas recebidas por meio de cota-parte do fundo participação dos Estados e Distrito Federal.</t>
  </si>
  <si>
    <t>Cota-Parte do Fundo de Participação dos Municípios - Cota Mensal</t>
  </si>
  <si>
    <t>Agrega o valor total das receitas recebidas por meio de cota-parte do Fundo de Participação dos Municípios (FPM), referente à alínea “b” do inciso I do art. 159 da Constituição Federal.</t>
  </si>
  <si>
    <t>Cota-Parte do Fundo de Participação do Municípios – 1% Cota entregue no mês de dezembro</t>
  </si>
  <si>
    <t>Agrega o valor total das receitas recebidas por meio de cota-parte do Fundo de Participação dos Municípios (FPM), referente à alínea “d” do inciso I do art. 159 da Constituição Federal.</t>
  </si>
  <si>
    <t>Cota-Parte do Fundo de Participação dos Municípios - 1% Cota entregue no mês de julho</t>
  </si>
  <si>
    <t>Agrega o valor total das receitas recebidas por meio de cota-parte do Fundo de Participação dos Municípios (FPM), referente à alínea “e” do inciso I do art. 159 da Constituição Federal e Emenda Constitucional nº 84, de 2014.</t>
  </si>
  <si>
    <t>Cota-Parte do Imposto Sobre a Propriedade Territorial Rural</t>
  </si>
  <si>
    <t>Agrega o valor total das receitas recebidas por meio de transferências do imposto sobre a propriedade territorial rural.</t>
  </si>
  <si>
    <t>Cota-Parte do Imposto Sobre Produtos Industrializados – Estados Exportadores de Produtos Industrializados</t>
  </si>
  <si>
    <t>Agrega recebidos em decorrência da transferência constitucional do imposto sobre produtos industrializados.</t>
  </si>
  <si>
    <t>Cota-Parte da Contribuição de Intervenção no Domínio Econômico</t>
  </si>
  <si>
    <t xml:space="preserve">Agrega o valor das receitas recebidas pelos Estados por meio de transferências constitucionais da contribuição de intervenção no domínio econômico (Emenda Constitucional nº 42, de 19/12/2003). </t>
  </si>
  <si>
    <t>Cota-Parte do Imposto Sobre Operações de Crédito, Câmbio e Seguro, ou Relativas a Títulos ou Valores Mobiliários – Comercialização do Ouro</t>
  </si>
  <si>
    <t>Agrega o valor total das receitas recebidas por meio de cota-parte imposto sobre operações crédito câmbio e seguros.</t>
  </si>
  <si>
    <t>Transferência da Compensação Financeira pela Exploração de Recursos Naturais</t>
  </si>
  <si>
    <t>Agrega o valor da arrecadação de receita de transferência da compensação financeira pela exploração de recursos naturais.</t>
  </si>
  <si>
    <t>Cota-parte da Compensação Financeira de Recursos Hídricos</t>
  </si>
  <si>
    <t>Agrega o valor da arrecadação da receita da cota-parte da compensação financeira de recursos hídricos, para fins de geração de energia elétrica.</t>
  </si>
  <si>
    <t>Cota-parte da Compensação Financeira de Recursos Minerais - CFEM</t>
  </si>
  <si>
    <t>Agrega o valor da arrecadação da receita da cota-parte da compensação financeira de recursos minerais, para fins de aproveitamento econômico.</t>
  </si>
  <si>
    <t>Cota-parte Royalties – Compensação Financeira pela Produção de Petróleo – Lei nº 7.990/89</t>
  </si>
  <si>
    <t>Agrega o valor da arrecadação da receita com a cota-parte royalties – compensação financeira pela produção de petróleo.</t>
  </si>
  <si>
    <t>Cota-parte Royalties pelo Excedente da Produção do Petróleo – Lei nº 9.478/97, artigo 49, I e II</t>
  </si>
  <si>
    <t>Agrega o valor da arrecadação de receita com a cota-parte royalties pelo excedente da produção do petróleo.</t>
  </si>
  <si>
    <t>Cota-parte Royalties pela Participação Especial – Lei nº 9.478/97, artigo 50</t>
  </si>
  <si>
    <t>Agrega o valor da arrecadação de receita com a cota-parte royalties pela participação especial prevista na Lei nº 9.478/97, art. 50.</t>
  </si>
  <si>
    <t>Cota-Parte do Fundo Especial do Petróleo – FEP</t>
  </si>
  <si>
    <t>Agrega o valor da arrecadação de receita de transferência da cota-parte do Fundo Especial do Petróleo – FEP.</t>
  </si>
  <si>
    <t>Outras Transferências decorrentes de Compensação Financeira pela Exploração de Recursos Naturais</t>
  </si>
  <si>
    <t>Agrega o valor da arrecadação de receita com outras transferências decorrentes de compensação financeira proveniente da exploração de recursos naturais.</t>
  </si>
  <si>
    <t>Transferência de Recursos do Sistema Único de Saúde – SUS – Repasses Fundo a Fundo - Bloco de Manutenção das Ações e Serviços Públicos de Saúde</t>
  </si>
  <si>
    <t>Agrega o valor total das transferências correntes oriundas do Fundo Nacional de Saúde referentes ao bloco de manutenção das ações e serviços públicos de saúde, recebidos pelos Fundos de Saúde dos Estados, do Distrito Federal e dos Municípios.</t>
  </si>
  <si>
    <t>Transferência de Recursos do SUS – Atenção Primária</t>
  </si>
  <si>
    <t>Agrega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</si>
  <si>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Transferência de Recursos do SUS – Atenção Especializada</t>
  </si>
  <si>
    <t>Agrega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</si>
  <si>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Transferência de Recursos do SUS – Vigilância em Saúde</t>
  </si>
  <si>
    <t>Agrega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</si>
  <si>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Transferência de Recursos do SUS – Assistência Farmacêutica</t>
  </si>
  <si>
    <t>Agrega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</si>
  <si>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Transferência de Recursos do SUS – Gestão do SUS</t>
  </si>
  <si>
    <t>Agrega o valor total de transferências correntes do bloco de manutenção das ações e serviços públicos de saúde do Fundo Nacional de Saúde (União) recebidos pelos Fundos de Saúde dos Estados, do Distrito Federal e dos Municípios, referentes a gastos com gestão do SUS.</t>
  </si>
  <si>
    <t>Transferência de Recursos do SUS – Outros Programas Financiados por Transferências Fundo a Fundo</t>
  </si>
  <si>
    <t>Agrega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</si>
  <si>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Transferências de Recursos do Sistema Único de Saúde – SUS - Repasses Fundo a Fundo - Bloco de Estruturação da Rede de Serviços Públicos de Saúde</t>
  </si>
  <si>
    <t>Agrega o valor total das transferências correntes oriundas do Fundo Nacional de Saúde referentes ao bloco de estruturação da rede de serviços públicos de saúde, recebidos pelos Fundos de Saúde dos Estados, do Distrito Federal e dos Municípios.</t>
  </si>
  <si>
    <t>Transferências de Recursos do Sistema Único de Saúde – SUS Destinados à Atenção Primária</t>
  </si>
  <si>
    <t>Agrega o valor das transferências correntes da União recebidas pelos Estados, Distrito Federal e Municípios, referentes ao bloco de estruturação da rede de serviços do Sistema Único de Saúde – SUS, destinados à atenção primária em saúde.</t>
  </si>
  <si>
    <t>Transferências de Recursos do Sistema Único de Saúde – SUS destinados à Atenção Especializada</t>
  </si>
  <si>
    <t>Agrega o valor das transferências correntes da União recebidas pelos Estados, Distrito Federal e Municípios, referentes ao bloco de estruturação da rede de serviços do Sistema Único de Saúde – SUS, destinados à atenção especializada em saúde.</t>
  </si>
  <si>
    <t>Transferências de Recursos do Sistema Único de Saúde – SUS destinados à Vigilância em Saúde</t>
  </si>
  <si>
    <t>Agrega o valor das transferências correntes da União recebidas pelos Estados, Distrito Federal e Municípios, referentes ao bloco de estruturação da rede de serviços do Sistema Único de Saúde – SUS, destinados à Vigilância em Saúde.</t>
  </si>
  <si>
    <t>Transferências de Recursos do Sistema Único de Saúde – SUS destinados à Gestão e Desenvolvimento de Tecnologias em Saúde no SUS</t>
  </si>
  <si>
    <t>Agrega o valor das transferências correntes da União recebidas pelos Estados, Distrito Federal e Municípios, referentes ao bloco de estruturação da rede de serviços do Sistema Único de Saúde – SUS, destinados à Gestão e Desenvolvimento de Tecnologias em Saúde no SUS.</t>
  </si>
  <si>
    <t>Transferências de Recursos do Sistema Único de Saúde – SUS destinados à Gestão do SUS</t>
  </si>
  <si>
    <t>Agrega o valor das transferências correntes da União recebidas pelos Estados, Distrito Federal e Municípios, referentes ao bloco de estruturação da rede de serviços do Sistema Único de Saúde – SUS, destinados à Gestão do SUS.</t>
  </si>
  <si>
    <t>Outras Transferências de Recursos do Sistema Único de Saúde – SUS, não detalhadas anteriormente</t>
  </si>
  <si>
    <t>Agrega o valor das transferências correntes da União recebidas pelos Estados, Distrito Federal e Municípios, referentes ao bloco de investimentos na rede de serviços do Sistema Único de Saúde – SUS, não detalhadas anteriormente.</t>
  </si>
  <si>
    <t>Agrega o valor das transferências correntes da União recebidas pelos Estados, Distrito Federal e Municípios, referentes ao bloco de estruturação da rede de serviços do Sistema Único de Saúde – SUS, não detalhadas anteriormente.</t>
  </si>
  <si>
    <t>Transferências de Recursos do Fundo Nacional do Desenvolvimento da Educação – FNDE</t>
  </si>
  <si>
    <t>Registra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</si>
  <si>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</si>
  <si>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Registra o valor dos recursos de transferência da União para os Estados, Distrito Federal e Municípios a título de Salário-Educação, na forma da Lei 10.832/03.</t>
  </si>
  <si>
    <t>Transferências Diretas do FNDE referentes ao Programa Dinheiro Direto na Escola – PDDE</t>
  </si>
  <si>
    <t xml:space="preserve">Registra o valor dos recursos de transferências da União aos Estados, Distrito Federal e Municípios referentes ao Programa Dinheiro Direto na Escola – PDDE. </t>
  </si>
  <si>
    <t>Transferências Diretas do FNDE referentes ao Programa Nacional de Alimentação Escolar – PNAE</t>
  </si>
  <si>
    <t>Registra o valor dos recursos de transferências da União aos Estados, Distrito Federal e Municípios, referentes ao Programa Nacional de Alimentação Escolar – PNAE.</t>
  </si>
  <si>
    <t>Transferências Diretas do FNDE referentes ao Programa Nacional de Apoio ao Transporte do Escolar – PNATE</t>
  </si>
  <si>
    <t>Registra o valor dos recursos de transferências da União aos Estados, Distrito Federal e Municípios, referentes ao Programa Nacional de Apoio ao Transporte Escolar – PNATE . Lei nº 10.880, de 09/06/04.</t>
  </si>
  <si>
    <t>Programa Nacional de Inclusão de Jovens - Projovem Urbano</t>
  </si>
  <si>
    <t>Registra o valor dos recursos de transferências da União aos Estados, Distrito Federal e Municípios, referentes ao Programa Nacional de Inclusão de Jovens - Projovem Urbano. Lei nº 11.692, de 10 de junho de 2008.</t>
  </si>
  <si>
    <t>Programa Nacional de Inclusão de Jovens - Projovem Campo</t>
  </si>
  <si>
    <t>Registra o valor dos recursos de transferências da União aos Estados, Distrito Federal e Municípios, referentes ao Programa Nacional de Inclusão de Jovens - Projovem Campo. Lei nº 11.692, de 10 de junho de 2008.</t>
  </si>
  <si>
    <t>Programa Brasil Alfabetizado - PBA</t>
  </si>
  <si>
    <t>Registra o valor dos recursos de transferências da União aos Estados, Distrito Federal e Municípios, referentes ao Programa Brasil Alfabetizado - PBA . Lei n° 10.880, de 09 de junho de 2004.</t>
  </si>
  <si>
    <t>Programa de Apoio aos Sistemas de Ensino para Atendimento à Educação de Jovens e Adultos - PEJA</t>
  </si>
  <si>
    <t>Registra o valor dos recursos de transferências da União aos Estados, Distrito Federal e Municípios, referentes ao Programa de Apoio aos Sistemas de Ensino para Atendimento à Educação de Jovens e Adultos - PEJA. Lei n° 10.880, de 9 de junho de 2004.</t>
  </si>
  <si>
    <t>Outras Transferências Diretas do Fundo Nacional do Desenvolvimento da Educação – FNDE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</si>
  <si>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</si>
  <si>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Transferência Financeira do ICMS – Desoneração – L.C. Nº 87/96</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</si>
  <si>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</si>
  <si>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Transferências da União a Consórcios Públicos</t>
  </si>
  <si>
    <t>Registra a receita repassada pela União a consórcios públicos, mediante contrato ou outro instrumento.</t>
  </si>
  <si>
    <t>Transferências Advindas de Emendas Parlamentares Individuais</t>
  </si>
  <si>
    <t>Registra a receita corrente repassada pela União , decorrente de emedas parlamentares individuais, na forma prevista do parágrafo 9º do art. 166, da CF/88, acrescido pela Emenda Constitucional nº 86/2015.</t>
  </si>
  <si>
    <t>Portaria STN nº 387, de 13 de Junho de 2019</t>
  </si>
  <si>
    <t>Transferências de Recursos de Complementação da União ao Fundo de Manutenção e Desenvolvimento da Educação Básica e de Valorização dos Profissionais da Educação – FUNDEB</t>
  </si>
  <si>
    <t>Agrega o valor total dos recursos de transferências da União para complementação do FUNDEB, recebidos pelos Estados, Distrito Federal e Municípios, não podendo ser utilizado este item para o registro do ganho apurado nas operações do FUNDEB.</t>
  </si>
  <si>
    <t>Transferências de Recursos da Complementação da União ao Fundo de Manutenção e Desenvolvimento da Educação Básica e de Valorização dos Profissionais da Educação – FUNDEB</t>
  </si>
  <si>
    <t>Transferências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</si>
  <si>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</si>
  <si>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para o Sistema Único de Saúde – SUS</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</si>
  <si>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</si>
  <si>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Destinadas a Programas de Educação</t>
  </si>
  <si>
    <t>Registra o valor da receita de transferências de convênios da União destinadas a programas de educação.</t>
  </si>
  <si>
    <t>Transferências de Convênios da União Destinadas a Programas de Assistência Social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</si>
  <si>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</si>
  <si>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Combate à Fome</t>
  </si>
  <si>
    <t>Registra o valor da receita de transferências de convênios da União destinadas a programas de combate à Fome.</t>
  </si>
  <si>
    <t>Transferências de Convênios da União Destinadas a Programas de Saneamento Básico</t>
  </si>
  <si>
    <t>Registra o valor da receita de transferências de convênios da União destinadas a programas de saneamento básico.</t>
  </si>
  <si>
    <t>Outras Transferências de Convênios da União</t>
  </si>
  <si>
    <t>Registra o valor da receita de outras transferências de convênios da União, não compreendidas nos itens anteriores.</t>
  </si>
  <si>
    <t>Transferências de Recursos para Segurança Pública</t>
  </si>
  <si>
    <t>Registra o valor da receita de transferências de recursos da União para Estados, Distrito Federal e  Municípios especificamente para a área de segurança pública.</t>
  </si>
  <si>
    <t>Transferência de Recursos do Fundo Penitenciário Nacional - Fupen</t>
  </si>
  <si>
    <t>Registra o valor da receita das transferências de recursos do Fundo Penitenciário Nacional - Fupen, a título de transferência obrigatória aos Estados, Distrito Federal e Municípios.</t>
  </si>
  <si>
    <t>Transferência de Recursos do Fundo Nacional de Segurança Pública - FNSP - Obrigatórias</t>
  </si>
  <si>
    <t>As transferências dos recursos do FNSP destinadas aos Estados, ao Distrito Federal e aos Municípios repassadas aos entes federativos, nos termos da legislação em vigor, a título de transferência obrigatória, no mínimo, 50% (cinquenta por cento) dos recursos de que trata a alínea a do inciso II do caput do art. 3º da Lei nº 13.756/2018 para o fundo estadual ou distrital, independentemente da celebração de convênio, de contrato de repasse ou de instrumento congênere.</t>
  </si>
  <si>
    <t>Lei nº 13.756/2018</t>
  </si>
  <si>
    <t>Transferência de Recursos do Fundo Nacional de Segurança Pública - FNSP - Acordadas</t>
  </si>
  <si>
    <t>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</si>
  <si>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Outras Transferências para Segurança Pública</t>
  </si>
  <si>
    <t>Demais transferências para a área de segurança pública que não se enquadrem nos itens de natureza de receita anteriores.</t>
  </si>
  <si>
    <t>Transferências de Recursos do Fundo Nacional de Assistência Social – FNAS</t>
  </si>
  <si>
    <t>Registra o valor total dos recursos de transferências correntes da União recebidos pelos Estados, Distrito Federal e Municípios, referentes ao Fundo Nacional de Assistência Social – FNAS.</t>
  </si>
  <si>
    <t>Transferências Decorrentes de Decisão Judicial (precatórios) Relativas ao Fundo de Manutenção e Desenvolvimento do Ensino Fundamental e de Valorização do Magistério – FUNDEF</t>
  </si>
  <si>
    <t>Agrega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</si>
  <si>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Outras Transferências da União</t>
  </si>
  <si>
    <t>Registra o valor total das receitas recebidas por meio de outras transferências da União que não se enquadram nos itens anteriores,.</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</si>
  <si>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</si>
  <si>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</si>
  <si>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Transferências dos Estados - Específicas de Estados, DF e Municípios</t>
  </si>
  <si>
    <t>Registra o valor total dos recursos recebidos pelas demais esferas de governo e respectivas entidades da administração descentralizada, transferidos pelos Estados.</t>
  </si>
  <si>
    <t>Participação na Receita dos Estados</t>
  </si>
  <si>
    <t>Demonstra o valor total dos recursos recebidos pelos Municípios, por sua participação constitucional na arrecadação de receitas estaduais. As parcelas do Imposto sobre a Propriedade de Veículos Automotores – IPVA, do Imposto Sobre Operações Relativas a Circulação de Mercadorias e Sobre Prestação de Serviços de Transporte Interestadual e Intermunicipal e de Comunicação – ICMS, e do Imposto sobre Produto Industrializado sobre exportações – IPI-Exportação, pertencentes aos Municípios, devem ser classificadas em contas a serem discriminadas como desdobramento desse título.</t>
  </si>
  <si>
    <t>Cota-Parte do ICMS</t>
  </si>
  <si>
    <t>Registra o valor da arrecadação de receita de transferência da participação de municípios na arrecadação do Imposto sobre a Circulação de Mercadorias e Prestação de Serviços – ICMS, pelo estado.</t>
  </si>
  <si>
    <t>Cota-Parte do IPVA</t>
  </si>
  <si>
    <t>Registra o valor da arrecadação de receita de transferência da participação de municípios na arrecadação do Imposto sobre a Propriedade de Veículos Automotores – IPVA, pelo estado.</t>
  </si>
  <si>
    <t>Cota-Parte do IPI - Municípios</t>
  </si>
  <si>
    <t>Registra o valor recebido pelo município decorrente da participação deste na Cota-Parte do Estado na arrecadação do Imposto sobre Produtos Industrializados – IPI realizada pela União.</t>
  </si>
  <si>
    <t>Registra o valor total das receitas recebidas pelos Municípios por meio de transferências constitucionais da contribuição de intervenção no domínio econômico (Emenda Constitucional nº 42, de 19/12/2003).</t>
  </si>
  <si>
    <t>Outras Participações na Receita dos Estados</t>
  </si>
  <si>
    <t>Registra o valor total da arrecadação de outras participações na receita dos Estados, não classificadas nos itens anteriores.</t>
  </si>
  <si>
    <t>Outras Transferências dos Estados</t>
  </si>
  <si>
    <t>Registra o valor decorrente de outras transferências dos Estados.</t>
  </si>
  <si>
    <t>Transferência da Cota-parte da Compensação Financeira (25%)</t>
  </si>
  <si>
    <t>Registra o valor da arrecadação de receita com a transferência da cota-parte da compensação financeira proveniente da exploração de recursos naturais.</t>
  </si>
  <si>
    <t>Registra o valor da arrecadação da receita com a cota-parte da compensação financeira de recursos hídricos.</t>
  </si>
  <si>
    <t>Registra o valor da arrecadação da receita com a cota-parte da compensação financeira de recursos minerais.</t>
  </si>
  <si>
    <t>Cota-parte Royalties – Compensação Financeira pela Produção do Petróleo – Lei nº 7.990/89, artigo 9º</t>
  </si>
  <si>
    <t>Registra o valor da arrecadação com a cota-parte royalties – compensação financeira pela produção do petróleo.</t>
  </si>
  <si>
    <t>Outras Transferências Decorrentes de Compensações Financeiras</t>
  </si>
  <si>
    <t>Registra o valor da arrecadação de receita com outras transferências decorrentes de compensações financeiras.</t>
  </si>
  <si>
    <t>Transferência de Recursos do Estado para Programas de Saúde – Repasse Fundo a Fundo</t>
  </si>
  <si>
    <t>Registra o valor de receita da transferência de recursos do Sistema Único de Saúde oriundo do Fundo Estadual de Saúde para o Fundo Municipal de Saúde (Ações Básicas de Vigilância Sanitária, Atenção à Saúde dos Povos Indígenas, Programa de Assistência Farmacêutica Básica, Programa de Combate às Carências Nutricionais, Programa de Saúde da Família, Programa de Agentes Comunitários, Programa Nacional de Vigilância Epidemiológica e Controle de Doenças e outros).</t>
  </si>
  <si>
    <t>Transferências de Estados a Consórcios Públicos</t>
  </si>
  <si>
    <t>Registra a receita repassada pelos Estados a consórcios públicos, mediante contrato ou outro instrumento.</t>
  </si>
  <si>
    <t>Transferências de Estados destinadas à Assistência Social</t>
  </si>
  <si>
    <t>Registra a receita repassada pelos Estados aos demais entes destinadas à Assistência Social.</t>
  </si>
  <si>
    <t>Transferência de Convênios dos Estados e do Distrito Federal e de Suas Entidades</t>
  </si>
  <si>
    <t>Registra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</si>
  <si>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Transferências de Convênio dos Estados para o Sistema Único de Saúde – SUS</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</si>
  <si>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</si>
  <si>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Transferências de Convênio dos Estados Destinadas a Programas de Educação</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</si>
  <si>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</si>
  <si>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Outras Transferências de Convênio dos Estados</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</si>
  <si>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</si>
  <si>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Para atender às suas necessidades de identificação, as demais esferas de governo poderão desdobrar esse item, discriminando os recursos transferidos pelos Estados que não estejam especificados.</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</si>
  <si>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</si>
  <si>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</si>
  <si>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Transferências dos Municípios -Específicas de Estados, DF e Municípios</t>
  </si>
  <si>
    <t>Registra o valor total dos recursos recebidos pelos Estados, Distrito Federal e Municípios, incluindo suas respectivas entidades, transferidos por Municípios. Essa conta não se aplica para transferências intragovernamentais (vide Portaria Interministerial nº 163/01 e Portaria STN nº 339/01).</t>
  </si>
  <si>
    <t>Transferências de Recursos do Sistema Único de Saúde – SUS</t>
  </si>
  <si>
    <t>Registra o valor total dos recursos de transferências de municípios para municípios, referente ao Sistema Único de Saúde – SUS, exceto as transferências vinculadas a convênios.</t>
  </si>
  <si>
    <t>Transferências de Municípios a Consórcios Públicos</t>
  </si>
  <si>
    <t>Registra a receita repassada pelos Municípios a consórcios públicos, mediante contrato ou outro instrumento.</t>
  </si>
  <si>
    <t>Transferência de Convênios dos Municípios e de Suas Entidades</t>
  </si>
  <si>
    <t>Registra o valor total de recursos oriundos de convênios firmados com os Municípios e suas entidades, recebidos pela União, Estados, Distrito Federal e Municípios e suas respectivas entidades, para realização de objetivos de interesse comum dos partícipes, destinadas a custear despesas correntes.</t>
  </si>
  <si>
    <t>Transferências de Convênio dos Municípios para o Sistema Único de Saúde – SUS</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</si>
  <si>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</si>
  <si>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Transferências de Convênio dos Municípios destinadas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</si>
  <si>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</si>
  <si>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Outras Transferências de Convênios dos Municípios</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</si>
  <si>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</si>
  <si>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Outras Transferências dos Municípios</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</si>
  <si>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</si>
  <si>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Transferências de Instituições Privadas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</si>
  <si>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</si>
  <si>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Outras Transferências de Instituições Privadas</t>
  </si>
  <si>
    <t>Transferências de Instituições Privadas - Específicas de Estados, DF e Municípios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</si>
  <si>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 Específica para transferências aos Estados, Distrito Federal e Municípios.</t>
  </si>
  <si>
    <t>Transferência de Convênios de Instituições Privadas para EST/DF/MUN</t>
  </si>
  <si>
    <t>Agrega as receitas provenientes de recursos financeiros recebidos de instituições dotadas de personalidade jurídica de direito privado, decorrentes de convênios, quando destinados a atender despesas classificáveis como correntes. Específica para transferências aos Estados, Distrito Federal e Municípios.</t>
  </si>
  <si>
    <t>Transferências de Convênios de Instituições Privadas para Programas de Saúde</t>
  </si>
  <si>
    <t>Agrega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</si>
  <si>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Transferências de Convênios de Instituições Privadas para Programas de Educação</t>
  </si>
  <si>
    <t>Agrega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</si>
  <si>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Outras Transferências de Convênios de Instituições Privadas</t>
  </si>
  <si>
    <t>Agrega o valor total dos recursos oriundos de outros convênios firmados, com ou sem contraprestações de serviços, com instituições privadas, para a realização de objetivos de interesse comum dos partícipes, destinados a custear despesas correntes, não especificadas anteriormente.</t>
  </si>
  <si>
    <t>Outras Transferência de Instituições Privadas para EST/DF/MUN - Não Especificadas Anteriormente</t>
  </si>
  <si>
    <t>Agrega o valor total dos recursos oriundos instituições privadas, para realização de objetivos de interesse comum dos partícipes, não especificados anteriormente, destinados a custear despesas correntes.</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</si>
  <si>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</si>
  <si>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</si>
  <si>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Transferências de Outras Instituições Públicas - Específicas de Estados, DF e Municípios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</si>
  <si>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 Específica para transferências aos Estados, Distrito Federal e Municípios.</t>
  </si>
  <si>
    <t>Transferências de Recursos do Fundo de Manutenção e Desenvolvimento da Educação Básica e de Valorização dos Profissionais da Educação – FUNDEB</t>
  </si>
  <si>
    <t>Registra o valor total dos recursos de transferências recebidos diretamente do FUNDEB, pelos Estados, Distrito Federal e Municípios, independente do valor que foi deduzido no ente para a formação do FUNDEB.</t>
  </si>
  <si>
    <t>Outras Transferências Multigovernamentais</t>
  </si>
  <si>
    <t>Registra o valor da receita de outras transferências multigovernamentais, não classificadas nos itens anteriores.</t>
  </si>
  <si>
    <t>Transferências do Exterior</t>
  </si>
  <si>
    <t>Agrega as receitas provenientes de recursos financeiros recebidos do exterior, decorrentes de doações, contratos, acordos, ajustes ou outros instrumentos, quando destinados a atender despesas classificáveis como correntes.</t>
  </si>
  <si>
    <t>Transferências do Exterior - Específicas de Estados, DF e Municípios</t>
  </si>
  <si>
    <t>Agrega as receitas provenientes de recursos financeiros recebidos do exterior, decorrentes de doações, contratos, acordos, ajustes ou outros instrumentos, quando destinados a atender despesas classificáveis como correntes. Específica para transferências aos Estados, Distrito Federal e Municípios.</t>
  </si>
  <si>
    <t>Transferência de Convênios do Exterior</t>
  </si>
  <si>
    <t>Agrega o valor total dos recursos oriundos de convênios firmados com organismos e fundos internacionais, governos estrangeiros e instituições privadas internacionais.</t>
  </si>
  <si>
    <t>Transferência de Convênios do Exterior - Programas de Saúde</t>
  </si>
  <si>
    <t>Agrega o valor total dos recursos oriundos de convênios firmados com organismos e fundos internacionais, governos estrangeiros e instituições privadas internacionais, especificamente destinados a programas de saúde.</t>
  </si>
  <si>
    <t>Transferência de Convênios do Exterior - Programas de Educação</t>
  </si>
  <si>
    <t>Agrega o valor total dos recursos oriundos de convênios firmados com organismos e fundos internacionais, governos estrangeiros e instituições privadas internacionais, especificamente destinados a programas de educação.</t>
  </si>
  <si>
    <t>Outras Transferência de Convênios do Exterior - Não Especificadas Anteriormente</t>
  </si>
  <si>
    <t>Agrega o valor total dos recursos oriundos de convênios firmados com organismos e fundos internacionais, governos estrangeiros e instituições privadas internacionais, não especificados nos itens anteriores.</t>
  </si>
  <si>
    <t>Transferências de Pessoas Físicas</t>
  </si>
  <si>
    <t>Agrega as receitas provenientes de recursos financeiros recebidos de pessoas físicas, decorrentes de doações, contratos, acordos, ajustes ou outros instrumentos, quando destinados a atender despesas classificáveis como correntes.</t>
  </si>
  <si>
    <t>Transferências de Pessoas Físicas - Específicas de Estados, DF e Municípios</t>
  </si>
  <si>
    <t>Agrega as receitas provenientes de recursos financeiros recebidos de pessoas físicas, decorrentes de doações, contratos, acordos, ajustes ou outros instrumentos, quando destinados a atender despesas classificáveis como correntes. Específica para transferências aos Estados, Distrito Federal e Municípios.</t>
  </si>
  <si>
    <t>Transferências de Pessoas Físicas - Específicas de E/DF/M</t>
  </si>
  <si>
    <t>Transferências de Pessoas Físicas - Específicas de E/DF/M - Programas de Saúde</t>
  </si>
  <si>
    <t>Agrega o valor total dos recursos financeiros recebidos de pessoas físicas, decorrentes de doações, contratos, acordos, ajustes ou outros instrumentos, quando destinados a atender despesas especificamente destinados a programas de saúde.</t>
  </si>
  <si>
    <t>Transferências de Pessoas Físicas - Específicas de E/DF/M - Programas de Educação</t>
  </si>
  <si>
    <t>Agrega o valor total dos recursos financeiros recebidos de pessoas físicas, decorrentes de doações, contratos, acordos, ajustes ou outros instrumentos, quando destinados a atender despesas especificamente destinados a programas de educação.</t>
  </si>
  <si>
    <t>Outras Transferência de Pessoas Físicas- Específicas de E/DF/M - Não Especificadas Anteriormente</t>
  </si>
  <si>
    <t>Agrega as receitas provenientes de recursos financeiros recebidos de pessoas físicas, decorrentes de doações, contratos, acordos, ajustes ou outros instrumentos, quando destinados a atender despesas classificáveis como correntes, para transferências aos Estados, Distrito Federal e Municípios, não especificados nos itens anteriores.</t>
  </si>
  <si>
    <t>Transferências Provenientes de Depósitos Não Identificados</t>
  </si>
  <si>
    <t>Agrega as receitas provenientes de depósitos não identificados, decorrentes de doações, quando destinados a atender despesas classificáveis como correntes.</t>
  </si>
  <si>
    <t>Outras Receitas Correntes</t>
  </si>
  <si>
    <t>Agrega recursos não classificáveis nas origens de receitas correntes anteriores.</t>
  </si>
  <si>
    <t>Multas Administrativas, Contratuais e Judiciais</t>
  </si>
  <si>
    <t>Agrega receitas decorrentes de multas de caráter punitivo aplicadas por órgãos ou entidades.</t>
  </si>
  <si>
    <t>Multas Previstas em Legislação Específica</t>
  </si>
  <si>
    <t>Agrega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</si>
  <si>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Multas Previstas na Lei Geral das Telecomunicações</t>
  </si>
  <si>
    <t>Agrega receitas decorrentes de multas aplicadas por infração à Lei Geral de Telecomunicações - LGT e cometidas por concessionários de serviços de telecomunicações e de radiodifusão.</t>
  </si>
  <si>
    <t>Multas Previstas na Lei Geral das Telecomunicações - Proveniente da Utilização de Posições Orbitais</t>
  </si>
  <si>
    <t>Multas Previstas na Legislação do Seguro-Desemprego e Abono Salarial</t>
  </si>
  <si>
    <t>Agrega receitas decorrentes de multas aplicadas por infração à legislação do seguro desemprego e abono salarial.</t>
  </si>
  <si>
    <t>Multas Previstas na Legislação sobre Defesa dos Direitos Difusos</t>
  </si>
  <si>
    <t>Agrega receitas oriundas de multas aplicadas por infrações à legislação sobre defesa de direitos difusos.</t>
  </si>
  <si>
    <t>Multas Previstas em Lei por Infrações no Setor de Energia Elétrica</t>
  </si>
  <si>
    <t>Agrega Multas aplicadas pela ANEEL (auto de infração) a Concessionárias, Permissionárias e Autorizadas de Energia Elétrica</t>
  </si>
  <si>
    <t>Multas por Danos Ambientais</t>
  </si>
  <si>
    <t>Agrega receitas provenientes de multas aplicadas por condutas e atividades lesivas ao meio ambiente.</t>
  </si>
  <si>
    <t>Multas Administrativas por Danos Ambientais</t>
  </si>
  <si>
    <t>Agrega receitas provenientes de sanções administrativas derivadas de condutas e atividades lesivas ao meio ambiente aplicadas por órgãos fiscalizadores.</t>
  </si>
  <si>
    <t>Multas Judiciais por Danos Ambientais</t>
  </si>
  <si>
    <t>Agrega receitas decorrentes de multas aplicadas por determinação judicial, relativas a condutas e atividades lesivas ao meio ambiente.</t>
  </si>
  <si>
    <t>Multas Aplicadas pelos Tribunais de Contas</t>
  </si>
  <si>
    <t>Agrega multas aplicadas por Tribunais de Contas pelo não cumprimento a decisão daqueles Tribunais.</t>
  </si>
  <si>
    <t>Multas Decorrentes de Sentenças Judiciais</t>
  </si>
  <si>
    <t>Agrega receitas decorrentes de multas aplicadas no âmbito de processos judiciais.</t>
  </si>
  <si>
    <t>Multas e Juros Previstos em Contratos</t>
  </si>
  <si>
    <t>Agrega receitas de multas e juros de mora destinados à indenização pelo atraso no cumprimento de obrigação e multas de caráter punitivo ou moratório decorrentes de inobservância de obrigações contratuais.</t>
  </si>
  <si>
    <t>Multas Previstas na Legislação sobre Regime de Previdência Privada Complementar</t>
  </si>
  <si>
    <t>Agrega receitas decorrentes de multas aplicadas pelo descumprimento da obrigatoriedade de que trata a legislação sobre regime de previdência privada complementar.</t>
  </si>
  <si>
    <t>Multa por Descumprimento de Obrigação Previdenciária Acessória</t>
  </si>
  <si>
    <t>Agrega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</si>
  <si>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Multas Previstas na Legislação Antidrogas</t>
  </si>
  <si>
    <t>Agrega as receitas que se originaram de multas por infração às normas de controle e fiscalização sobre produtos químicos que direta ou indiretamente possam ser destinados à elaboração ilícita de substâncias entorpecentes, psicotrópicas ou que determinem dependência física ou psíquica.</t>
  </si>
  <si>
    <t>Multas Previstas na Legislação Anticorrupção.</t>
  </si>
  <si>
    <t>Agrega as receitas que se originaram de multas por infrações cometidas por pessoas jurídicas consideradas responsáveis pelos atos lesivos previstos na Lei no 12.846, de 2013.</t>
  </si>
  <si>
    <t>Multas da Legislação Anticorrupção Oriundas de Processos Administrativos de Responsabilização.</t>
  </si>
  <si>
    <t>Agrega as receitas que se originaram de multas por infração cometidas por pessoas jurídicas consideradas responsáveis pelos atos lesivos previstos na Lei no 12.846, de 2013, aplicadas através de Processo Administrativo de Responsabilização - PAR, conforme Art. 6º, inciso I da Lei no 12.846, de 2013.</t>
  </si>
  <si>
    <t>Multas da Legislação Anticorrupção Oriundas de Acordos de Leniência</t>
  </si>
  <si>
    <t>Agrega as receitas que se originaram de multas por infração cometidas por pessoas jurídicas consideradas responsáveis pelos atos lesivos previstos na Lei no 12.846, de 2013, aplicadas através do Acordo de Leniência previsto no §2o do art. 16 da Lei no 12.846, de 2013.</t>
  </si>
  <si>
    <t>Indenizações, Restituições e Ressarcimentos</t>
  </si>
  <si>
    <t>Agrega as receitas oriundas de indenizações, restituições e ressarcimentos ao ente público.</t>
  </si>
  <si>
    <t>Indenizações</t>
  </si>
  <si>
    <t>Agrega as receitas advindas da reparação por perdas ou danos causados ao ente público.</t>
  </si>
  <si>
    <t>Indenizações por Danos Causados ao Patrimônio Público</t>
  </si>
  <si>
    <t>Agrega o valor dos recursos recebidos como indenização por danos causados ao patrimônio público ou indenização por Posse/Ocupação Ilícita de Bens da União.</t>
  </si>
  <si>
    <t>Indenização por Posse ou Ocupação Ilícita de Bens Públicos</t>
  </si>
  <si>
    <t>Agrega o valor das receitas de Indenização por Posse ou Ocupação Ilícita de Bens da União.</t>
  </si>
  <si>
    <t>Indenização por Sinistro</t>
  </si>
  <si>
    <t>Agrega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</si>
  <si>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Outras Indenizações</t>
  </si>
  <si>
    <t>Agrega recursos recebidos como ressarcimento por danos causados ao patrimônio público, não classificado nos itens anteriores.</t>
  </si>
  <si>
    <t>Restituições</t>
  </si>
  <si>
    <t>Agrega recursos referentes a devoluções em decorrência de pagamentos indevidos e reembolso ou retorno de pagamentos efetuados a título de antecipação.</t>
  </si>
  <si>
    <t>Restituição de Convênios</t>
  </si>
  <si>
    <t>Agrega receitas decorrentes da restituição ao concedente ou ao Tesouro do ente, do saldo de recursos de convênios ou instrumentos congêneres realizados, quando da conclusão com sobra de recursos ou em virtude de denúncia, rescisão ou extinção do convênio.</t>
  </si>
  <si>
    <t>Restituição de Convênios - Primárias</t>
  </si>
  <si>
    <t>Agrega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</si>
  <si>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Restituição de Convênios - Financeiras</t>
  </si>
  <si>
    <t>Restituição de Benefícios Não Desembolsados</t>
  </si>
  <si>
    <t>Agrega receitas decorrentes de restituições, ao órgão concedente, de benefícios que não foram desembolsados em exercícios anteriores, ou mesmo pagos com erro ou fraude.</t>
  </si>
  <si>
    <t>Restituição de Benefícios Previdenciários</t>
  </si>
  <si>
    <t>Agrega as receitas provenientes de restituição dos benefícios previdenciários.</t>
  </si>
  <si>
    <t>Restituição de Benefícios Assistenciais</t>
  </si>
  <si>
    <t>Agrega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</si>
  <si>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Restituição de Contribuições Previdenciárias Complementares</t>
  </si>
  <si>
    <t>Agrega receitas relativas à restituição de contribuições previdenciárias complementares, como no caso de pagamentos por parte da Administração às fundações de previdência privada, relativas aos servidores que se aposentam.</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</si>
  <si>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</si>
  <si>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</si>
  <si>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Restituição de Parcelas do Seguro Desemprego Recebidas Indevidamente</t>
  </si>
  <si>
    <t>Agrega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</si>
  <si>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Restituição de Garantias Prestadas</t>
  </si>
  <si>
    <t>Agrega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</si>
  <si>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Restituição de Recursos de Fomento</t>
  </si>
  <si>
    <t>Agrega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</si>
  <si>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Decorrente da Não Aplicação de Incentivos Fiscais</t>
  </si>
  <si>
    <t>Agrega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</si>
  <si>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Restituição Decorrente da Não Aplicação de Incentivos Fiscais Relativos à Lei Rouanet</t>
  </si>
  <si>
    <t>Restituição Decorrente da Não Aplicação de Incentivos Fiscais Relativos à Lei do Audiovisual</t>
  </si>
  <si>
    <t>Agrega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</si>
  <si>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Restituição Decorrente da Aplicação Irregular de Recursos Eleitorais</t>
  </si>
  <si>
    <t>Agrega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</si>
  <si>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Restituição de Depósitos de Setenças Judiciais não Sacados</t>
  </si>
  <si>
    <t>Agrega receitas decorrentes de restituições, ao órgão concedente, de depósitos relativos a precatórios e a sentenças de pequeno valor que não foram sacados pelos respectivos beneficiários há mais de dois anos.</t>
  </si>
  <si>
    <t>Restituição de Contribuições para a Previdência Complementar do Servidor Público</t>
  </si>
  <si>
    <t>Agrega receitas decorrentes de restituições de aportes financeiros dos Patrocinadores em favor da Funpresp-Exe, da Funpresp-Leg e da Funpresp-Jud, a título de adiantamento de contribuições futuras, necessários ao regular funcionamento inicial da Funpresp.</t>
  </si>
  <si>
    <t>Portaria SEAFI nº 2, de 8 de Abril de 2019 (SOF)</t>
  </si>
  <si>
    <t>Outras Restituições</t>
  </si>
  <si>
    <t>Agrega receitas decorrentes de restituições não classificadas nos itens anteriores.</t>
  </si>
  <si>
    <t>Ressarcimentos</t>
  </si>
  <si>
    <t>Agrega recursos referentes a ressarcimentos recebidos pelo ente público.</t>
  </si>
  <si>
    <t>Ressarcimento por Operadoras de Seguros Privados de Assistência a Saúde</t>
  </si>
  <si>
    <t>Agrega receitas de ressarcimentos por operadoras de seguros privados de assistência à saúde.</t>
  </si>
  <si>
    <t>Ressarcimento de Custos</t>
  </si>
  <si>
    <t>Agrega receitas oriundas do ressarcimento de custos</t>
  </si>
  <si>
    <t>Reversão de Garantias</t>
  </si>
  <si>
    <t>Agrega as receitas relativas à incorporação de valores perdidos em favor da União, quando nos casos de reversão de depósito de garantias, ou outros assemelhados, nos casos relacionados a contratos administrativos.</t>
  </si>
  <si>
    <t>Ressarcimento ao Regime Geral de Previdência Social - RGPS</t>
  </si>
  <si>
    <t>Agrega os recursos decorrentes do ressarcimento de ações regressivas oriundas da relação de trabalho.</t>
  </si>
  <si>
    <t>Outros Ressarcimentos</t>
  </si>
  <si>
    <t>Agrega receitas oriundas de ressarcimentos não previstos nos itens anteriores</t>
  </si>
  <si>
    <t>Indenizações, Restituições e Ressarcimentos - Específicas para Estados/DF/Municípios</t>
  </si>
  <si>
    <t>Agrega as receitas oriundas de indenizações, restituições e ressarcimentos ao ente público, específicas para Estados, DF e Municípios.</t>
  </si>
  <si>
    <t>Indenizações- Específicas para Estados/DF/Municípios</t>
  </si>
  <si>
    <t>Agrega as receitas oriundas de indenizações ao ente público, específicas para Estados, DF e Municípios.</t>
  </si>
  <si>
    <t>Indenizações - Específicas para Estados/DF/Municípios</t>
  </si>
  <si>
    <t>Restituições - Específicas para Estados/DF/Municípios</t>
  </si>
  <si>
    <t>Agrega as receitas oriundas de restituições ao ente público, específicas para Estados, DF e Municípios.</t>
  </si>
  <si>
    <t>Restituições de Recursos Recebidos do SUS - Específicas para Estados/DF/Municípios</t>
  </si>
  <si>
    <t>Outras Restituições - Específicas para Estados/DF/Municípios - Não Especificadas Anteriormente</t>
  </si>
  <si>
    <t>Agrega outras receitas oriundas de restituições ao ente público, específicas para Estados, DF e Municípios, não detalhadas anteriormente.</t>
  </si>
  <si>
    <t>Ressarcimentos - Específicas para Estados/DF/Municípios</t>
  </si>
  <si>
    <t>Agrega as receitas oriundas de ressarcimentos ao ente público, específicas para Estados, DF e Municípios.</t>
  </si>
  <si>
    <t>Ressarcimento - Específicas para Estados/DF/Municípios</t>
  </si>
  <si>
    <t>Bens, Direitos e Valores Incorporados ao Patrimônio Público</t>
  </si>
  <si>
    <t>Agrega receitas oriundas de bens, direitos e valores Incorporados ao patrimônio público.</t>
  </si>
  <si>
    <t>Bens, Direitos e Valores Perdidos em Favor do Poder Público</t>
  </si>
  <si>
    <t>Agrega as receitas relativas à alienação de bens, direitos e valores, objeto da pena de perdimento em favor da União.</t>
  </si>
  <si>
    <t>Agrega as receitas relativas à alienação de bens, direitos e valores perdidos em favor da União.</t>
  </si>
  <si>
    <t>Alienação de Bens Apreendidos</t>
  </si>
  <si>
    <t>Agrega receitas oriundas de bens apreendidos pelos órgãos fiscalizadores.</t>
  </si>
  <si>
    <t>Alienação de Bens e Mercadorias Apreendidos</t>
  </si>
  <si>
    <t>Agrega receitas de leilão de mercadorias apreendidas pelos órgãos fiscalizadores, objeto de perdimento em favor da União, Estado ou Município.</t>
  </si>
  <si>
    <t>Alienação de Bens e Mercadorias Associados ao Tráfico Ilícito de Entorpecentes e Drogas Afins</t>
  </si>
  <si>
    <t>Agrega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</si>
  <si>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Depósitos Abandonados (Dinheiro e/ou Objetos de Valor)</t>
  </si>
  <si>
    <t>Agrega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</si>
  <si>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Prêmios Prescritos de Concursos de Prognósticos</t>
  </si>
  <si>
    <t>Agrega receitas decorrentes de prêmios de concursos de prognósticos não procurados pelos contemplados dentro de prazo de prescrição.</t>
  </si>
  <si>
    <t>Receitas Reconhecidas por Força de Decisões Judiciais e de Tribunais Administrativos</t>
  </si>
  <si>
    <t>Agrega as receitas que somente passaram a ser reconhecidas como orçamentárias por força de Decisões no âmbito da Justiça ou de Tribunais
Administrativos, como por exemplo os Tribunais de Contas dos entes federados.</t>
  </si>
  <si>
    <t>Demais Receitas Correntes</t>
  </si>
  <si>
    <t>Agrega receitas auferidas pela União não abarcadas pelos itens anteriores</t>
  </si>
  <si>
    <t>Aportes Periódicos para Amortização de Déficit Atuarial do RPPS</t>
  </si>
  <si>
    <t>Agrega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</si>
  <si>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Aportes Periódicos para Compensações ao RGPS</t>
  </si>
  <si>
    <t>Agrega as receitas relativas à compensação devida pela União ao Fundo do Regime Geral da Previdência Social pela renúncia previdenciária decorrente da desoneração da folha de pagamentos.</t>
  </si>
  <si>
    <t>Compensações Financeiras entre o Regime Geral e os Regimes Próprios de Previdência dos Servidores</t>
  </si>
  <si>
    <t>Agrega as receitas relativas a compensações financeiras entre o Regime Geral e os Regimes Próprios de Previdência dos Servidores.</t>
  </si>
  <si>
    <t>Contribuição ao Montepio Civil</t>
  </si>
  <si>
    <t>Agrega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</si>
  <si>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Barreiras Técnicas ao Comércio Exterior</t>
  </si>
  <si>
    <t>Agrega receita decorrente da realização de leilão de cotas de importação, medida de salvaguarda destinada a proteger a produção nacional, por meio da imposição de quotas quantitativas definidas em leilão.</t>
  </si>
  <si>
    <t>Contrapartida de Subvenções ou Subsídios</t>
  </si>
  <si>
    <t>Agrega receitas decorrentes de contrapartida por parte de beneficiários de programas de concessão de subvenções ou subsídios.</t>
  </si>
  <si>
    <t>Disponibilidades de Recursos do Fundo Social</t>
  </si>
  <si>
    <t>Agrega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</si>
  <si>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Prêmio do Seguro Obrigatório de Danos Pessoais causados por Veículos Automotores de Via Terrestre - DPVAT</t>
  </si>
  <si>
    <t>Agrega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</si>
  <si>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Prestação de Contas Eleitorais</t>
  </si>
  <si>
    <t>Agrega recursos, em dinheiro ou estimáveis em dinheiro - inclusive na forma de publicidade de qualquer espécie - recebidos por partido político, comitê financeiro ou candidato. Abrange, também, o recolhimento de valores apurados como sobras de campanha plebiscitária.</t>
  </si>
  <si>
    <t>Reserva Global de Reversão</t>
  </si>
  <si>
    <t>Agrega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</si>
  <si>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Variação Cambial</t>
  </si>
  <si>
    <t>Agrega o valor total da receita financeira relativa às diferenças, para maior, de câmbio ocorridas em depósitos bancários ou transferências de recursos financeiros em moeda estrangeira.</t>
  </si>
  <si>
    <t>Encargos Legais pela Inscrição em Dívida Ativa e Receitas de Ônus de Sucumbência</t>
  </si>
  <si>
    <t>Agrega as receitas relativas a encargos legais pela inscrição em Dívida Ativa e as receitas de ônus de sucumbência.</t>
  </si>
  <si>
    <t>Encargos Legais pela Inscrição em Dívida Ativa</t>
  </si>
  <si>
    <t>Agrega as receitas correspondentes aos encargos legais exigidos na ato da inscrição de créditos em dívida ativa da União, bem como nas hipóteses de cobrança judicial do executado, a serem recolhidas como renda da União.</t>
  </si>
  <si>
    <t>Ônus de Sucumbência</t>
  </si>
  <si>
    <t>Agrega as receitas provenientes de sentença judicial que condena o vencido a pagar honorários advocatícios de sucumbência, no caso dos advogados públicos, nos termos do art. 85, caput e § 19, do Código de Processo Civil, Lei nº 13.105, de 16 de março de 2015.</t>
  </si>
  <si>
    <t>Recursos Recebidos de Órgãos, Entidades ou Fundos, por Força de Determinação Constitucional ou Legal</t>
  </si>
  <si>
    <t>Agrega as receitas recebidas de órgãos, entidades ou fundos, em razão de uma determinação legal ou constitucional.</t>
  </si>
  <si>
    <t>Recursos Recebidos de Fundos de Desenvolvimento Regional</t>
  </si>
  <si>
    <t>Montante de recursos que as superintendências de desenvolvimento regional, quais sejam, Sudam, Sudene e Sudeco, recebem de seus respectivos fundos de desenvolvimento regional, FDA, FDNE e FDCO, calculado como um percentual de cada liberação de recursos realizada por tais fundos.</t>
  </si>
  <si>
    <t>Outras Receitas Administradas pela RFB</t>
  </si>
  <si>
    <t>Agrega receitas Administradas pela RFB que não se enquadram em nenhuma outra classificação específica.</t>
  </si>
  <si>
    <t>Outras Receitas</t>
  </si>
  <si>
    <t>Agrega receitas que não se enquadram nos itens anteriores.</t>
  </si>
  <si>
    <t>Outras Receitas - Primárias</t>
  </si>
  <si>
    <t>Agrega receitas primárias que não se enquadram nos itens anteriores.</t>
  </si>
  <si>
    <t>Outras Receitas - Financeiras</t>
  </si>
  <si>
    <t>Agrega receitas financeiras que não se enquadram nos itens anteriores.</t>
  </si>
  <si>
    <t>Receitas de Capital</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</si>
  <si>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</si>
  <si>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Operações de Crédito</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</si>
  <si>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</si>
  <si>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</si>
  <si>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</si>
  <si>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</si>
  <si>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</si>
  <si>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</si>
  <si>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Títulos de Responsabilidade do Tesouro Nacional - Refinanciamento da Dívida Pública Federal no Mercado Interno</t>
  </si>
  <si>
    <t>Agrega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</si>
  <si>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da Dívida Agrária - TDA</t>
  </si>
  <si>
    <t>Agrega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</si>
  <si>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</si>
  <si>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t>
  </si>
  <si>
    <t>Agrega as receitas provenientes de obrigações contratuais no mercado interno, decorrentes de financiamentos ou empréstimos, inclusive arrendamento mercantil, ou concessão de qualquer garantia que represente compromisso, autorizadas por leis específicas, não especificadas em outras naturezas de receita.</t>
  </si>
  <si>
    <t>Empréstimos Compulsórios</t>
  </si>
  <si>
    <t>Agrega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</si>
  <si>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Operações de Crédito - Mercado Interno - Estados/DF/Municípios</t>
  </si>
  <si>
    <t>Agrega as operações de crédito internas, que compreendem os recursos decorrentes da colocação no mercado interno de títulos públicos, financiamentos ou empréstimos obtidos no país junto a entidades estatais ou particulares. Específica para operações de crédito internas dos Estados, Distrito Federal e Municípios.</t>
  </si>
  <si>
    <t>Operações de Crédito Internas de Estados/DF/Municípios</t>
  </si>
  <si>
    <t>Agrega o valor da arrecadação com operação de crédito internas de Estados, Distrito Federal e Municípios.</t>
  </si>
  <si>
    <t>Operações de Crédito Internas para Programas de Educação</t>
  </si>
  <si>
    <t>Registra o valor da arrecadação de receita com operações de crédito internas relativas a programas de educação.</t>
  </si>
  <si>
    <t>Operações de Crédito Internas para Programas de Saúde</t>
  </si>
  <si>
    <t>Registra o valor da arrecadação de receita com operações de crédito internas relativas a programas de saúde.</t>
  </si>
  <si>
    <t>Operações de Crédito Internas para Programas de Saneamento</t>
  </si>
  <si>
    <t>Registra o valor da arrecadação de receita com operações de crédito internas relativas a programas de saneamento.</t>
  </si>
  <si>
    <t>Operações de Crédito Internas para Programas de Meio Ambiente</t>
  </si>
  <si>
    <t>Registra o valor da arrecadação de receita com operações de crédito internas relativas a programas de meio ambiente.</t>
  </si>
  <si>
    <t>Operações de Crédito Internas para Programas de Modernização da Administração Pública</t>
  </si>
  <si>
    <t>Registra o valor da arrecadação da receita com operações de crédito internas relativas a programas de modernização da máquina pública.</t>
  </si>
  <si>
    <t>Operações de Crédito Internas para Refinanciamento da Dívida Contratual</t>
  </si>
  <si>
    <t>Registra o valor da arrecadação da receita com operações de crédito internas para refinanciamento da dívida contratual.</t>
  </si>
  <si>
    <t>Operações de Crédito Internas para Programas de Moradia Popular</t>
  </si>
  <si>
    <t>Registra o valor da arrecadação da receita de operações de crédito internas relativas a programas de moradia popular.</t>
  </si>
  <si>
    <t>Outras Operações de Crédito - Mercado Interno</t>
  </si>
  <si>
    <t>Agrega receitas decorrentes da contratação de operação de crédito no mercado interno não contempladas nos itens anteriores.</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</si>
  <si>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</si>
  <si>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</si>
  <si>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</si>
  <si>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</si>
  <si>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</si>
  <si>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Títulos de Responsabilidade do Tesouro Nacional - Refinanciamento da Dívida Pública Federal no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</si>
  <si>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</si>
  <si>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</si>
  <si>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</si>
  <si>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Operação de Crédito Externas - Estados/DF/Municípios</t>
  </si>
  <si>
    <t>Agrega as receitas de operações de crédito externas. Compreendem os recursos decorrentes da colocação no mercado externo de títulos públicos, financiamentos ou empréstimos obtidos no país junto a entidades estatais ou particulares. Específica para operações de crédito externas dos Estados, Distrito Federal e Municípios.</t>
  </si>
  <si>
    <t>Operações de Crédito Externas - Estados/DF/ Municípios</t>
  </si>
  <si>
    <t>Registra o valor da arrecadação de receita com operações de crédito externas realizadas pelos Estados, Distrito Federal e Municípios.</t>
  </si>
  <si>
    <t>Operações de Crédito Externas para Programas de Educação</t>
  </si>
  <si>
    <t>Registra o valor da arrecadação de receita com operações de crédito externas relativas a programas de educação.</t>
  </si>
  <si>
    <t>Operações de Crédito Externas para Programas de Saúde</t>
  </si>
  <si>
    <t>Registra o valor da arrecadação de receita com operações de crédito externas relativas a programas de saúde.</t>
  </si>
  <si>
    <t>Operações de Crédito Externas para Programas de Saneamento</t>
  </si>
  <si>
    <t>Registra o valor da arrecadação de receita com operações de crédito externas relativas a programas de saneamento.</t>
  </si>
  <si>
    <t>Operações de Crédito Externas para Programas de Meio Ambiente</t>
  </si>
  <si>
    <t>Registra o valor da arrecadação de receita com operações de crédito externas relativas a programas de meio ambiente.</t>
  </si>
  <si>
    <t>Operações de Crédito Externas para Programas de Modernização da Administração Pública</t>
  </si>
  <si>
    <t>Registra o valor da arrecadação de receita com operações de crédito externas relativas a programas de modernização da máquina pública.</t>
  </si>
  <si>
    <t>Operações de Crédito Externas para Refinanciamento da Dívida Contratual</t>
  </si>
  <si>
    <t>Registra o valor da arrecadação da receita com operações de crédito externas para refinanciamento da dívida contratual.</t>
  </si>
  <si>
    <t>Outras Operações de Crédito - Mercado Externo</t>
  </si>
  <si>
    <t>Agrega os recursos provenientes de outras operações de crédito externas que não se enquadram nos itens anteriores.</t>
  </si>
  <si>
    <t>Alienação de Bens</t>
  </si>
  <si>
    <t>Agrega os recursos provenientes da venda de bens móveis e imóveis e da alienação ou resgate de títulos.</t>
  </si>
  <si>
    <t>Alienação de Bens Móveis</t>
  </si>
  <si>
    <t>Agrega o valor da receita de alienação de bens móveis tais como: mercadorias, bens inservíveis ou desnecessários, dentre outros.</t>
  </si>
  <si>
    <t>Alienação de Títulos Mobiliários</t>
  </si>
  <si>
    <t>Agrega o valor da receita obtida com a alienação ou resgate de títulos e valores mobiliários.</t>
  </si>
  <si>
    <t>Alienação de Estoques</t>
  </si>
  <si>
    <t>Agrega as receitas provenientes da venda de estoques públicos ou privados, em consonância com a política agrícola nacional.</t>
  </si>
  <si>
    <t>Alienação de Estoques da Política de Garantia de Preços Mínimos - PGPM</t>
  </si>
  <si>
    <t>Agrega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</si>
  <si>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Alienação de Estoques Comerciais Destinados a Programas Sociais</t>
  </si>
  <si>
    <t>Agrega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</si>
  <si>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Alienação de Estoques do Programa de Aquisição de Alimentos - PAA</t>
  </si>
  <si>
    <t>Agrega as receitas provenientes da alienação de estoques de alimentos pela Companhia Nacional de Abastecimento - CONAB, cujos produtos foram adquiridos mediante recursos transferidos pelo Ministério do Desenvolvimento Social e Combate à Fome - MDS.</t>
  </si>
  <si>
    <t>Alienação de Estoques de Café - FUNCAFÉ</t>
  </si>
  <si>
    <t>Agrega as receitas provenientes da venda de estoques de café, contemplados pela política de garantia de preços mínimos, adquiridos com recursos do Tesouro Nacional.</t>
  </si>
  <si>
    <t>Alienação de Bens Móveis e Semoventes</t>
  </si>
  <si>
    <t>Agrega as receitas provenientes da alienação de  bens móveis e semoventes. Compreende a alienação de animais, veículos, móveis, equipamentos e utensílios.</t>
  </si>
  <si>
    <t>Alienação de Bens Móveis Específica para Estados, Distrito Federal e Municípios</t>
  </si>
  <si>
    <t>Agrega o valor da receita de alienação de bens móveis tais como: mercadorias, bens inservíveis ou desnecessários, dentre outros. Específica para atender Estados, Distrito Federal e Municípios.</t>
  </si>
  <si>
    <t>Agrega o valor da receita obtida com a alienação ou resgate de títulos e valores mobiliários específica para Estados, Distrito Federal e Municípios.</t>
  </si>
  <si>
    <t>Alienação de Investimentos Temporários</t>
  </si>
  <si>
    <t>A questão do investimento ser classificado em temporário ou permanente é objeto do PCASP, não do ementário da NR. Este tem por objeto primário a definição entre receitas correntes ou de capital.</t>
  </si>
  <si>
    <t>Alienação de Investimentos Permanentes</t>
  </si>
  <si>
    <t>Alienação de Bens Imóveis</t>
  </si>
  <si>
    <t>Agrega as receitas provenientes da alienação de bens imóveis, de propriedade da União, Estados, Distrito Federal e Municípios..</t>
  </si>
  <si>
    <t>Agrega as receitas provenientes da alienação de bens imóveis, de propriedade da União, Estados, Distrito Federal e Municípios.</t>
  </si>
  <si>
    <t>Alientação de Bens Imóveis, Programa de Administração Imobiliária da União</t>
  </si>
  <si>
    <t>Registra a receita proveniente da alienação de bens imóveis, conforme Programa de Administração Imobiliária da União.</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</si>
  <si>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</si>
  <si>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</si>
  <si>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</si>
  <si>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Amortização de Empréstimos</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</si>
  <si>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</si>
  <si>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Amortização de Empréstimos - BEA/BIB</t>
  </si>
  <si>
    <t>Agrega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Brazil Investment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</si>
  <si>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Amortização Proveniente da Execução de Garantia - Operações de Crédito</t>
  </si>
  <si>
    <t>Agrega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</si>
  <si>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Amortização de Empréstimos - Estados e Municípios</t>
  </si>
  <si>
    <t>Agrega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</si>
  <si>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Amortização de Empréstimos - Refinanciamento de Dívidas de Médio e Longo Prazo</t>
  </si>
  <si>
    <t>Agrega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</si>
  <si>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Amortização de Empréstimos - Programa das Operações Oficiais de Crédito</t>
  </si>
  <si>
    <t>Agrega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</si>
  <si>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Amortização de Empréstimos Contratuais</t>
  </si>
  <si>
    <t>Agrega as receitas provenientes de pagamento de parcelas de empréstimos, financiamentos e refinanciamentos que não se enquadram em categorias específicas.</t>
  </si>
  <si>
    <t>Amortização de Financiamentos</t>
  </si>
  <si>
    <t>Agrega as receitas provenientes da amortização de financiamentos concedidos.</t>
  </si>
  <si>
    <t>Amortização de Financiamento do Fundo de Financiamento ao Estudante do Ensino Superior - FIES</t>
  </si>
  <si>
    <t xml:space="preserve">Amortização de Financiamento do Fundo de Financiamento ao Estudante do Ensino Superior - FIES.
</t>
  </si>
  <si>
    <t>Portaria SEAFI/SOF nº 6, de 18 de Julho de 2019.</t>
  </si>
  <si>
    <t>Amortização de Financiamento Proveniente de Fundo Garantidor</t>
  </si>
  <si>
    <t xml:space="preserve">Agrega as receitas referentes à amortização de financiamento proveniente de fundos garantidores.
</t>
  </si>
  <si>
    <t>Agrega as receitas provenientes de amortização de financiamento concedido pelo Fundo de Financiamento ao Estudante do Ensino Superior.</t>
  </si>
  <si>
    <t>Transferências de Capital</t>
  </si>
  <si>
    <t>Agrega as receitas provenientes de recursos financeiros decorrentes de doações, contratos, convênios, acordos, ajustes, termos de parceria ou outros instrumentos, quando destinados a atender despesas classificáveis como de capital.</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</si>
  <si>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</si>
  <si>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Registra o valor total das receitas recebidas por meio de transferências de capital da União recebidas pelas entidades da administração Estadual, do Distrito Federal e Municipal inclusive suas fundações instituídas pelo poder público.</t>
  </si>
  <si>
    <t>Registra o valor das transferências de capital da União recebidas pelos consórcios públicos, mediante contrato ou outro instrumento.</t>
  </si>
  <si>
    <t>Transferência de Recursos do Sistema Único de Saúde – SUS – Fundo a Fundo - Bloco de Manutenção das Ações e Serviços Públicos de Saúde</t>
  </si>
  <si>
    <t>Agrega o valor total das transferências de capital oriundas do Fundo Nacional de Saúde referentes ao bloco de manutenção das ações e serviços públicos de saúde, recebidos pelos Fundos de Saúde dos Estados, do Distrito Federal e dos Municípios.</t>
  </si>
  <si>
    <t>Agrega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</si>
  <si>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</si>
  <si>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</si>
  <si>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</si>
  <si>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Agrega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</si>
  <si>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Agrega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</si>
  <si>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Transferências de Recursos do Sistema Único de Saúde – SUS - Fundo a Fundo - Bloco de Estruturação da Rede de Serviços Públicos de Saúde</t>
  </si>
  <si>
    <t>Agrega o valor total das transferências de capital oriundas do Fundo Nacional de Saúde referentes ao bloco de estruturação da rede de serviços públicos de saúde, recebidos pelos Fundos de Saúde dos Estados, do Distrito Federal e dos Municípios.</t>
  </si>
  <si>
    <t>Agrega o valor das transferências de capital da União recebidas pelos Estados, Distrito Federal e Municípios, referentes ao bloco de estruturação da rede de serviços do Sistema Único de Saúde – SUS, destinados à atenção primária em saúde.</t>
  </si>
  <si>
    <t>Agrega o valor das transferências de capital da União recebidas pelos Estados, Distrito Federal e Municípios, referentes ao bloco de estruturação da rede de serviços do Sistema Único de Saúde – SUS, destinaos à atenção especializada em saúde.</t>
  </si>
  <si>
    <t>Agrega o valor das transferências de capital da União recebidas pelos Estados, Distrito Federal e Municípios, referentes ao bloco de estruturação da rede de serviços do Sistema Único de Saúde – SUS, destinados à Vigilância em Saúde.</t>
  </si>
  <si>
    <t>Agrega o valor das transferências de capital da União recebidas pelos Estados, Distrito Federal e Municípios, referentes ao bloco de estruturação da rede de serviços do Sistema Único de Saúde – SUS, destinados à Gestão e Desenvolvimento de Tecnologias em Saúde no SUS.</t>
  </si>
  <si>
    <t>Agrega o valor das transferências de capital da União recebidas pelos Estados, Distrito Federal e Municípios, referentes ao bloco de estruturação da rede de serviços do Sistema Único de Saúde – SUS, destinados à Gestão do SUS.</t>
  </si>
  <si>
    <t>Agrega o valor das transferências de capital da União recebidas pelos Estados, Distrito Federal e Municípios, referentes ao bloco investimento na rede de serviços do Sistema Único de Saúde – SUS, não detalhadas anteriormente.</t>
  </si>
  <si>
    <t>Agrega o valor das transferências de capital da União recebidas pelos Estados, Distrito Federal e Municípios, referentes ao bloco de estruturação da rede de serviços do Sistema Único de Saúde – SUS, não detalhadas anteriormente.</t>
  </si>
  <si>
    <t>Transferências de Recursos Destinados a Programas de Educação</t>
  </si>
  <si>
    <t>Registra o valor das transferências de capital da União recebidas pelos Estados, Distrito Federal e Municípios, referentes a programas de educação.</t>
  </si>
  <si>
    <t>Prog. de Apoio ao Transp. Escolar para Educação Básica - CAMINHO DA ESCOLA</t>
  </si>
  <si>
    <t>Registra o valor das transferências de capital da União recebidas pelos Estados, Distrito Federal e Municípios, referentes ao programas Caminho da Escola, conforme Lei nº 12.816 de 12013.</t>
  </si>
  <si>
    <t>Programa Nacional de Reestruturação e Aquisição de Equipamentos para a Rede Escolar Pública de Educação Infantil - Proinfância</t>
  </si>
  <si>
    <t>Registra o valor das transferências de capital da União recebidas pelos Estados, Distrito Federal e Municípios, referentes ao Programa Nacional de Reestruturação e Aquisição de Equipamentos para a Rede Escolar Pública de Educação Infantil (Proinfância), instituído pela Resolução nº 6, de 24 de abril de 2007.</t>
  </si>
  <si>
    <t>Outras transferências destinadas a Programas de Educação</t>
  </si>
  <si>
    <t>Registra o valor das transferências de capital da União recebidas pelos Estados, Distrito Federal e Municípios, referentes a programas de educação, não especificados anteriormente.</t>
  </si>
  <si>
    <t>Registra a receita de capital repassada pela União , decorrente de emedas parlamentares individuais, na forma prevista do parágrafo 9º do art. 166, da CF/88, acrescido pela Emenda Constitucional nº 86/2015.</t>
  </si>
  <si>
    <t>Transferência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</si>
  <si>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</si>
  <si>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Transferências de Convênio da União para o Sistema Único de Saúde – SUS</t>
  </si>
  <si>
    <t>Registra o valor dos recursos oriundos de convênios firmados com a saúde, para a realização de objetivos de interesse comum dos partícipes, e destinados a custear despesas de capital.</t>
  </si>
  <si>
    <t>Transferências de Convênio da União destinadas a Programas de Educação</t>
  </si>
  <si>
    <t>Registra o valor dos recursos oriundos de convênios firmados com a União, destinados a programas de educação, para a realização de objetivos de interesse comum dos partícipes, e destinados a custear despesas de capital.</t>
  </si>
  <si>
    <t>Transferências de Convênios da União destinadas a Programas de Saneamento Básico</t>
  </si>
  <si>
    <t>Registra o valor dos recursos oriundos de convênios firmados com a União, destinados a programas de saneamento básico, para a realização de objetivos de interesse comum dos partícipes, e destinados a custear despesas de capital.</t>
  </si>
  <si>
    <t>Transferências de Convênios da União destinadas a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</si>
  <si>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</si>
  <si>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Infraestrutura em Transporte</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</si>
  <si>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</si>
  <si>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Registra o valor dos recursos oriundos de outros convênios firmados com a União, para a realização de objetivos de interesse comum dos partícipes, e destinados a custear despesas de capital, não previstos nos itens anteriores.</t>
  </si>
  <si>
    <t>Registra o valor total dos recursos de transferências de capital da União recebidos pelos Estados, Distrito Federal e Municípios, referentes ao Fundo Nacional de Assistência Social – FNAS.</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</si>
  <si>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</si>
  <si>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</si>
  <si>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Transferências dos Estados, Distrito Federal, e de suas Entidades</t>
  </si>
  <si>
    <t xml:space="preserve">Registra o valor total dos recursos recebidos pelas demais esferas de governo e respectivas entidades da administração descentralizada, transferidos pelos Estados e Distrito Federal. </t>
  </si>
  <si>
    <t>Transferências dos Estados e Distrito Federal a Consórcios Públicos</t>
  </si>
  <si>
    <t>Agrega as transferências de capital dos Estados, Distrito Federal, e de suas entidades, recebidas pelos consórcios públicos, mediante contrato ou outro instrumento.</t>
  </si>
  <si>
    <t>Registra o valor das transferências de capital dos Estados, Distrito Federal, e de suas entidades, recebidas pelos consórcios públicos, mediante contrato ou outro instrumento.</t>
  </si>
  <si>
    <t>Registra o valor total dos recursos recebidos pelas demais esferas de governo e respectivas entidades da administração descentralizada, destinados ao Sistema Único de Saúde, transferidos pelos Estados, exceto as transferências de convênios.</t>
  </si>
  <si>
    <t>Registra o valor total dos recursos recebidos pelas demais esferas de governo e respectivas entidades da administração descentralizada, destinados a programas de educação, transferidos pelos Estados, exceto as transferências de convênios.</t>
  </si>
  <si>
    <t>Transferências de Convênios dos Estados e do Distrito Federal e de suas Entidades</t>
  </si>
  <si>
    <t>Registra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</si>
  <si>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para o Sistema Único de Saúde – SUS</t>
  </si>
  <si>
    <t>Registra o valor dos recursos oriundos de convênios firmados com os Estados, destinados ao Sistema Único de Saúde, para a realização de objetivos de interesse comum dos partícipes, e destinados a custear despesas de capital.</t>
  </si>
  <si>
    <t>Transferências de Convênios dos Estados destinadas a Programas de Educação</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</si>
  <si>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</si>
  <si>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Saneamento Básico</t>
  </si>
  <si>
    <t>Registrar o valor dos recursos oriundos de convênios firmados com os Estados, destinados a programas de saneamento básico, para a realização de objetivos de interesse comum dos partícipes, e destinados a custear despesas de capital.</t>
  </si>
  <si>
    <t>Transferências de Convênios dos Estados destinadas a Programas de Meio Ambiente</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</si>
  <si>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</si>
  <si>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em Transporte</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</si>
  <si>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</si>
  <si>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Registra o valor dos recursos oriundos de outros convênios dos Estados, para a realização de objetivos de interesse comum dos partícipes, e destinados a custear despesas de capital, não previstos nos itens anteriores.</t>
  </si>
  <si>
    <t>Registra o valor total das receitas para atender suas necessidades de identificação. As demais esferas de governo poderão desdobrar este item, discriminando os recursos transferidos pelos Estados que não estejam especificados.</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</si>
  <si>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</si>
  <si>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Registra o valor total dos recursos recebidos pelas demais esferas de governo e de suas entidades da administração descentralizada, transferidos pelos Municípios.</t>
  </si>
  <si>
    <t>Registra o valor das transferências de capital dos Municípios recebidas pelos consórcios públicos, mediante contrato ou outro instrumento.</t>
  </si>
  <si>
    <t>Transferências de Convênios dos Municípios e de suas Entidades</t>
  </si>
  <si>
    <t>Registra o valor total dos recursos oriundos de convênios firmados, com ou sem contraprestações de serviços com Municípios ou com suas entidades públicas, para a realização de objetivos de interesse comum dos partícipes, destinados a custear despesas de capital.</t>
  </si>
  <si>
    <t>Transferências de Convênios dos Municípios destinados a Programas de Saúde</t>
  </si>
  <si>
    <t>Registra o valor dos recursos oriundos de convênios firmados com os Municípios, destinados a programas de saúde, para a realização de objetivos de interesse comum dos partícipes, e destinados a custear despesas de capital.</t>
  </si>
  <si>
    <t>Transferências de Convênios dos Municípios destinadas a Programas de Educação</t>
  </si>
  <si>
    <t>Registra o valor dos recursos oriundos de convênios firmados com os Municípios, destinados a programas de educação, para a realização de objetivos de interesse comum dos partícipes, e destinados a custear despesas de capital.</t>
  </si>
  <si>
    <t>Transferências de Convênios dos Municípios destinadas a Programas de Saneamento</t>
  </si>
  <si>
    <t>Registra o valor dos recursos oriundos de convênios firmados com os Municípios, destinados a programas de saneamento, para a realização de objetivos de interesse comum dos partícipes, e destinados a custear despesas de capital.</t>
  </si>
  <si>
    <t>Registra o valor dos recursos oriundos de outros convênios dos Municípios, para a realização de objetivos de interesse comum dos partícipes, e destinados a custear despesas de capital, não previstos nos itens anteriores.</t>
  </si>
  <si>
    <t>Registra o valor total de outros recursos recebidos pelas demais esferas de governo e de suas entidades da administração descentralizada, transferidos pelos Municípios, não previstos nos itens anteriores.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</si>
  <si>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</si>
  <si>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 Específica para transferências aos Estados, Distrito Federal e Municípios.</t>
  </si>
  <si>
    <t>Transferências de Convênios de Instituições Privadas</t>
  </si>
  <si>
    <t>Agrega o valor total dos recursos oriundos de convênios firmados, com ou sem contraprestações de serviços, com instituições privadas, para a realização de objetivos de interesse comum dos partícipes, destinados a custear despesas de capital.</t>
  </si>
  <si>
    <t>Transferências de Convênios de Instituições Privadas Destinados a Programas de Saúde</t>
  </si>
  <si>
    <t>Agrega o valor total dos recursos oriundos de convênios firmados, com ou sem contraprestações de serviços, com instituições privadas, para a realização de objetivos de interesse comum dos partícipes, destinados a custear despesas de capital com Programas de Saúde.</t>
  </si>
  <si>
    <t>Transferências de Convênios de Instituições Privadas Destinados a Programas de Educação</t>
  </si>
  <si>
    <t>Agrega o valor total dos recursos oriundos de convênios firmados, com ou sem contraprestações de serviços, com instituições privadas, para a realização de objetivos de interesse comum dos partícipes, destinados a custear despesas de capital com Programas de Educação.</t>
  </si>
  <si>
    <t>Agrega o valor total dos recursos oriundos de outros convênios firmados, com ou sem contraprestações de serviços, com instituições privadas, para a realização de objetivos de interesse comum dos partícipes, destinados a custear despesas de capital, não especificadas anteriormente.</t>
  </si>
  <si>
    <t>Agrega o valor total dos recursos recebidos, com ou sem contraprestações de serviços, oriundos de instituições privadas em modalidades distintas das anteriormente classificadas, para a realização de objetivos de interesse comum dos partícipes, destinados a custear despesas de capital.</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</si>
  <si>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</si>
  <si>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 Específica para transferências aos Estados, Distrito Federal e Municípios.</t>
  </si>
  <si>
    <t>Agrega as receitas provenientes de recursos financeiros recebidos do exterior, decorrentes de doações, contratos, acordos, ajustes ou outros instrumentos, quando destinados a atender despesas classificáveis como de capital.</t>
  </si>
  <si>
    <t>Agrega as receitas provenientes de recursos financeiros recebidos do exterior, decorrentes de doações, contratos, acordos, ajustes ou outros instrumentos, quando destinados a atender despesas classificáveis como de capital. Específica para transferências aos Estados, Distrito Federal e Municípios.</t>
  </si>
  <si>
    <t>Transferências do Exterior para Programas de Saúde</t>
  </si>
  <si>
    <t>Agrega as receitas provenientes de recursos financeiros recebidos do exterior, decorrentes de doações, contratos, acordos, ajustes ou outros instrumentos, quando destinados a atender despesas classificáveis como de capital, específicas para Programas de Saúde.</t>
  </si>
  <si>
    <t>Transferências do Exterior para Programas de Educação</t>
  </si>
  <si>
    <t>Agrega as receitas provenientes de recursos financeiros recebidos do exterior, decorrentes de doações, contratos, acordos, ajustes ou outros instrumentos, quando destinados a atender despesas classificáveis como de capital, específicas para Programas de Educação.</t>
  </si>
  <si>
    <t>Outras Transferências do Exterior Não Especificadas Anteiormente</t>
  </si>
  <si>
    <t>Agrega as receitas provenientes de recursos financeiros recebidos do exterior, decorrentes de doações, contratos, acordos, ajustes ou outros instrumentos, quando destinados a atender despesas classificáveis como de capital, não especificadas anteriormente.</t>
  </si>
  <si>
    <t>Agrega as receitas provenientes de recursos financeiros recebidos de pessoas físicas, decorrentes de doações, contratos, acordos, ajustes ou outros instrumentos, quando destinados a atender despesas classificáveis como de capital.</t>
  </si>
  <si>
    <t>Agrega as receitas provenientes de recursos financeiros recebidos de pessoas físicas, decorrentes de doações, contratos, acordos, ajustes ou outros instrumentos, quando destinados a atender despesas classificáveis como de capital. Específica para transferências aos Estados, Distrito Federal e Municípios.</t>
  </si>
  <si>
    <t>Agrega o valor total das receitas recebidas por meio de transferências de capital provenientes de pessoas físicas .</t>
  </si>
  <si>
    <t>Transferências de Pessoas Físicas para Programas de Saúde</t>
  </si>
  <si>
    <t>Agrega o valor total das receitas recebidas por meio de transferências de capital provenientes de pessoas físicas, específicas para Programas de Saúde.</t>
  </si>
  <si>
    <t>Transferências de Pessoas Físicas para Programas de Educação</t>
  </si>
  <si>
    <t>Agrega o valor total das receitas recebidas por meio de transferências de capital provenientes de pessoas físicas, específicas para Programas de Educação.</t>
  </si>
  <si>
    <t>Outras Transferências de Pessoas Físicas Não Especificadas Anteriormente</t>
  </si>
  <si>
    <t>Agrega o valor total das receitas recebidas por meio de transferências de capital provenientes de pessoas físicas, não especificadas anteriormente.</t>
  </si>
  <si>
    <t>Agrega as receitas provenientes de depósitos não identificados, decorrentes de doações, quando destinados a atender despesas classificáveis como de capital.</t>
  </si>
  <si>
    <t>Transferências Provenientes de Depósito Não Identificados</t>
  </si>
  <si>
    <t>Transferências Provenientes de Depósito Não Identificados - Específica E/DF/M</t>
  </si>
  <si>
    <t>Agrega as receitas provenientes de depósitos não identificados, decorrentes de doações, quando destinados a atender despesas classificáveis como de capital. Específica para transferências aos Estados, Distrito Federal e Municípios.</t>
  </si>
  <si>
    <t>Transferências Provenientes de Depósito Não Identificados - Específica E/M</t>
  </si>
  <si>
    <t>Registra as receitas provenientes de depósitos não identificados, decorrentes de doações, quando destinados a atender despesas classificáveis como de capital.</t>
  </si>
  <si>
    <t>Outras Receitas de Capital</t>
  </si>
  <si>
    <t>Agrega as receitas provenientes de integralização de capital social, resultado positivo do Banco Central do Brasil, as remunerações do Tesouro Nacional, os saldos de exercícios anteriores e outras receitas semelhantes.</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</si>
  <si>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</si>
  <si>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</si>
  <si>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Resultado do Banco Central</t>
  </si>
  <si>
    <t>Agrega receitas decorrentes do resultado positivo apurado no balanço semestral do Banco Central, após computadas eventuais constituições ou reversões de reservas.</t>
  </si>
  <si>
    <t>Resultado do Banco Central - Operações com Reservas e Derivativos Cambiais</t>
  </si>
  <si>
    <t>Agrega receitas decorrentes do resultado positivo apurado no balanço semestral do Banco Central, decorrente das operações com Reservas e Derivativos Cambiais, após computadas eventuais constituições ou reversões de reservas.</t>
  </si>
  <si>
    <t>Resultado do Banco Central - Demais Operações</t>
  </si>
  <si>
    <t>Agrega receitas decorrentes do resultado positivo apurado no balanço semestral do Banco Central, decorrente de operações não relacionadas a reservas e derivativos cambiais.</t>
  </si>
  <si>
    <t>Remuneração das Disponibilidades do Tesouro</t>
  </si>
  <si>
    <t>Agrega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</si>
  <si>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Resgate de Títulos do Tesouro</t>
  </si>
  <si>
    <t>Agrega recursos correspondentes ao valor principal das receitas auferidas por detentores de títulos do Tesouro resgatados.</t>
  </si>
  <si>
    <t>Demais Receitas de Capital</t>
  </si>
  <si>
    <t>Agrega as receitas de capital que não atendem às especificações anteriores. Deve ser empregada apenas no caso de impossibilidade de utilização dos demais títulos.</t>
  </si>
  <si>
    <t>Demais Receitas de Capital Específicas de Estados, DF e Municípios</t>
  </si>
  <si>
    <t>Agrega as receitas de capital que não atendem às especificações anteriores. Deve ser empregada apenas no caso de impossibilidade de utilização dos demais títulos. Específica para Estados, Distrito Federal e Municípios.</t>
  </si>
  <si>
    <t>Demais Receitas de Capital Específicas de E/DF/M</t>
  </si>
  <si>
    <t>Receitas de Alienação de Certificados de Potencial Adicional de Construção - CEPAC</t>
  </si>
  <si>
    <t>Registra os recursos recebidos pela alienação de certificados de potencial adicional de construção. Os recursos serão aplicados exclusivamente na própria operação urbana
consorciada, nos termos do § 1º do artigo 33 da Lei 10.257/2001.</t>
  </si>
  <si>
    <t>Recursos Arrecadados em Exercícios Anteriores</t>
  </si>
  <si>
    <t>Natureza de receita para inclusão no Projeto de Lei e na Lei Orçamentária Anual, para fins de equilíbrio formal do orçamento, de recursos arrecadados em exercícios anteriores e registrados em superávit financeiro. Poderá ser detalhada conforme a necessidade do ente da Federação.</t>
  </si>
  <si>
    <t>Coluna</t>
  </si>
  <si>
    <t>Legenda</t>
  </si>
  <si>
    <t>Categoria Economica</t>
  </si>
  <si>
    <t>O §§1º e 2º do art. 11 da Lei no 4.320/1964, classificam as receitas orçamentárias em “Receitas Correntes” e “Receitas de Capital”</t>
  </si>
  <si>
    <t xml:space="preserve">A Origem é o detalhamento das Categorias Econômicas “Receitas Correntes” e “Receitas de Capital”, com vistas a identificar a procedência das receitas no momento em que ingressam nos cofres públicos. </t>
  </si>
  <si>
    <t>É o nível de classificação vinculado à Origem que permite qualificar com maior detalhe o fato gerador das receitas. Por exemplo, dentro da Origem Contribuições, identifica-se as espécies “Contribuições Sociais”, “Contribuições Econômicas”, “Contribuições para Entidades Privadas de Serviço Social e de Formação Profissional” e “Contribuição para Custeio de Iluminação Pública”.</t>
  </si>
  <si>
    <t>Desdobramento 1</t>
  </si>
  <si>
    <t xml:space="preserve">Desdobramentos para identificação de peculiaridades da receita. Esses dígitos podem ou não ser utilizados, observando-se a necessidade de especificação do recurso. Quanto às receitas exclusivas de estados, Distrito Federal e municípios, serão identificadas pelo quarto dígito da codificação, que utilizará o número “8” (Ex.: 1.9.0.8.xx.x.x - Outras Receitas Correntes Exclusivas de Estados e Municípios), respeitando a estrutura dos três dígitos iniciais. </t>
  </si>
  <si>
    <t>Desdobramento 2</t>
  </si>
  <si>
    <t>Desdobramento 3</t>
  </si>
  <si>
    <t>No ementário são informadas apenas as naturezas agregadoras, cujo tipo corresponde a "0", considerando-se automaticamente criados os tipos de 1 a 8, conforme art. 2º, §10º  da Portaria Interministerial STN/SOF nº 163/2001. 
A título de exemplo, foi incluído o detalhamento para a natureza de receita 1.1.1.1.01.1.0 - Imposto sobre a Importação.</t>
  </si>
  <si>
    <t>Natureza de Receita</t>
  </si>
  <si>
    <t>Contém a codificação completa da natureza de receita, composta dos 7 níveis e 8 dígitos, de acordo com a estrutura c.o.e.d.dd.d.t, acima detalhada.</t>
  </si>
  <si>
    <t>Corresponde ao título da natureza de receita.</t>
  </si>
  <si>
    <t>Descrição da natureza de receita.</t>
  </si>
  <si>
    <t>Indica, para algumas situações, a norma que justifica a inclusão, exclusão ou alteração realizada.</t>
  </si>
  <si>
    <t>Possibilita a identificação das alterações realizadas em relação a versão imediatamente anterior ("alterar", "excluir", "incluir") bem como as naturezas de receita inativas (excluídas). As células vazias correspondem a naturezas que já encontravam-se vigentes e não tiveram alterações em relação a versão anterior.</t>
  </si>
  <si>
    <t>Legendas:</t>
  </si>
  <si>
    <t>* Inclusão: letras em azul</t>
  </si>
  <si>
    <t>*Alteração: letras em roxo</t>
  </si>
  <si>
    <r>
      <t xml:space="preserve">* Exclusão: letras em vermelho e </t>
    </r>
    <r>
      <rPr>
        <b/>
        <strike/>
        <sz val="12"/>
        <color rgb="FFFF0000"/>
        <rFont val="Calibri"/>
        <family val="2"/>
        <scheme val="minor"/>
      </rPr>
      <t>tachado</t>
    </r>
  </si>
  <si>
    <r>
      <t xml:space="preserve">n/a: </t>
    </r>
    <r>
      <rPr>
        <sz val="12"/>
        <rFont val="Calibri"/>
        <family val="2"/>
        <scheme val="minor"/>
      </rPr>
      <t>alterações que independem de portaria. Geralmente relacionadas à ajustes na descrição/função da NR.</t>
    </r>
  </si>
  <si>
    <t>ALTERAÇÕES PARA 2021</t>
  </si>
  <si>
    <t>Tipo de Alteração</t>
  </si>
  <si>
    <t>Tipo de Portaria</t>
  </si>
  <si>
    <t>STN</t>
  </si>
  <si>
    <t>n/a</t>
  </si>
  <si>
    <t>SOF-INCLUÍDA</t>
  </si>
  <si>
    <r>
      <t>Transferência de Recursos do Sistema Único de Saúde – SUS – Repasses Fundo a Fundo Bloco</t>
    </r>
    <r>
      <rPr>
        <strike/>
        <sz val="11"/>
        <rFont val="Calibri"/>
        <family val="2"/>
        <scheme val="minor"/>
      </rPr>
      <t xml:space="preserve"> Custeio</t>
    </r>
    <r>
      <rPr>
        <sz val="11"/>
        <rFont val="Calibri"/>
        <family val="2"/>
        <scheme val="minor"/>
      </rPr>
      <t xml:space="preserve"> de Manutenção das Ações e Serviços Públicos de Saúde</t>
    </r>
  </si>
  <si>
    <r>
      <t xml:space="preserve">Transferência de Recursos do SUS – Atenção </t>
    </r>
    <r>
      <rPr>
        <strike/>
        <sz val="11"/>
        <rFont val="Calibri"/>
        <family val="2"/>
        <scheme val="minor"/>
      </rPr>
      <t>Básica</t>
    </r>
    <r>
      <rPr>
        <sz val="11"/>
        <rFont val="Calibri"/>
        <family val="2"/>
        <scheme val="minor"/>
      </rPr>
      <t xml:space="preserve"> Primária</t>
    </r>
  </si>
  <si>
    <r>
      <t xml:space="preserve">Transferência de Recursos do SUS – Atenção </t>
    </r>
    <r>
      <rPr>
        <strike/>
        <sz val="11"/>
        <rFont val="Calibri"/>
        <family val="2"/>
        <scheme val="minor"/>
      </rPr>
      <t>de Média e Alta Complexidade Ambulatorial e Hospitalar</t>
    </r>
    <r>
      <rPr>
        <sz val="11"/>
        <rFont val="Calibri"/>
        <family val="2"/>
        <scheme val="minor"/>
      </rPr>
      <t xml:space="preserve"> Especializada</t>
    </r>
  </si>
  <si>
    <r>
      <t>Transferências de Recursos do Sistema Único de Saúde – SUS - Repasses Fundo a Fundo - Bloco</t>
    </r>
    <r>
      <rPr>
        <strike/>
        <sz val="11"/>
        <rFont val="Calibri"/>
        <family val="2"/>
        <scheme val="minor"/>
      </rPr>
      <t xml:space="preserve"> Investimentos</t>
    </r>
    <r>
      <rPr>
        <sz val="11"/>
        <rFont val="Calibri"/>
        <family val="2"/>
        <scheme val="minor"/>
      </rPr>
      <t xml:space="preserve"> de Estruturação da Rede de Serviços Públicos de Saúde</t>
    </r>
  </si>
  <si>
    <r>
      <t xml:space="preserve">Transferências de Recursos do Sistema Único de Saúde – SUS Destinados à Atenção </t>
    </r>
    <r>
      <rPr>
        <strike/>
        <sz val="11"/>
        <rFont val="Calibri"/>
        <family val="2"/>
        <scheme val="minor"/>
      </rPr>
      <t>Básica</t>
    </r>
    <r>
      <rPr>
        <sz val="11"/>
        <rFont val="Calibri"/>
        <family val="2"/>
        <scheme val="minor"/>
      </rPr>
      <t xml:space="preserve"> Primária</t>
    </r>
  </si>
  <si>
    <t>SOF</t>
  </si>
  <si>
    <r>
      <t xml:space="preserve">Transferência de Recursos do Sistema Único de Saúde – SUS – Fundo a Fundo - Bloco </t>
    </r>
    <r>
      <rPr>
        <strike/>
        <sz val="11"/>
        <rFont val="Calibri"/>
        <family val="2"/>
        <scheme val="minor"/>
      </rPr>
      <t>Custeio</t>
    </r>
    <r>
      <rPr>
        <sz val="11"/>
        <rFont val="Calibri"/>
        <family val="2"/>
        <scheme val="minor"/>
      </rPr>
      <t xml:space="preserve"> de Manutenção das Ações e Serviços Públicos de Saúde</t>
    </r>
  </si>
  <si>
    <r>
      <t xml:space="preserve">Transferências de Recursos do Sistema Único de Saúde – SUS - Fundo a Fundo - Bloco </t>
    </r>
    <r>
      <rPr>
        <strike/>
        <sz val="11"/>
        <rFont val="Calibri"/>
        <family val="2"/>
        <scheme val="minor"/>
      </rPr>
      <t xml:space="preserve">Investimentos na </t>
    </r>
    <r>
      <rPr>
        <sz val="11"/>
        <rFont val="Calibri"/>
        <family val="2"/>
        <scheme val="minor"/>
      </rPr>
      <t>de Estruturação da Rede de Serviços Públicos de Saúde</t>
    </r>
  </si>
  <si>
    <t>SITUAÇÃO ATUAL</t>
  </si>
  <si>
    <t>DESCRIÇÃO</t>
  </si>
  <si>
    <t>CLASSIFICAÇÃO PROPOSTA</t>
  </si>
  <si>
    <t>MOTIVO</t>
  </si>
  <si>
    <t>-</t>
  </si>
  <si>
    <t>Outras Transferências de Recursos Fundo a Fundo</t>
  </si>
  <si>
    <t>Registra o valor da receita de outras transferências de recursos Fundo a Fundo da União para Estados, Distrito Federal e  Municípios, não compreendidas nos itens anteriores.</t>
  </si>
  <si>
    <t>Especificar recursos para a área de gastos de segurança pública.</t>
  </si>
  <si>
    <t>Cobertura de situações não previstas.</t>
  </si>
  <si>
    <t>Agrega as receitas originadas da contribuição para assistência médico-hospitalar dos Policiais Militares e do Corpo de Bombeiros Militar do Distrito Federal.</t>
  </si>
  <si>
    <t>Agrega as receitas originadas da contribuição para assistência médico-hospitalar dos Policiais Militares e do Corpo de Bombeiros Militar.</t>
  </si>
  <si>
    <t xml:space="preserve">Adequar a descrição que restringia a utilização ao DF. </t>
  </si>
  <si>
    <t>Registra as receitas originadas de recursos que integram o Fundo de Saúde da Polícia Militar do Distrito Federal, destinado ao atendimento médico-hospitalar, médicodomiciliar, odontológico, psicológico e social do militar, seus dependentes e pensionistas.</t>
  </si>
  <si>
    <t>Registra as receitas originadas de recursos que integram o Fundo de Saúde da Polícia Militar, destinado ao atendimento médico-hospitalar, médicodomiciliar, odontológico, psicológico e social do militar, seus dependentes e pensionistas.</t>
  </si>
  <si>
    <t>Registra as receitas originadas do parcelamento de débitos da contribuição que integra o Fundo de Saúde da Polícia Militar do Distrito Federal, destinado ao atendimento médico-hospitalar, médico-domiciliar, odontológico, psicológico e social do militar, seus dependentes e pensionistas.</t>
  </si>
  <si>
    <t>Registra as receitas originadas do parcelamento de débitos da contribuição que integra o Fundo de Saúde da Polícia Militar, destinado ao atendimento médico-hospitalar, médico-domiciliar, odontológico, psicológico e social do militar, seus dependentes e pensionistas.</t>
  </si>
  <si>
    <t>Registra as receitas da contribuição para a Assistência Médico-Hospitalar dos Bombeiros Militares do Distrito Federal.</t>
  </si>
  <si>
    <t>Registra as receitas da contribuição para a Assistência Médico-Hospitalar dos Bombeiros Militares.</t>
  </si>
  <si>
    <t>Registra as receitas oriundas do parcelamento de débitos da contribuição para a Assistência Médico-Hospitalar dos Bombeiros Militares do Distrito Federal.</t>
  </si>
  <si>
    <t>Registra as receitas oriundas do parcelamento de débitos da contribuição para a Assistência Médico-Hospitalar dos Bombeiros Militares.</t>
  </si>
  <si>
    <t>Transferência de Recursos do Sistema Único de Saúde – SUS – Repasses Fundo a Fundo Bloco Custeio das Ações e Serviços Públicos de Saúde</t>
  </si>
  <si>
    <t>Agrega o valor total das transferências correntes oriundas do Fundo Nacional de Saúde referentes ao bloco custeio das ações e serviços públicos de saúde, recebidos pelos Fundos de Saúde dos Estados, do Distrito Federal e dos Municípios.</t>
  </si>
  <si>
    <t>Adequação às novas diretrizes estabelecidas pela Nota Técnica CONASEMS - Portaria GM 828/2020.</t>
  </si>
  <si>
    <t>Transferência de Recursos do SUS – Atenção Básica</t>
  </si>
  <si>
    <t>Agrega o valor total de transferências correntes do bloco custeio das ações e serviços públicos de saúde do Fundo Nacional de Saúde (União) recebidos pelos Fundos de Saúde dos Estados, do Distrito Federal e dos Municípios, referentes a gastos com atenção básica.</t>
  </si>
  <si>
    <t>Transferência de Recursos do SUS – Atenção de Média e Alta Complexidade Ambulatorial e Hospitalar</t>
  </si>
  <si>
    <t>Agrega o valor total de transferências correntes do bloco custeio das ações e serviços públicos de saúde do Fundo Nacional de Saúde (União) recebidos pelos Fundos de Saúde dos Estados, do Distrito Federal e dos Municípios, referentes a gastos com atenção de média e alta complexidade ambulatorial e hospitalar.</t>
  </si>
  <si>
    <t>Agrega o valor total de transferências correntes do bloco custeio das ações e serviços públicos de saúde do Fundo Nacional de Saúde (União) recebidos pelos Fundos de Saúde dos Estados, do Distrito Federal e dos Municípios, referentes a gastos com vigilância em saúde.</t>
  </si>
  <si>
    <t>Agrega o valor total de transferências correntes do bloco custeio das ações e serviços públicos de saúde do Fundo Nacional de Saúde (União) recebidos pelos Fundos de Saúde dos Estados, do Distrito Federal e dos Municípios, referentes a gastos com assistência farmacêutica.</t>
  </si>
  <si>
    <t>Agrega o valor total de transferências correntes do bloco custeio das ações e serviços públicos de saúde do Fundo Nacional de Saúde (União) recebidos pelos Fundos de Saúde dos Estados, do Distrito Federal e dos Municípios, referentes a gastos com gestão do SUS.</t>
  </si>
  <si>
    <t>Agrega o valor total de transferências correntes do bloco custeio das ações e serviços públicos de saúde do Fundo Nacional de Saúde (União) recebidos pelos Fundos de Saúde dos Estados, do Distrito Federal e dos Municípios, para ações não especificados anteriormente.</t>
  </si>
  <si>
    <t>Transferências de Recursos do Sistema Único de Saúde – SUS - Bloco Investimentos na Rede de Serviços Públicos de Saúde</t>
  </si>
  <si>
    <t>Agrega o valor total das transferências correntes oriundas do Fundo Nacional de Saúde referentes ao bloco investimento na rede de serviços públicos de saúde, recebidos pelos Fundos de Saúde dos Estados, do Distrito Federal e dos Municípios.</t>
  </si>
  <si>
    <t>Transferências de Recursos do Sistema Único de Saúde – SUS destinados à Atenção Básica</t>
  </si>
  <si>
    <t>Agrega o valor das transferências correntes da União recebidas pelos Estados, Distrito Federal e Municípios, referentes ao bloco investimento na rede de serviços do Sistema Único de Saúde – SUS, destinados à Atenção Básica.</t>
  </si>
  <si>
    <t>Agrega o valor das transferências correntes da União recebidas pelos Estados, Distrito Federal e Municípios, referentes ao bloco investimento na rede de serviços do Sistema Único de Saúde – SUS, destinaos à Atenção Especializada.</t>
  </si>
  <si>
    <t>Agrega o valor das transferências correntes da União recebidas pelos Estados, Distrito Federal e Municípios, referentes ao bloco investimento na rede de serviços do Sistema Único de Saúde – SUS, destinados à Vigilância em Saúde.</t>
  </si>
  <si>
    <t>Agrega o valor das transferências correntes da União recebidas pelos Estados, Distrito Federal e Municípios, referentes ao bloco investimento na rede de serviços do Sistema Único de Saúde – SUS, destinados à Gestão e Desenvolvimento de Tecnologias em Saúde no SUS.</t>
  </si>
  <si>
    <t>Agrega o valor das transferências correntes da União recebidas pelos Estados, Distrito Federal e Municípios, referentes ao bloco investimento na rede de serviços do Sistema Único de Saúde – SUS, destinados à Gestão do SUS.</t>
  </si>
  <si>
    <t>Adequação às novas diretrizes estabelecidas pela Nota Técnica CONASEMS - Portaria GM 828/2020, bem como à diretriz de deixar o 7º dígito para classificação de "outras" ou "demais" em relação aos itens anteriormente especificados.</t>
  </si>
  <si>
    <t>Transferência de Recursos do Sistema Único de Saúde – SUS – Bloco Custeio das Ações e Serviços Públicos de Saúde</t>
  </si>
  <si>
    <t>Agrega o valor total das transferências de capital oriundas do Fundo Nacional de Saúde referentes ao bloco custeio das ações e serviços públicos de saúde, recebidos pelos Fundos de Saúde dos Estados, do Distrito Federal e dos Municípios.</t>
  </si>
  <si>
    <t>Agrega o valor total de transferências de capital do bloco custeio das ações e serviços públicos de saúde do Fundo Nacional de Saúde (União) recebidos pelos Fundos de Saúde dos Estados, do Distrito Federal e dos Municípios, referentes a gastos com atenção básica.</t>
  </si>
  <si>
    <t>Agrega o valor total de transferências de capital do bloco custeio das ações e serviços públicos de saúde do Fundo Nacional de Saúde (União) recebidos pelos Fundos de Saúde dos Estados, do Distrito Federal e dos Municípios, referentes a gastos com atenção de média e alta complexidade ambulatorial e hospitalar.</t>
  </si>
  <si>
    <t>Agrega o valor total de transferências de capital do bloco custeio das ações e serviços públicos de saúde do Fundo Nacional de Saúde (União) recebidos pelos Fundos de Saúde dos Estados, do Distrito Federal e dos Municípios, referentes a gastos com vigilância em saúde.</t>
  </si>
  <si>
    <t>Agrega o valor total de transferências de capital do bloco custeio das ações e serviços públicos de saúde do Fundo Nacional de Saúde (União) recebidos pelos Fundos de Saúde dos Estados, do Distrito Federal e dos Municípios, referentes a gastos com assistência farmacêutica.</t>
  </si>
  <si>
    <t>Agrega o valor total de transferências de capital do bloco custeio das ações e serviços públicos de saúde do Fundo Nacional de Saúde (União) recebidos pelos Fundos de Saúde dos Estados, do Distrito Federal e dos Municípios, referentes a gastos com gestão do SUS.</t>
  </si>
  <si>
    <t>Agrega o valor total de transferências de capital do bloco custeio das ações e serviços públicos de saúde do Fundo Nacional de Saúde (União) recebidos pelos Fundos de Saúde dos Estados, do Distrito Federal e dos Municípios, para ações não especificados anteriormente.</t>
  </si>
  <si>
    <t>Agrega o valor total das transferências de capital oriundas do Fundo Nacional de Saúde referentes ao bloco investimento na rede de serviços públicos de saúde, recebidos pelos Fundos de Saúde dos Estados, do Distrito Federal e dos Municípios.</t>
  </si>
  <si>
    <t>Agrega o valor das transferências de capital da União recebidas pelos Estados, Distrito Federal e Municípios, referentes ao bloco investimento na rede de serviços do Sistema Único de Saúde – SUS, destinados à Atenção Básica.</t>
  </si>
  <si>
    <t>Agrega o valor das transferências de capital da União recebidas pelos Estados, Distrito Federal e Municípios, referentes ao bloco investimento na rede de serviços do Sistema Único de Saúde – SUS, destinaos à Atenção Especializada.</t>
  </si>
  <si>
    <t>Agrega o valor das transferências de capital da União recebidas pelos Estados, Distrito Federal e Municípios, referentes ao bloco investimento na rede de serviços do Sistema Único de Saúde – SUS, destinados à Vigilância em Saúde.</t>
  </si>
  <si>
    <t>Agrega o valor das transferências de capital da União recebidas pelos Estados, Distrito Federal e Municípios, referentes ao bloco investimento na rede de serviços do Sistema Único de Saúde – SUS, destinados à Gestão e Desenvolvimento de Tecnologias em Saúde no SUS.</t>
  </si>
  <si>
    <t>Agrega o valor das transferências de capital da União recebidas pelos Estados, Distrito Federal e Municípios, referentes ao bloco investimento na rede de serviços do Sistema Único de Saúde – SUS, destinados à Gestão do SUS.</t>
  </si>
  <si>
    <t>Contribuição dos Militares e Pensionistas para Previdência Militar de Estados e DF</t>
  </si>
  <si>
    <t>Agrega a receita de contribuição dos militares e pensionistas militares dos Estados e DF para o custeio da Previdência Militar.</t>
  </si>
  <si>
    <t>EC nº 103/2019.</t>
  </si>
  <si>
    <t>Contribuição do Militar Ativo</t>
  </si>
  <si>
    <t>Agrega o valor da arrecadação da receita de contribuições dos militares ativos para a Previdência Militar.</t>
  </si>
  <si>
    <t>Contribuição do Militar Inativo</t>
  </si>
  <si>
    <t>Agrega o valor da arrecadação da receita de contribuições dos militares inativos para a Previdência Militar.</t>
  </si>
  <si>
    <t>Contribuição dos Pensionistas Militares</t>
  </si>
  <si>
    <t>Agrega o valor da arrecadação da receita de contribuições dos pensionistas militares para a Previdência Militar.</t>
  </si>
  <si>
    <t>Contribuição dos Militares e Pensionistas para Previdência Militar - Parcelamentos - Específico de EST/DF/MUN</t>
  </si>
  <si>
    <t>Agrega a receita de parcelamentos de contribuição dos militares e pensoinistas correlatos correlatos dos Estados e DF para a Previdência Militar.</t>
  </si>
  <si>
    <t>Contribuição dos Militares e Pensionistas para Previdência Militar - Parcelamentos - Militar Ativo</t>
  </si>
  <si>
    <t>Agrega o valor da arrecadação por meio de parcelamento da receita de contribuições dos militares ativos para a Previdência Militar.</t>
  </si>
  <si>
    <t>Contribuição dos Militares e Pensionistas para Previdência Militar - Parcelamentos - Militar Inativo</t>
  </si>
  <si>
    <t>Agrega o valor da arrecadação por meio de parcelamento da receita de contribuições dos militares inativos para a Previdência Militar.</t>
  </si>
  <si>
    <t>Contribuição dos Militares e Pensionistas para Previdência Militar - Parcelamentos - Pensionistas Militares</t>
  </si>
  <si>
    <t>Agrega o valor da arrecadação por meio de parcelamento da receita de contribuições dos pensionistas militares para a Previdência Militar.</t>
  </si>
  <si>
    <t>Contribuição Patronal para Previdência Militar de Estados e DF</t>
  </si>
  <si>
    <t>Agrega a receita de contribuição dos entes, específica dos Estados e DF, para a Previdência Militar.</t>
  </si>
  <si>
    <t>Contribuição Patronal - Militar Ativo</t>
  </si>
  <si>
    <t>Agrega o valor da arrecadação da receita de contribuições patronais relativas aos militares ativos para a Previdência Militar.</t>
  </si>
  <si>
    <t>Contribuição Patronal - Militar Inativo</t>
  </si>
  <si>
    <t>Agrega o valor da arrecadação da receita de contribuições patronais relativas aos militares inativos para a Previdência Militar.</t>
  </si>
  <si>
    <t>Contribuição Patronal - Pensionistas Militares</t>
  </si>
  <si>
    <t>Agrega o valor da arrecadação da receita de contribuições patronais relativas aos pensionistas militares para a Previdência Militar.</t>
  </si>
  <si>
    <t>Contribuição Patronal para Previdência Militar de Estados e DF - Parcelamentos</t>
  </si>
  <si>
    <t>Agrega a receita de parcelamentos de contribuição dos entes, específica dos Estados e DF, para a Previdência Militar.</t>
  </si>
  <si>
    <t>Contribuição Patronal - Parcelamentos - Militar Ativo</t>
  </si>
  <si>
    <t>Agrega o valor da arrecadação por meio de parcelamento da receita de contribuições patronais relativas aos militares ativos para a Previdência Militar.</t>
  </si>
  <si>
    <t>Contribuição Patronal - Parcelamentos - Militar Inativo</t>
  </si>
  <si>
    <t>Agrega o valor da arrecadação por meio de parcelamento da receita de contribuições patronais relativas aos militares inativos para a Previdência Militar.</t>
  </si>
  <si>
    <t>Contribuição Patronal - Parcelamentos - Pensionistas Militares</t>
  </si>
  <si>
    <t>Agrega o valor da arrecadação por meio de parcelamento da receita de contribuições patronais relativas aos pensionistas militares para a Previdência Militar.</t>
  </si>
  <si>
    <t>Agrega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</si>
  <si>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Adequar a descrição aos demais entes, não apenas à União.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</si>
</sst>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0&quot;.&quot;0&quot;.&quot;0&quot;.&quot;00&quot;.&quot;0&quot;.&quot;0"/>
  </numFmts>
  <fonts count="24">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rgb="FF0070C0"/>
      <name val="Calibri"/>
      <family val="2"/>
      <scheme val="minor"/>
    </font>
    <font>
      <strike/>
      <sz val="11"/>
      <color rgb="FFFF0000"/>
      <name val="Calibri"/>
      <family val="2"/>
      <scheme val="minor"/>
    </font>
    <font>
      <strike/>
      <sz val="11"/>
      <name val="Calibri"/>
      <family val="2"/>
      <scheme val="minor"/>
    </font>
    <font>
      <sz val="11"/>
      <color theme="9" tint="-0.249977111117893"/>
      <name val="Calibri"/>
      <family val="2"/>
      <scheme val="minor"/>
    </font>
    <font>
      <b/>
      <sz val="12"/>
      <color theme="1"/>
      <name val="Calibri"/>
      <family val="2"/>
      <scheme val="minor"/>
    </font>
    <font>
      <sz val="12"/>
      <color theme="1"/>
      <name val="Calibri"/>
      <family val="2"/>
      <scheme val="minor"/>
    </font>
    <font>
      <b/>
      <sz val="12"/>
      <color rgb="FF0070C0"/>
      <name val="Calibri"/>
      <family val="2"/>
      <scheme val="minor"/>
    </font>
    <font>
      <sz val="12"/>
      <color theme="9" tint="-0.249977111117893"/>
      <name val="Calibri"/>
      <family val="2"/>
      <scheme val="minor"/>
    </font>
    <font>
      <b/>
      <sz val="12"/>
      <color rgb="FFFF0000"/>
      <name val="Calibri"/>
      <family val="2"/>
      <scheme val="minor"/>
    </font>
    <font>
      <b/>
      <strike/>
      <sz val="12"/>
      <color rgb="FFFF0000"/>
      <name val="Calibri"/>
      <family val="2"/>
      <scheme val="minor"/>
    </font>
    <font>
      <sz val="8"/>
      <name val="Calibri"/>
      <family val="2"/>
      <scheme val="minor"/>
    </font>
    <font>
      <b/>
      <sz val="12"/>
      <color rgb="FF7030A0"/>
      <name val="Calibri"/>
      <family val="2"/>
      <scheme val="minor"/>
    </font>
    <font>
      <sz val="9"/>
      <color indexed="81"/>
      <name val="Segoe UI"/>
      <family val="2"/>
    </font>
    <font>
      <b/>
      <sz val="9"/>
      <color indexed="81"/>
      <name val="Segoe UI"/>
      <family val="2"/>
    </font>
    <font>
      <sz val="11"/>
      <color rgb="FF7030A0"/>
      <name val="Calibri"/>
      <family val="2"/>
      <scheme val="minor"/>
    </font>
    <font>
      <sz val="11"/>
      <color theme="8"/>
      <name val="Calibri"/>
      <family val="2"/>
      <scheme val="minor"/>
    </font>
    <font>
      <strike/>
      <sz val="11"/>
      <color rgb="FF00B0F0"/>
      <name val="Calibri"/>
      <family val="2"/>
      <scheme val="minor"/>
    </font>
    <font>
      <sz val="11"/>
      <color rgb="FF00B050"/>
      <name val="Calibri"/>
      <family val="2"/>
      <scheme val="minor"/>
    </font>
    <font>
      <b/>
      <sz val="12"/>
      <name val="Calibri"/>
      <family val="2"/>
      <scheme val="minor"/>
    </font>
    <font>
      <sz val="12"/>
      <name val="Calibri"/>
      <family val="2"/>
      <scheme val="minor"/>
    </font>
  </fonts>
  <fills count="13">
    <fill>
      <patternFill patternType="none"/>
    </fill>
    <fill>
      <patternFill patternType="gray125"/>
    </fill>
    <fill>
      <patternFill patternType="solid">
        <fgColor theme="3" tint="0.39997558519241921"/>
        <bgColor indexed="64"/>
      </patternFill>
    </fill>
    <fill>
      <patternFill patternType="solid">
        <fgColor theme="9" tint="-0.249977111117893"/>
        <bgColor indexed="64"/>
      </patternFill>
    </fill>
    <fill>
      <patternFill patternType="solid">
        <fgColor theme="9"/>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6"/>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style="medium">
        <color indexed="64"/>
      </bottom>
      <diagonal/>
    </border>
    <border>
      <left style="thin">
        <color indexed="64"/>
      </left>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11">
    <xf numFmtId="0" fontId="0" fillId="0" borderId="0" xfId="0"/>
    <xf numFmtId="0" fontId="2" fillId="0" borderId="1" xfId="0" applyFont="1" applyBorder="1" applyAlignment="1">
      <alignment vertical="center" wrapText="1"/>
    </xf>
    <xf numFmtId="0" fontId="2" fillId="5" borderId="1" xfId="0" applyFont="1" applyFill="1" applyBorder="1" applyAlignment="1">
      <alignment vertical="center" wrapText="1"/>
    </xf>
    <xf numFmtId="0" fontId="2" fillId="4" borderId="1" xfId="0" applyFont="1" applyFill="1" applyBorder="1" applyAlignment="1">
      <alignment vertical="center" wrapText="1"/>
    </xf>
    <xf numFmtId="0" fontId="2" fillId="6" borderId="1" xfId="0" applyFont="1" applyFill="1" applyBorder="1" applyAlignment="1">
      <alignment vertical="center" wrapText="1"/>
    </xf>
    <xf numFmtId="0" fontId="4" fillId="0" borderId="0" xfId="0" applyFont="1"/>
    <xf numFmtId="0" fontId="2" fillId="0" borderId="0" xfId="0" applyFont="1"/>
    <xf numFmtId="0" fontId="2" fillId="2" borderId="1" xfId="0" applyFont="1" applyFill="1" applyBorder="1" applyAlignment="1">
      <alignment vertical="center" wrapText="1"/>
    </xf>
    <xf numFmtId="0" fontId="5" fillId="0" borderId="0" xfId="0" applyFont="1"/>
    <xf numFmtId="0" fontId="2" fillId="0" borderId="0" xfId="0" applyFont="1" applyAlignment="1">
      <alignment vertical="center" wrapText="1"/>
    </xf>
    <xf numFmtId="0" fontId="2" fillId="0" borderId="0" xfId="0" applyFont="1" applyAlignment="1">
      <alignment vertical="center"/>
    </xf>
    <xf numFmtId="0" fontId="2" fillId="8" borderId="1" xfId="0" applyFont="1" applyFill="1" applyBorder="1" applyAlignment="1">
      <alignment vertical="center" wrapText="1"/>
    </xf>
    <xf numFmtId="0" fontId="6" fillId="0" borderId="0" xfId="0" applyFont="1"/>
    <xf numFmtId="0" fontId="1" fillId="0" borderId="0" xfId="0" applyFont="1" applyAlignment="1">
      <alignment horizontal="center"/>
    </xf>
    <xf numFmtId="0" fontId="0" fillId="0" borderId="0" xfId="0" applyFill="1"/>
    <xf numFmtId="0" fontId="2" fillId="3" borderId="3" xfId="0" applyFont="1" applyFill="1" applyBorder="1" applyAlignment="1">
      <alignment vertical="center" wrapText="1"/>
    </xf>
    <xf numFmtId="164" fontId="7" fillId="0" borderId="1" xfId="0" applyNumberFormat="1" applyFont="1" applyFill="1" applyBorder="1" applyAlignment="1">
      <alignment vertical="center" wrapText="1"/>
    </xf>
    <xf numFmtId="164" fontId="3" fillId="7" borderId="4" xfId="0" applyNumberFormat="1" applyFont="1" applyFill="1" applyBorder="1" applyAlignment="1">
      <alignment vertical="center" wrapText="1"/>
    </xf>
    <xf numFmtId="0" fontId="3" fillId="7" borderId="7" xfId="0" applyFont="1" applyFill="1" applyBorder="1" applyAlignment="1">
      <alignment vertical="center" wrapText="1"/>
    </xf>
    <xf numFmtId="0" fontId="2" fillId="0" borderId="8" xfId="0" applyFont="1" applyFill="1" applyBorder="1" applyAlignment="1">
      <alignment vertical="center" wrapText="1"/>
    </xf>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2" fillId="0" borderId="11" xfId="0" applyFont="1" applyFill="1" applyBorder="1" applyAlignment="1">
      <alignment vertical="center" wrapText="1"/>
    </xf>
    <xf numFmtId="0" fontId="3" fillId="7" borderId="5" xfId="0" applyFont="1" applyFill="1" applyBorder="1" applyAlignment="1">
      <alignment vertical="center" wrapText="1"/>
    </xf>
    <xf numFmtId="0" fontId="2" fillId="0" borderId="0" xfId="0" applyFont="1" applyAlignment="1">
      <alignment horizontal="center"/>
    </xf>
    <xf numFmtId="164" fontId="2" fillId="10" borderId="1" xfId="0" applyNumberFormat="1" applyFont="1" applyFill="1" applyBorder="1" applyAlignment="1">
      <alignment vertical="center" wrapText="1"/>
    </xf>
    <xf numFmtId="0" fontId="2" fillId="10" borderId="1" xfId="0" applyFont="1" applyFill="1" applyBorder="1" applyAlignment="1">
      <alignment vertical="center" wrapText="1"/>
    </xf>
    <xf numFmtId="0" fontId="5" fillId="10" borderId="1" xfId="0" applyFont="1" applyFill="1" applyBorder="1" applyAlignment="1">
      <alignment vertical="center" wrapText="1"/>
    </xf>
    <xf numFmtId="164" fontId="2" fillId="10" borderId="13" xfId="0" applyNumberFormat="1" applyFont="1" applyFill="1" applyBorder="1" applyAlignment="1">
      <alignment horizontal="center" vertical="center" wrapText="1"/>
    </xf>
    <xf numFmtId="164" fontId="2" fillId="10" borderId="15" xfId="0" applyNumberFormat="1" applyFont="1" applyFill="1" applyBorder="1" applyAlignment="1">
      <alignment horizontal="center" vertical="center" wrapText="1"/>
    </xf>
    <xf numFmtId="164" fontId="2" fillId="10" borderId="1" xfId="0" applyNumberFormat="1" applyFont="1" applyFill="1" applyBorder="1" applyAlignment="1">
      <alignment horizontal="center" vertical="center" wrapText="1"/>
    </xf>
    <xf numFmtId="0" fontId="2" fillId="10" borderId="16" xfId="0" applyFont="1" applyFill="1" applyBorder="1" applyAlignment="1">
      <alignment horizontal="center" vertical="center" wrapText="1"/>
    </xf>
    <xf numFmtId="164" fontId="5" fillId="10" borderId="1" xfId="0" applyNumberFormat="1" applyFont="1" applyFill="1" applyBorder="1" applyAlignment="1">
      <alignment horizontal="center" vertical="center" wrapText="1"/>
    </xf>
    <xf numFmtId="164" fontId="2" fillId="10" borderId="17" xfId="0" applyNumberFormat="1" applyFont="1" applyFill="1" applyBorder="1" applyAlignment="1">
      <alignment horizontal="center" vertical="center" wrapText="1"/>
    </xf>
    <xf numFmtId="164" fontId="2" fillId="10" borderId="18" xfId="0" applyNumberFormat="1" applyFont="1" applyFill="1" applyBorder="1" applyAlignment="1">
      <alignment horizontal="center" vertical="center" wrapText="1"/>
    </xf>
    <xf numFmtId="164" fontId="2" fillId="10" borderId="18" xfId="0" applyNumberFormat="1" applyFont="1" applyFill="1" applyBorder="1" applyAlignment="1">
      <alignment vertical="center" wrapText="1"/>
    </xf>
    <xf numFmtId="0" fontId="2" fillId="10" borderId="18" xfId="0" applyFont="1" applyFill="1" applyBorder="1" applyAlignment="1">
      <alignment vertical="center" wrapText="1"/>
    </xf>
    <xf numFmtId="0" fontId="2" fillId="10" borderId="19" xfId="0" applyFont="1" applyFill="1" applyBorder="1" applyAlignment="1">
      <alignment horizontal="center" vertical="center" wrapText="1"/>
    </xf>
    <xf numFmtId="0" fontId="2" fillId="10" borderId="0" xfId="0" applyFont="1" applyFill="1" applyAlignment="1">
      <alignment horizontal="center"/>
    </xf>
    <xf numFmtId="0" fontId="0" fillId="10" borderId="12" xfId="0" applyFont="1" applyFill="1" applyBorder="1" applyAlignment="1">
      <alignment horizontal="center" vertical="center" wrapText="1"/>
    </xf>
    <xf numFmtId="0" fontId="0" fillId="10" borderId="13" xfId="0" applyFont="1" applyFill="1" applyBorder="1" applyAlignment="1">
      <alignment horizontal="center" vertical="center" wrapText="1"/>
    </xf>
    <xf numFmtId="0" fontId="2" fillId="10" borderId="13" xfId="0" applyFont="1" applyFill="1" applyBorder="1" applyAlignment="1">
      <alignment horizontal="center" vertical="center" wrapText="1"/>
    </xf>
    <xf numFmtId="0" fontId="0" fillId="10" borderId="14" xfId="0" applyFont="1" applyFill="1" applyBorder="1" applyAlignment="1">
      <alignment horizontal="center" vertical="center" wrapText="1"/>
    </xf>
    <xf numFmtId="0" fontId="0" fillId="10" borderId="0" xfId="0" applyFill="1"/>
    <xf numFmtId="0" fontId="15" fillId="0" borderId="0" xfId="0" applyFont="1"/>
    <xf numFmtId="164" fontId="5" fillId="10" borderId="15" xfId="0" applyNumberFormat="1" applyFont="1" applyFill="1" applyBorder="1" applyAlignment="1">
      <alignment horizontal="center" vertical="center" wrapText="1"/>
    </xf>
    <xf numFmtId="164" fontId="5" fillId="10" borderId="1" xfId="0" applyNumberFormat="1" applyFont="1" applyFill="1" applyBorder="1" applyAlignment="1">
      <alignment vertical="center" wrapText="1"/>
    </xf>
    <xf numFmtId="0" fontId="5" fillId="10" borderId="16" xfId="0" applyFont="1" applyFill="1" applyBorder="1" applyAlignment="1">
      <alignment horizontal="center" vertical="center" wrapText="1"/>
    </xf>
    <xf numFmtId="164" fontId="18" fillId="2" borderId="1" xfId="0" applyNumberFormat="1" applyFont="1" applyFill="1" applyBorder="1" applyAlignment="1">
      <alignment vertical="center" wrapText="1"/>
    </xf>
    <xf numFmtId="164" fontId="19" fillId="2" borderId="1" xfId="0" applyNumberFormat="1" applyFont="1" applyFill="1" applyBorder="1" applyAlignment="1">
      <alignment vertical="center" wrapText="1"/>
    </xf>
    <xf numFmtId="164" fontId="5" fillId="10" borderId="12" xfId="0" applyNumberFormat="1" applyFont="1" applyFill="1" applyBorder="1" applyAlignment="1">
      <alignment vertical="center" wrapText="1"/>
    </xf>
    <xf numFmtId="0" fontId="5" fillId="10" borderId="13" xfId="0" applyFont="1" applyFill="1" applyBorder="1" applyAlignment="1">
      <alignment vertical="center" wrapText="1"/>
    </xf>
    <xf numFmtId="0" fontId="5" fillId="10" borderId="14" xfId="0" applyFont="1" applyFill="1" applyBorder="1" applyAlignment="1">
      <alignment vertical="center" wrapText="1"/>
    </xf>
    <xf numFmtId="164" fontId="5" fillId="10" borderId="15" xfId="0" applyNumberFormat="1" applyFont="1" applyFill="1" applyBorder="1" applyAlignment="1">
      <alignment vertical="center" wrapText="1"/>
    </xf>
    <xf numFmtId="0" fontId="5" fillId="10" borderId="16" xfId="0" applyFont="1" applyFill="1" applyBorder="1" applyAlignment="1">
      <alignment vertical="center" wrapText="1"/>
    </xf>
    <xf numFmtId="164" fontId="20" fillId="10" borderId="15" xfId="0" applyNumberFormat="1" applyFont="1" applyFill="1" applyBorder="1" applyAlignment="1">
      <alignment horizontal="center" vertical="center" wrapText="1"/>
    </xf>
    <xf numFmtId="0" fontId="20" fillId="10" borderId="1" xfId="0" applyFont="1" applyFill="1" applyBorder="1" applyAlignment="1">
      <alignment horizontal="center" vertical="center" wrapText="1"/>
    </xf>
    <xf numFmtId="0" fontId="20" fillId="10" borderId="16" xfId="0" applyFont="1" applyFill="1" applyBorder="1" applyAlignment="1">
      <alignment horizontal="center" vertical="center" wrapText="1"/>
    </xf>
    <xf numFmtId="0" fontId="2" fillId="0" borderId="1" xfId="0" applyFont="1" applyFill="1" applyBorder="1" applyAlignment="1">
      <alignment vertical="center" wrapText="1"/>
    </xf>
    <xf numFmtId="0" fontId="0" fillId="0" borderId="1" xfId="0" applyBorder="1" applyAlignment="1">
      <alignment horizontal="center" vertical="center"/>
    </xf>
    <xf numFmtId="0" fontId="0" fillId="0" borderId="0" xfId="0" applyAlignment="1">
      <alignment horizontal="center" vertical="center"/>
    </xf>
    <xf numFmtId="0" fontId="1" fillId="9" borderId="2" xfId="0" applyFont="1" applyFill="1" applyBorder="1" applyAlignment="1">
      <alignment horizontal="center" vertical="center"/>
    </xf>
    <xf numFmtId="0" fontId="0" fillId="0" borderId="3" xfId="0" applyBorder="1" applyAlignment="1">
      <alignment horizontal="center" vertical="center"/>
    </xf>
    <xf numFmtId="164" fontId="2" fillId="0" borderId="15" xfId="0" applyNumberFormat="1" applyFont="1" applyFill="1" applyBorder="1" applyAlignment="1">
      <alignment vertical="center" wrapText="1"/>
    </xf>
    <xf numFmtId="0" fontId="2" fillId="0" borderId="16" xfId="0" applyFont="1" applyFill="1" applyBorder="1" applyAlignment="1">
      <alignment vertical="center" wrapText="1"/>
    </xf>
    <xf numFmtId="164" fontId="2" fillId="10" borderId="15" xfId="0" applyNumberFormat="1" applyFont="1" applyFill="1" applyBorder="1" applyAlignment="1">
      <alignment vertical="center" wrapText="1"/>
    </xf>
    <xf numFmtId="0" fontId="2" fillId="10" borderId="16" xfId="0" applyFont="1" applyFill="1" applyBorder="1" applyAlignment="1">
      <alignment vertical="center" wrapText="1"/>
    </xf>
    <xf numFmtId="164" fontId="21" fillId="10" borderId="15" xfId="0" applyNumberFormat="1" applyFont="1" applyFill="1" applyBorder="1" applyAlignment="1">
      <alignment vertical="center" wrapText="1"/>
    </xf>
    <xf numFmtId="0" fontId="21" fillId="10" borderId="1" xfId="0" applyFont="1" applyFill="1" applyBorder="1" applyAlignment="1">
      <alignment vertical="center" wrapText="1"/>
    </xf>
    <xf numFmtId="0" fontId="21" fillId="10" borderId="21" xfId="0" applyFont="1" applyFill="1" applyBorder="1" applyAlignment="1">
      <alignment vertical="center" wrapText="1"/>
    </xf>
    <xf numFmtId="164" fontId="4" fillId="10" borderId="15" xfId="0" applyNumberFormat="1" applyFont="1" applyFill="1" applyBorder="1" applyAlignment="1">
      <alignment vertical="center" wrapText="1"/>
    </xf>
    <xf numFmtId="0" fontId="4" fillId="10" borderId="1" xfId="0" applyFont="1" applyFill="1" applyBorder="1" applyAlignment="1">
      <alignment vertical="center" wrapText="1"/>
    </xf>
    <xf numFmtId="0" fontId="4" fillId="10" borderId="16" xfId="0" applyFont="1" applyFill="1" applyBorder="1" applyAlignment="1">
      <alignment vertical="center" wrapText="1"/>
    </xf>
    <xf numFmtId="0" fontId="4" fillId="10" borderId="21" xfId="0" applyFont="1" applyFill="1" applyBorder="1" applyAlignment="1">
      <alignment vertical="center" wrapText="1"/>
    </xf>
    <xf numFmtId="164" fontId="4" fillId="10" borderId="12" xfId="0" applyNumberFormat="1" applyFont="1" applyFill="1" applyBorder="1" applyAlignment="1">
      <alignment vertical="center" wrapText="1"/>
    </xf>
    <xf numFmtId="0" fontId="4" fillId="10" borderId="13" xfId="0" applyFont="1" applyFill="1" applyBorder="1" applyAlignment="1">
      <alignment vertical="center" wrapText="1"/>
    </xf>
    <xf numFmtId="0" fontId="4" fillId="10" borderId="14" xfId="0" applyFont="1" applyFill="1" applyBorder="1" applyAlignment="1">
      <alignment vertical="center" wrapText="1"/>
    </xf>
    <xf numFmtId="164" fontId="4" fillId="10" borderId="1" xfId="0" applyNumberFormat="1" applyFont="1" applyFill="1" applyBorder="1" applyAlignment="1">
      <alignment vertical="center" wrapText="1"/>
    </xf>
    <xf numFmtId="164" fontId="20" fillId="10" borderId="17" xfId="0" applyNumberFormat="1" applyFont="1" applyFill="1" applyBorder="1" applyAlignment="1">
      <alignment horizontal="center" vertical="center" wrapText="1"/>
    </xf>
    <xf numFmtId="0" fontId="20" fillId="10" borderId="18" xfId="0" applyFont="1" applyFill="1" applyBorder="1" applyAlignment="1">
      <alignment horizontal="center" vertical="center" wrapText="1"/>
    </xf>
    <xf numFmtId="0" fontId="20" fillId="10" borderId="19" xfId="0" applyFont="1" applyFill="1" applyBorder="1" applyAlignment="1">
      <alignment horizontal="center" vertical="center" wrapText="1"/>
    </xf>
    <xf numFmtId="164" fontId="4" fillId="10" borderId="18" xfId="0" applyNumberFormat="1" applyFont="1" applyFill="1" applyBorder="1" applyAlignment="1">
      <alignment vertical="center" wrapText="1"/>
    </xf>
    <xf numFmtId="0" fontId="4" fillId="10" borderId="18" xfId="0" applyFont="1" applyFill="1" applyBorder="1" applyAlignment="1">
      <alignment vertical="center" wrapText="1"/>
    </xf>
    <xf numFmtId="0" fontId="4" fillId="10" borderId="19" xfId="0" applyFont="1" applyFill="1" applyBorder="1" applyAlignment="1">
      <alignmen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18" fillId="2" borderId="8" xfId="0" applyFont="1" applyFill="1" applyBorder="1" applyAlignment="1">
      <alignment vertical="center" wrapText="1"/>
    </xf>
    <xf numFmtId="0" fontId="19" fillId="2" borderId="8" xfId="0" applyFont="1" applyFill="1" applyBorder="1" applyAlignment="1">
      <alignment vertical="center" wrapText="1"/>
    </xf>
    <xf numFmtId="0" fontId="22" fillId="0" borderId="0" xfId="0" applyFont="1"/>
    <xf numFmtId="0" fontId="1" fillId="11" borderId="1" xfId="0" applyFont="1" applyFill="1" applyBorder="1" applyAlignment="1">
      <alignment horizontal="center" vertical="center" wrapText="1"/>
    </xf>
    <xf numFmtId="164" fontId="3" fillId="11" borderId="1" xfId="0" applyNumberFormat="1" applyFont="1" applyFill="1" applyBorder="1" applyAlignment="1">
      <alignment horizontal="center" vertical="center" wrapText="1"/>
    </xf>
    <xf numFmtId="0" fontId="3" fillId="11" borderId="1" xfId="0" applyFont="1" applyFill="1" applyBorder="1" applyAlignment="1">
      <alignment horizontal="center" vertical="center" wrapText="1"/>
    </xf>
    <xf numFmtId="0" fontId="1" fillId="12" borderId="1" xfId="0" applyFont="1" applyFill="1" applyBorder="1" applyAlignment="1">
      <alignment horizontal="center"/>
    </xf>
    <xf numFmtId="0" fontId="1" fillId="9" borderId="25" xfId="0" applyFont="1" applyFill="1" applyBorder="1" applyAlignment="1">
      <alignment horizontal="center"/>
    </xf>
    <xf numFmtId="0" fontId="1" fillId="9" borderId="26" xfId="0" applyFont="1" applyFill="1" applyBorder="1" applyAlignment="1">
      <alignment horizontal="center"/>
    </xf>
    <xf numFmtId="0" fontId="0" fillId="0" borderId="8" xfId="0" applyBorder="1" applyAlignment="1">
      <alignment horizontal="left" vertical="center"/>
    </xf>
    <xf numFmtId="0" fontId="0" fillId="0" borderId="22" xfId="0" applyBorder="1" applyAlignment="1">
      <alignment horizontal="left" vertical="center"/>
    </xf>
    <xf numFmtId="0" fontId="0" fillId="0" borderId="8" xfId="0" applyBorder="1" applyAlignment="1">
      <alignment horizontal="left" vertical="center" wrapText="1"/>
    </xf>
    <xf numFmtId="0" fontId="0" fillId="0" borderId="22" xfId="0" applyBorder="1" applyAlignment="1">
      <alignment horizontal="left" vertical="center" wrapText="1"/>
    </xf>
    <xf numFmtId="0" fontId="0" fillId="0" borderId="20" xfId="0" applyBorder="1" applyAlignment="1">
      <alignment horizontal="left" vertical="center" wrapText="1"/>
    </xf>
    <xf numFmtId="0" fontId="0" fillId="0" borderId="23" xfId="0" applyBorder="1" applyAlignment="1">
      <alignment horizontal="left" vertical="center" wrapText="1"/>
    </xf>
    <xf numFmtId="0" fontId="0" fillId="0" borderId="3" xfId="0" applyBorder="1" applyAlignment="1">
      <alignment horizontal="left" vertical="center" wrapText="1"/>
    </xf>
    <xf numFmtId="0" fontId="1" fillId="4" borderId="5" xfId="0" applyFont="1" applyFill="1" applyBorder="1" applyAlignment="1">
      <alignment horizontal="center"/>
    </xf>
    <xf numFmtId="0" fontId="1" fillId="4" borderId="6" xfId="0" applyFont="1" applyFill="1" applyBorder="1" applyAlignment="1">
      <alignment horizontal="center"/>
    </xf>
    <xf numFmtId="0" fontId="1" fillId="4" borderId="10" xfId="0" applyFont="1" applyFill="1" applyBorder="1" applyAlignment="1">
      <alignment horizontal="center"/>
    </xf>
    <xf numFmtId="0" fontId="1" fillId="4" borderId="9" xfId="0" applyFont="1" applyFill="1" applyBorder="1" applyAlignment="1">
      <alignment horizontal="center"/>
    </xf>
    <xf numFmtId="0" fontId="1" fillId="9" borderId="24" xfId="0" applyFont="1" applyFill="1" applyBorder="1" applyAlignment="1">
      <alignment horizontal="center"/>
    </xf>
    <xf numFmtId="0" fontId="1" fillId="9" borderId="25" xfId="0" applyFont="1" applyFill="1" applyBorder="1" applyAlignment="1">
      <alignment horizontal="center"/>
    </xf>
  </cellXfs>
  <cellStyles count="1">
    <cellStyle name="Normal" xfId="0" builtinId="0"/>
  </cellStyles>
  <dxfs count="1024">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b/>
        <i val="0"/>
      </font>
      <fill>
        <patternFill>
          <bgColor rgb="FFAEAAAA"/>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b/>
        <i val="0"/>
      </font>
      <fill>
        <patternFill>
          <bgColor rgb="FFAEAAAA"/>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s>
  <tableStyles count="0" defaultTableStyle="TableStyleMedium2" defaultPivotStyle="PivotStyleLight16"/>
  <colors>
    <mruColors>
      <color rgb="FF0070C0"/>
      <color rgb="FFA9D08E"/>
      <color rgb="FF7030A0"/>
      <color rgb="FFFF0000"/>
      <color rgb="FF548235"/>
      <color rgb="FFAEAAAA"/>
      <color rgb="FFD6DCE4"/>
      <color rgb="FFACB9CA"/>
      <color rgb="FF70AD47"/>
      <color rgb="FF8497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
  <sheetViews>
    <sheetView workbookViewId="0">
      <selection activeCell="D23" sqref="D23"/>
    </sheetView>
  </sheetViews>
  <sheetFormatPr defaultRowHeight="15"/>
  <cols>
    <col min="2" max="2" width="12.7109375" bestFit="1" customWidth="1"/>
    <col min="3" max="3" width="24.140625" bestFit="1" customWidth="1"/>
    <col min="5" max="5" width="9.85546875" bestFit="1" customWidth="1"/>
  </cols>
  <sheetData>
    <row r="1" spans="1:9">
      <c r="A1" t="s">
        <v>0</v>
      </c>
      <c r="B1" t="s">
        <v>1</v>
      </c>
      <c r="C1" t="s">
        <v>2</v>
      </c>
      <c r="D1" t="s">
        <v>1</v>
      </c>
      <c r="E1" t="s">
        <v>3</v>
      </c>
      <c r="F1" t="s">
        <v>4</v>
      </c>
      <c r="G1" t="s">
        <v>5</v>
      </c>
      <c r="I1" t="s">
        <v>6</v>
      </c>
    </row>
    <row r="2" spans="1:9">
      <c r="A2" t="s">
        <v>7</v>
      </c>
      <c r="B2" t="s">
        <v>8</v>
      </c>
      <c r="C2" t="s">
        <v>9</v>
      </c>
      <c r="D2" s="15"/>
      <c r="E2">
        <v>84</v>
      </c>
      <c r="F2">
        <v>130</v>
      </c>
      <c r="G2">
        <v>53</v>
      </c>
      <c r="I2" t="s">
        <v>10</v>
      </c>
    </row>
    <row r="3" spans="1:9">
      <c r="A3" t="s">
        <v>11</v>
      </c>
      <c r="B3" t="s">
        <v>12</v>
      </c>
      <c r="C3" t="s">
        <v>13</v>
      </c>
      <c r="D3" s="3"/>
      <c r="E3">
        <v>112</v>
      </c>
      <c r="F3">
        <v>173</v>
      </c>
      <c r="G3">
        <v>71</v>
      </c>
      <c r="I3" t="s">
        <v>14</v>
      </c>
    </row>
    <row r="4" spans="1:9">
      <c r="A4" t="s">
        <v>15</v>
      </c>
      <c r="B4" t="s">
        <v>16</v>
      </c>
      <c r="C4" t="s">
        <v>17</v>
      </c>
      <c r="D4" s="11"/>
      <c r="E4">
        <v>169</v>
      </c>
      <c r="F4">
        <v>208</v>
      </c>
      <c r="G4">
        <v>142</v>
      </c>
      <c r="I4" t="s">
        <v>18</v>
      </c>
    </row>
    <row r="5" spans="1:9">
      <c r="A5" t="s">
        <v>19</v>
      </c>
      <c r="B5" t="s">
        <v>20</v>
      </c>
      <c r="C5" t="s">
        <v>21</v>
      </c>
      <c r="D5" s="7"/>
      <c r="E5">
        <v>132</v>
      </c>
      <c r="F5">
        <v>151</v>
      </c>
      <c r="G5">
        <v>176</v>
      </c>
      <c r="I5" t="s">
        <v>22</v>
      </c>
    </row>
    <row r="6" spans="1:9">
      <c r="A6" t="s">
        <v>23</v>
      </c>
      <c r="B6" t="s">
        <v>24</v>
      </c>
      <c r="C6" t="s">
        <v>25</v>
      </c>
      <c r="D6" s="2"/>
      <c r="E6">
        <v>172</v>
      </c>
      <c r="F6">
        <v>185</v>
      </c>
      <c r="G6">
        <v>202</v>
      </c>
    </row>
    <row r="7" spans="1:9">
      <c r="A7" t="s">
        <v>26</v>
      </c>
      <c r="B7" t="s">
        <v>27</v>
      </c>
      <c r="C7" t="s">
        <v>28</v>
      </c>
      <c r="D7" s="4"/>
      <c r="E7">
        <v>214</v>
      </c>
      <c r="F7">
        <v>220</v>
      </c>
      <c r="G7">
        <v>228</v>
      </c>
    </row>
    <row r="8" spans="1:9">
      <c r="A8" t="s">
        <v>29</v>
      </c>
      <c r="B8" t="s">
        <v>30</v>
      </c>
      <c r="C8" t="s">
        <v>31</v>
      </c>
      <c r="D8" s="1"/>
      <c r="E8">
        <v>0</v>
      </c>
      <c r="F8">
        <v>0</v>
      </c>
      <c r="G8">
        <v>0</v>
      </c>
    </row>
  </sheetData>
  <phoneticPr fontId="14" type="noConversion"/>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1030"/>
  <sheetViews>
    <sheetView showGridLines="0" zoomScale="85" zoomScaleNormal="85" workbookViewId="0">
      <pane xSplit="8" ySplit="2" topLeftCell="J809" activePane="bottomRight" state="frozen"/>
      <selection pane="bottomRight" activeCell="J919" sqref="J919"/>
      <selection pane="bottomLeft" activeCell="F77" sqref="F77"/>
      <selection pane="topRight" activeCell="F77" sqref="F77"/>
    </sheetView>
  </sheetViews>
  <sheetFormatPr defaultColWidth="9.140625" defaultRowHeight="15"/>
  <cols>
    <col min="1" max="1" width="2.5703125" style="6" customWidth="1"/>
    <col min="2" max="6" width="9.140625" style="6"/>
    <col min="7" max="7" width="9.5703125" style="6" customWidth="1"/>
    <col min="8" max="8" width="9.28515625" style="6" customWidth="1"/>
    <col min="9" max="9" width="14" style="10" customWidth="1"/>
    <col min="10" max="10" width="55.85546875" style="9" customWidth="1"/>
    <col min="11" max="11" width="75.7109375" style="9" customWidth="1"/>
    <col min="12" max="12" width="55.85546875" style="6" customWidth="1"/>
    <col min="13" max="13" width="12.28515625" style="27" bestFit="1" customWidth="1"/>
    <col min="14" max="16384" width="9.140625" style="6"/>
  </cols>
  <sheetData>
    <row r="1" spans="2:13" ht="8.25" customHeight="1" thickBot="1"/>
    <row r="2" spans="2:13" s="41" customFormat="1">
      <c r="B2" s="42" t="s">
        <v>32</v>
      </c>
      <c r="C2" s="43" t="s">
        <v>33</v>
      </c>
      <c r="D2" s="43" t="s">
        <v>34</v>
      </c>
      <c r="E2" s="43" t="s">
        <v>35</v>
      </c>
      <c r="F2" s="43" t="s">
        <v>36</v>
      </c>
      <c r="G2" s="43" t="s">
        <v>37</v>
      </c>
      <c r="H2" s="43" t="s">
        <v>38</v>
      </c>
      <c r="I2" s="31" t="s">
        <v>39</v>
      </c>
      <c r="J2" s="44" t="s">
        <v>40</v>
      </c>
      <c r="K2" s="44" t="s">
        <v>41</v>
      </c>
      <c r="L2" s="43" t="s">
        <v>42</v>
      </c>
      <c r="M2" s="45" t="s">
        <v>6</v>
      </c>
    </row>
    <row r="3" spans="2:13" ht="60">
      <c r="B3" s="32" t="str">
        <f t="shared" ref="B3:B66" si="0">MID($I3,1,1)</f>
        <v>1</v>
      </c>
      <c r="C3" s="33" t="str">
        <f t="shared" ref="C3:C66" si="1">MID($I3,2,1)</f>
        <v>0</v>
      </c>
      <c r="D3" s="33" t="str">
        <f t="shared" ref="D3:D66" si="2">MID($I3,3,1)</f>
        <v>0</v>
      </c>
      <c r="E3" s="33" t="str">
        <f t="shared" ref="E3:E66" si="3">MID($I3,4,1)</f>
        <v>0</v>
      </c>
      <c r="F3" s="33" t="str">
        <f t="shared" ref="F3:F66" si="4">MID($I3,5,2)</f>
        <v>00</v>
      </c>
      <c r="G3" s="33" t="str">
        <f t="shared" ref="G3:G66" si="5">MID($I3,7,1)</f>
        <v>0</v>
      </c>
      <c r="H3" s="33" t="str">
        <f t="shared" ref="H3:H66" si="6">MID($I3,8,1)</f>
        <v>0</v>
      </c>
      <c r="I3" s="28">
        <v>10000000</v>
      </c>
      <c r="J3" s="29" t="s">
        <v>43</v>
      </c>
      <c r="K3" s="29" t="s">
        <v>44</v>
      </c>
      <c r="L3" s="29"/>
      <c r="M3" s="34"/>
    </row>
    <row r="4" spans="2:13" ht="26.25" customHeight="1">
      <c r="B4" s="32" t="str">
        <f t="shared" si="0"/>
        <v>1</v>
      </c>
      <c r="C4" s="33" t="str">
        <f t="shared" si="1"/>
        <v>1</v>
      </c>
      <c r="D4" s="33" t="str">
        <f t="shared" si="2"/>
        <v>0</v>
      </c>
      <c r="E4" s="33" t="str">
        <f t="shared" si="3"/>
        <v>0</v>
      </c>
      <c r="F4" s="33" t="str">
        <f t="shared" si="4"/>
        <v>00</v>
      </c>
      <c r="G4" s="33" t="str">
        <f t="shared" si="5"/>
        <v>0</v>
      </c>
      <c r="H4" s="33" t="str">
        <f t="shared" si="6"/>
        <v>0</v>
      </c>
      <c r="I4" s="28">
        <v>11000000</v>
      </c>
      <c r="J4" s="29" t="s">
        <v>45</v>
      </c>
      <c r="K4" s="29" t="s">
        <v>46</v>
      </c>
      <c r="L4" s="29"/>
      <c r="M4" s="34"/>
    </row>
    <row r="5" spans="2:13" ht="75">
      <c r="B5" s="32" t="str">
        <f t="shared" si="0"/>
        <v>1</v>
      </c>
      <c r="C5" s="33" t="str">
        <f t="shared" si="1"/>
        <v>1</v>
      </c>
      <c r="D5" s="33" t="str">
        <f t="shared" si="2"/>
        <v>1</v>
      </c>
      <c r="E5" s="33" t="str">
        <f t="shared" si="3"/>
        <v>0</v>
      </c>
      <c r="F5" s="33" t="str">
        <f t="shared" si="4"/>
        <v>00</v>
      </c>
      <c r="G5" s="33" t="str">
        <f t="shared" si="5"/>
        <v>0</v>
      </c>
      <c r="H5" s="33" t="str">
        <f t="shared" si="6"/>
        <v>0</v>
      </c>
      <c r="I5" s="28">
        <v>11100000</v>
      </c>
      <c r="J5" s="29" t="s">
        <v>47</v>
      </c>
      <c r="K5" s="29" t="s">
        <v>48</v>
      </c>
      <c r="L5" s="29"/>
      <c r="M5" s="34"/>
    </row>
    <row r="6" spans="2:13" ht="30">
      <c r="B6" s="32" t="str">
        <f t="shared" si="0"/>
        <v>1</v>
      </c>
      <c r="C6" s="33" t="str">
        <f t="shared" si="1"/>
        <v>1</v>
      </c>
      <c r="D6" s="33" t="str">
        <f t="shared" si="2"/>
        <v>1</v>
      </c>
      <c r="E6" s="33" t="str">
        <f t="shared" si="3"/>
        <v>1</v>
      </c>
      <c r="F6" s="33" t="str">
        <f t="shared" si="4"/>
        <v>00</v>
      </c>
      <c r="G6" s="33" t="str">
        <f t="shared" si="5"/>
        <v>0</v>
      </c>
      <c r="H6" s="33" t="str">
        <f t="shared" si="6"/>
        <v>0</v>
      </c>
      <c r="I6" s="28">
        <v>11110000</v>
      </c>
      <c r="J6" s="29" t="s">
        <v>49</v>
      </c>
      <c r="K6" s="29" t="s">
        <v>50</v>
      </c>
      <c r="L6" s="29"/>
      <c r="M6" s="34"/>
    </row>
    <row r="7" spans="2:13" ht="75">
      <c r="B7" s="32" t="str">
        <f t="shared" si="0"/>
        <v>1</v>
      </c>
      <c r="C7" s="33" t="str">
        <f t="shared" si="1"/>
        <v>1</v>
      </c>
      <c r="D7" s="33" t="str">
        <f t="shared" si="2"/>
        <v>1</v>
      </c>
      <c r="E7" s="33" t="str">
        <f t="shared" si="3"/>
        <v>1</v>
      </c>
      <c r="F7" s="33" t="str">
        <f t="shared" si="4"/>
        <v>01</v>
      </c>
      <c r="G7" s="33" t="str">
        <f t="shared" si="5"/>
        <v>0</v>
      </c>
      <c r="H7" s="33" t="str">
        <f t="shared" si="6"/>
        <v>0</v>
      </c>
      <c r="I7" s="28">
        <v>11110100</v>
      </c>
      <c r="J7" s="29" t="s">
        <v>51</v>
      </c>
      <c r="K7" s="29" t="s">
        <v>52</v>
      </c>
      <c r="L7" s="29"/>
      <c r="M7" s="34"/>
    </row>
    <row r="8" spans="2:13" ht="144" customHeight="1">
      <c r="B8" s="32" t="str">
        <f t="shared" si="0"/>
        <v>1</v>
      </c>
      <c r="C8" s="33" t="str">
        <f t="shared" si="1"/>
        <v>1</v>
      </c>
      <c r="D8" s="33" t="str">
        <f t="shared" si="2"/>
        <v>1</v>
      </c>
      <c r="E8" s="33" t="str">
        <f t="shared" si="3"/>
        <v>1</v>
      </c>
      <c r="F8" s="33" t="str">
        <f t="shared" si="4"/>
        <v>01</v>
      </c>
      <c r="G8" s="33" t="str">
        <f t="shared" si="5"/>
        <v>1</v>
      </c>
      <c r="H8" s="33" t="str">
        <f t="shared" si="6"/>
        <v>0</v>
      </c>
      <c r="I8" s="28">
        <v>11110110</v>
      </c>
      <c r="J8" s="29" t="s">
        <v>51</v>
      </c>
      <c r="K8" s="29" t="s">
        <v>53</v>
      </c>
      <c r="L8" s="29"/>
      <c r="M8" s="34"/>
    </row>
    <row r="9" spans="2:13" ht="163.5" customHeight="1">
      <c r="B9" s="32" t="str">
        <f t="shared" si="0"/>
        <v>1</v>
      </c>
      <c r="C9" s="33" t="str">
        <f t="shared" si="1"/>
        <v>1</v>
      </c>
      <c r="D9" s="33" t="str">
        <f t="shared" si="2"/>
        <v>1</v>
      </c>
      <c r="E9" s="33" t="str">
        <f t="shared" si="3"/>
        <v>1</v>
      </c>
      <c r="F9" s="33" t="str">
        <f t="shared" si="4"/>
        <v>01</v>
      </c>
      <c r="G9" s="33" t="str">
        <f t="shared" si="5"/>
        <v>1</v>
      </c>
      <c r="H9" s="33" t="str">
        <f t="shared" si="6"/>
        <v>1</v>
      </c>
      <c r="I9" s="28">
        <v>11110111</v>
      </c>
      <c r="J9" s="29" t="s">
        <v>54</v>
      </c>
      <c r="K9" s="29" t="s">
        <v>55</v>
      </c>
      <c r="L9" s="29"/>
      <c r="M9" s="34"/>
    </row>
    <row r="10" spans="2:13">
      <c r="B10" s="32" t="str">
        <f t="shared" si="0"/>
        <v>1</v>
      </c>
      <c r="C10" s="33" t="str">
        <f t="shared" si="1"/>
        <v>1</v>
      </c>
      <c r="D10" s="33" t="str">
        <f t="shared" si="2"/>
        <v>1</v>
      </c>
      <c r="E10" s="33" t="str">
        <f t="shared" si="3"/>
        <v>1</v>
      </c>
      <c r="F10" s="33" t="str">
        <f t="shared" si="4"/>
        <v>01</v>
      </c>
      <c r="G10" s="33" t="str">
        <f t="shared" si="5"/>
        <v>1</v>
      </c>
      <c r="H10" s="33" t="str">
        <f t="shared" si="6"/>
        <v>2</v>
      </c>
      <c r="I10" s="28">
        <v>11110112</v>
      </c>
      <c r="J10" s="29" t="s">
        <v>56</v>
      </c>
      <c r="K10" s="29" t="s">
        <v>57</v>
      </c>
      <c r="L10" s="29"/>
      <c r="M10" s="34"/>
    </row>
    <row r="11" spans="2:13">
      <c r="B11" s="32" t="str">
        <f t="shared" si="0"/>
        <v>1</v>
      </c>
      <c r="C11" s="33" t="str">
        <f t="shared" si="1"/>
        <v>1</v>
      </c>
      <c r="D11" s="33" t="str">
        <f t="shared" si="2"/>
        <v>1</v>
      </c>
      <c r="E11" s="33" t="str">
        <f t="shared" si="3"/>
        <v>1</v>
      </c>
      <c r="F11" s="33" t="str">
        <f t="shared" si="4"/>
        <v>01</v>
      </c>
      <c r="G11" s="33" t="str">
        <f t="shared" si="5"/>
        <v>1</v>
      </c>
      <c r="H11" s="33" t="str">
        <f t="shared" si="6"/>
        <v>3</v>
      </c>
      <c r="I11" s="28">
        <v>11110113</v>
      </c>
      <c r="J11" s="29" t="s">
        <v>58</v>
      </c>
      <c r="K11" s="29" t="s">
        <v>57</v>
      </c>
      <c r="L11" s="29"/>
      <c r="M11" s="34"/>
    </row>
    <row r="12" spans="2:13" ht="30">
      <c r="B12" s="32" t="str">
        <f t="shared" si="0"/>
        <v>1</v>
      </c>
      <c r="C12" s="33" t="str">
        <f t="shared" si="1"/>
        <v>1</v>
      </c>
      <c r="D12" s="33" t="str">
        <f t="shared" si="2"/>
        <v>1</v>
      </c>
      <c r="E12" s="33" t="str">
        <f t="shared" si="3"/>
        <v>1</v>
      </c>
      <c r="F12" s="33" t="str">
        <f t="shared" si="4"/>
        <v>01</v>
      </c>
      <c r="G12" s="33" t="str">
        <f t="shared" si="5"/>
        <v>1</v>
      </c>
      <c r="H12" s="33" t="str">
        <f t="shared" si="6"/>
        <v>4</v>
      </c>
      <c r="I12" s="28">
        <v>11110114</v>
      </c>
      <c r="J12" s="29" t="s">
        <v>59</v>
      </c>
      <c r="K12" s="29" t="s">
        <v>57</v>
      </c>
      <c r="L12" s="29"/>
      <c r="M12" s="34"/>
    </row>
    <row r="13" spans="2:13">
      <c r="B13" s="32" t="str">
        <f t="shared" si="0"/>
        <v>1</v>
      </c>
      <c r="C13" s="33" t="str">
        <f t="shared" si="1"/>
        <v>1</v>
      </c>
      <c r="D13" s="33" t="str">
        <f t="shared" si="2"/>
        <v>1</v>
      </c>
      <c r="E13" s="33" t="str">
        <f t="shared" si="3"/>
        <v>1</v>
      </c>
      <c r="F13" s="33" t="str">
        <f t="shared" si="4"/>
        <v>01</v>
      </c>
      <c r="G13" s="33" t="str">
        <f t="shared" si="5"/>
        <v>1</v>
      </c>
      <c r="H13" s="33" t="str">
        <f t="shared" si="6"/>
        <v>5</v>
      </c>
      <c r="I13" s="28">
        <v>11110115</v>
      </c>
      <c r="J13" s="29" t="s">
        <v>60</v>
      </c>
      <c r="K13" s="29" t="s">
        <v>57</v>
      </c>
      <c r="L13" s="29"/>
      <c r="M13" s="34"/>
    </row>
    <row r="14" spans="2:13">
      <c r="B14" s="32" t="str">
        <f t="shared" si="0"/>
        <v>1</v>
      </c>
      <c r="C14" s="33" t="str">
        <f t="shared" si="1"/>
        <v>1</v>
      </c>
      <c r="D14" s="33" t="str">
        <f t="shared" si="2"/>
        <v>1</v>
      </c>
      <c r="E14" s="33" t="str">
        <f t="shared" si="3"/>
        <v>1</v>
      </c>
      <c r="F14" s="33" t="str">
        <f t="shared" si="4"/>
        <v>01</v>
      </c>
      <c r="G14" s="33" t="str">
        <f t="shared" si="5"/>
        <v>1</v>
      </c>
      <c r="H14" s="33" t="str">
        <f t="shared" si="6"/>
        <v>6</v>
      </c>
      <c r="I14" s="28">
        <v>11110116</v>
      </c>
      <c r="J14" s="29" t="s">
        <v>61</v>
      </c>
      <c r="K14" s="29" t="s">
        <v>57</v>
      </c>
      <c r="L14" s="29"/>
      <c r="M14" s="34"/>
    </row>
    <row r="15" spans="2:13" ht="30">
      <c r="B15" s="32" t="str">
        <f t="shared" si="0"/>
        <v>1</v>
      </c>
      <c r="C15" s="33" t="str">
        <f t="shared" si="1"/>
        <v>1</v>
      </c>
      <c r="D15" s="33" t="str">
        <f t="shared" si="2"/>
        <v>1</v>
      </c>
      <c r="E15" s="33" t="str">
        <f t="shared" si="3"/>
        <v>1</v>
      </c>
      <c r="F15" s="33" t="str">
        <f t="shared" si="4"/>
        <v>01</v>
      </c>
      <c r="G15" s="33" t="str">
        <f t="shared" si="5"/>
        <v>1</v>
      </c>
      <c r="H15" s="33" t="str">
        <f t="shared" si="6"/>
        <v>7</v>
      </c>
      <c r="I15" s="28">
        <v>11110117</v>
      </c>
      <c r="J15" s="29" t="s">
        <v>62</v>
      </c>
      <c r="K15" s="29" t="s">
        <v>57</v>
      </c>
      <c r="L15" s="29"/>
      <c r="M15" s="34"/>
    </row>
    <row r="16" spans="2:13">
      <c r="B16" s="32" t="str">
        <f t="shared" si="0"/>
        <v>1</v>
      </c>
      <c r="C16" s="33" t="str">
        <f t="shared" si="1"/>
        <v>1</v>
      </c>
      <c r="D16" s="33" t="str">
        <f t="shared" si="2"/>
        <v>1</v>
      </c>
      <c r="E16" s="33" t="str">
        <f t="shared" si="3"/>
        <v>1</v>
      </c>
      <c r="F16" s="33" t="str">
        <f t="shared" si="4"/>
        <v>01</v>
      </c>
      <c r="G16" s="33" t="str">
        <f t="shared" si="5"/>
        <v>1</v>
      </c>
      <c r="H16" s="33" t="str">
        <f t="shared" si="6"/>
        <v>8</v>
      </c>
      <c r="I16" s="28">
        <v>11110118</v>
      </c>
      <c r="J16" s="29" t="s">
        <v>63</v>
      </c>
      <c r="K16" s="29" t="s">
        <v>57</v>
      </c>
      <c r="L16" s="29"/>
      <c r="M16" s="34"/>
    </row>
    <row r="17" spans="2:13" ht="45">
      <c r="B17" s="32" t="str">
        <f t="shared" si="0"/>
        <v>1</v>
      </c>
      <c r="C17" s="33" t="str">
        <f t="shared" si="1"/>
        <v>1</v>
      </c>
      <c r="D17" s="33" t="str">
        <f t="shared" si="2"/>
        <v>1</v>
      </c>
      <c r="E17" s="33" t="str">
        <f t="shared" si="3"/>
        <v>1</v>
      </c>
      <c r="F17" s="33" t="str">
        <f t="shared" si="4"/>
        <v>02</v>
      </c>
      <c r="G17" s="33" t="str">
        <f t="shared" si="5"/>
        <v>0</v>
      </c>
      <c r="H17" s="33" t="str">
        <f t="shared" si="6"/>
        <v>0</v>
      </c>
      <c r="I17" s="28">
        <v>11110200</v>
      </c>
      <c r="J17" s="29" t="s">
        <v>64</v>
      </c>
      <c r="K17" s="29" t="s">
        <v>65</v>
      </c>
      <c r="L17" s="29"/>
      <c r="M17" s="34"/>
    </row>
    <row r="18" spans="2:13" ht="30">
      <c r="B18" s="32" t="str">
        <f t="shared" si="0"/>
        <v>1</v>
      </c>
      <c r="C18" s="33" t="str">
        <f t="shared" si="1"/>
        <v>1</v>
      </c>
      <c r="D18" s="33" t="str">
        <f t="shared" si="2"/>
        <v>1</v>
      </c>
      <c r="E18" s="33" t="str">
        <f t="shared" si="3"/>
        <v>1</v>
      </c>
      <c r="F18" s="33" t="str">
        <f t="shared" si="4"/>
        <v>02</v>
      </c>
      <c r="G18" s="33" t="str">
        <f t="shared" si="5"/>
        <v>1</v>
      </c>
      <c r="H18" s="33" t="str">
        <f t="shared" si="6"/>
        <v>0</v>
      </c>
      <c r="I18" s="28">
        <v>11110210</v>
      </c>
      <c r="J18" s="29" t="s">
        <v>64</v>
      </c>
      <c r="K18" s="29" t="s">
        <v>66</v>
      </c>
      <c r="L18" s="29"/>
      <c r="M18" s="34"/>
    </row>
    <row r="19" spans="2:13" ht="30">
      <c r="B19" s="32" t="str">
        <f t="shared" si="0"/>
        <v>1</v>
      </c>
      <c r="C19" s="33" t="str">
        <f t="shared" si="1"/>
        <v>1</v>
      </c>
      <c r="D19" s="33" t="str">
        <f t="shared" si="2"/>
        <v>1</v>
      </c>
      <c r="E19" s="33" t="str">
        <f t="shared" si="3"/>
        <v>2</v>
      </c>
      <c r="F19" s="33" t="str">
        <f t="shared" si="4"/>
        <v>00</v>
      </c>
      <c r="G19" s="33" t="str">
        <f t="shared" si="5"/>
        <v>0</v>
      </c>
      <c r="H19" s="33" t="str">
        <f t="shared" si="6"/>
        <v>0</v>
      </c>
      <c r="I19" s="28">
        <v>11120000</v>
      </c>
      <c r="J19" s="29" t="s">
        <v>67</v>
      </c>
      <c r="K19" s="29" t="s">
        <v>68</v>
      </c>
      <c r="L19" s="29"/>
      <c r="M19" s="34"/>
    </row>
    <row r="20" spans="2:13" ht="75">
      <c r="B20" s="32" t="str">
        <f t="shared" si="0"/>
        <v>1</v>
      </c>
      <c r="C20" s="33" t="str">
        <f t="shared" si="1"/>
        <v>1</v>
      </c>
      <c r="D20" s="33" t="str">
        <f t="shared" si="2"/>
        <v>1</v>
      </c>
      <c r="E20" s="33" t="str">
        <f t="shared" si="3"/>
        <v>2</v>
      </c>
      <c r="F20" s="33" t="str">
        <f t="shared" si="4"/>
        <v>01</v>
      </c>
      <c r="G20" s="33" t="str">
        <f t="shared" si="5"/>
        <v>0</v>
      </c>
      <c r="H20" s="33" t="str">
        <f t="shared" si="6"/>
        <v>0</v>
      </c>
      <c r="I20" s="28">
        <v>11120100</v>
      </c>
      <c r="J20" s="29" t="s">
        <v>69</v>
      </c>
      <c r="K20" s="29" t="s">
        <v>70</v>
      </c>
      <c r="L20" s="29"/>
      <c r="M20" s="34"/>
    </row>
    <row r="21" spans="2:13" ht="45">
      <c r="B21" s="32" t="str">
        <f t="shared" si="0"/>
        <v>1</v>
      </c>
      <c r="C21" s="33" t="str">
        <f t="shared" si="1"/>
        <v>1</v>
      </c>
      <c r="D21" s="33" t="str">
        <f t="shared" si="2"/>
        <v>1</v>
      </c>
      <c r="E21" s="33" t="str">
        <f t="shared" si="3"/>
        <v>2</v>
      </c>
      <c r="F21" s="33" t="str">
        <f t="shared" si="4"/>
        <v>01</v>
      </c>
      <c r="G21" s="33" t="str">
        <f t="shared" si="5"/>
        <v>1</v>
      </c>
      <c r="H21" s="33" t="str">
        <f t="shared" si="6"/>
        <v>0</v>
      </c>
      <c r="I21" s="28">
        <v>11120110</v>
      </c>
      <c r="J21" s="29" t="s">
        <v>71</v>
      </c>
      <c r="K21" s="29" t="s">
        <v>72</v>
      </c>
      <c r="L21" s="29"/>
      <c r="M21" s="34"/>
    </row>
    <row r="22" spans="2:13" ht="45">
      <c r="B22" s="32" t="str">
        <f t="shared" si="0"/>
        <v>1</v>
      </c>
      <c r="C22" s="33" t="str">
        <f t="shared" si="1"/>
        <v>1</v>
      </c>
      <c r="D22" s="33" t="str">
        <f t="shared" si="2"/>
        <v>1</v>
      </c>
      <c r="E22" s="33" t="str">
        <f t="shared" si="3"/>
        <v>2</v>
      </c>
      <c r="F22" s="33" t="str">
        <f t="shared" si="4"/>
        <v>01</v>
      </c>
      <c r="G22" s="33" t="str">
        <f t="shared" si="5"/>
        <v>2</v>
      </c>
      <c r="H22" s="33" t="str">
        <f t="shared" si="6"/>
        <v>0</v>
      </c>
      <c r="I22" s="28">
        <v>11120120</v>
      </c>
      <c r="J22" s="29" t="s">
        <v>73</v>
      </c>
      <c r="K22" s="29" t="s">
        <v>74</v>
      </c>
      <c r="L22" s="29"/>
      <c r="M22" s="34"/>
    </row>
    <row r="23" spans="2:13" ht="30">
      <c r="B23" s="32" t="str">
        <f t="shared" si="0"/>
        <v>1</v>
      </c>
      <c r="C23" s="33" t="str">
        <f t="shared" si="1"/>
        <v>1</v>
      </c>
      <c r="D23" s="33" t="str">
        <f t="shared" si="2"/>
        <v>1</v>
      </c>
      <c r="E23" s="33" t="str">
        <f t="shared" si="3"/>
        <v>3</v>
      </c>
      <c r="F23" s="33" t="str">
        <f t="shared" si="4"/>
        <v>00</v>
      </c>
      <c r="G23" s="33" t="str">
        <f t="shared" si="5"/>
        <v>0</v>
      </c>
      <c r="H23" s="33" t="str">
        <f t="shared" si="6"/>
        <v>0</v>
      </c>
      <c r="I23" s="28">
        <v>11130000</v>
      </c>
      <c r="J23" s="29" t="s">
        <v>75</v>
      </c>
      <c r="K23" s="29" t="s">
        <v>76</v>
      </c>
      <c r="L23" s="29"/>
      <c r="M23" s="34"/>
    </row>
    <row r="24" spans="2:13" ht="45">
      <c r="B24" s="32" t="str">
        <f t="shared" si="0"/>
        <v>1</v>
      </c>
      <c r="C24" s="33" t="str">
        <f t="shared" si="1"/>
        <v>1</v>
      </c>
      <c r="D24" s="33" t="str">
        <f t="shared" si="2"/>
        <v>1</v>
      </c>
      <c r="E24" s="33" t="str">
        <f t="shared" si="3"/>
        <v>3</v>
      </c>
      <c r="F24" s="33" t="str">
        <f t="shared" si="4"/>
        <v>01</v>
      </c>
      <c r="G24" s="33" t="str">
        <f t="shared" si="5"/>
        <v>0</v>
      </c>
      <c r="H24" s="33" t="str">
        <f t="shared" si="6"/>
        <v>0</v>
      </c>
      <c r="I24" s="28">
        <v>11130100</v>
      </c>
      <c r="J24" s="29" t="s">
        <v>77</v>
      </c>
      <c r="K24" s="29" t="s">
        <v>78</v>
      </c>
      <c r="L24" s="29"/>
      <c r="M24" s="34"/>
    </row>
    <row r="25" spans="2:13" ht="45">
      <c r="B25" s="32" t="str">
        <f t="shared" si="0"/>
        <v>1</v>
      </c>
      <c r="C25" s="33" t="str">
        <f t="shared" si="1"/>
        <v>1</v>
      </c>
      <c r="D25" s="33" t="str">
        <f t="shared" si="2"/>
        <v>1</v>
      </c>
      <c r="E25" s="33" t="str">
        <f t="shared" si="3"/>
        <v>3</v>
      </c>
      <c r="F25" s="33" t="str">
        <f t="shared" si="4"/>
        <v>01</v>
      </c>
      <c r="G25" s="33" t="str">
        <f t="shared" si="5"/>
        <v>1</v>
      </c>
      <c r="H25" s="33" t="str">
        <f t="shared" si="6"/>
        <v>0</v>
      </c>
      <c r="I25" s="28">
        <v>11130110</v>
      </c>
      <c r="J25" s="29" t="s">
        <v>77</v>
      </c>
      <c r="K25" s="29" t="s">
        <v>78</v>
      </c>
      <c r="L25" s="29"/>
      <c r="M25" s="34"/>
    </row>
    <row r="26" spans="2:13" ht="135">
      <c r="B26" s="32" t="str">
        <f t="shared" si="0"/>
        <v>1</v>
      </c>
      <c r="C26" s="33" t="str">
        <f t="shared" si="1"/>
        <v>1</v>
      </c>
      <c r="D26" s="33" t="str">
        <f t="shared" si="2"/>
        <v>1</v>
      </c>
      <c r="E26" s="33" t="str">
        <f t="shared" si="3"/>
        <v>3</v>
      </c>
      <c r="F26" s="33" t="str">
        <f t="shared" si="4"/>
        <v>02</v>
      </c>
      <c r="G26" s="33" t="str">
        <f t="shared" si="5"/>
        <v>0</v>
      </c>
      <c r="H26" s="33" t="str">
        <f t="shared" si="6"/>
        <v>0</v>
      </c>
      <c r="I26" s="28">
        <v>11130200</v>
      </c>
      <c r="J26" s="29" t="s">
        <v>79</v>
      </c>
      <c r="K26" s="29" t="s">
        <v>80</v>
      </c>
      <c r="L26" s="29"/>
      <c r="M26" s="34"/>
    </row>
    <row r="27" spans="2:13" ht="135">
      <c r="B27" s="32" t="str">
        <f t="shared" si="0"/>
        <v>1</v>
      </c>
      <c r="C27" s="33" t="str">
        <f t="shared" si="1"/>
        <v>1</v>
      </c>
      <c r="D27" s="33" t="str">
        <f t="shared" si="2"/>
        <v>1</v>
      </c>
      <c r="E27" s="33" t="str">
        <f t="shared" si="3"/>
        <v>3</v>
      </c>
      <c r="F27" s="33" t="str">
        <f t="shared" si="4"/>
        <v>02</v>
      </c>
      <c r="G27" s="33" t="str">
        <f t="shared" si="5"/>
        <v>1</v>
      </c>
      <c r="H27" s="33" t="str">
        <f t="shared" si="6"/>
        <v>0</v>
      </c>
      <c r="I27" s="28">
        <v>11130210</v>
      </c>
      <c r="J27" s="29" t="s">
        <v>79</v>
      </c>
      <c r="K27" s="29" t="s">
        <v>80</v>
      </c>
      <c r="L27" s="29"/>
      <c r="M27" s="34"/>
    </row>
    <row r="28" spans="2:13" ht="30">
      <c r="B28" s="32" t="str">
        <f t="shared" si="0"/>
        <v>1</v>
      </c>
      <c r="C28" s="33" t="str">
        <f t="shared" si="1"/>
        <v>1</v>
      </c>
      <c r="D28" s="33" t="str">
        <f t="shared" si="2"/>
        <v>1</v>
      </c>
      <c r="E28" s="33" t="str">
        <f t="shared" si="3"/>
        <v>3</v>
      </c>
      <c r="F28" s="33" t="str">
        <f t="shared" si="4"/>
        <v>03</v>
      </c>
      <c r="G28" s="33" t="str">
        <f t="shared" si="5"/>
        <v>0</v>
      </c>
      <c r="H28" s="33" t="str">
        <f t="shared" si="6"/>
        <v>0</v>
      </c>
      <c r="I28" s="28">
        <v>11130300</v>
      </c>
      <c r="J28" s="29" t="s">
        <v>81</v>
      </c>
      <c r="K28" s="29" t="s">
        <v>82</v>
      </c>
      <c r="L28" s="29"/>
      <c r="M28" s="34"/>
    </row>
    <row r="29" spans="2:13" ht="30">
      <c r="B29" s="32" t="str">
        <f t="shared" si="0"/>
        <v>1</v>
      </c>
      <c r="C29" s="33" t="str">
        <f t="shared" si="1"/>
        <v>1</v>
      </c>
      <c r="D29" s="33" t="str">
        <f t="shared" si="2"/>
        <v>1</v>
      </c>
      <c r="E29" s="33" t="str">
        <f t="shared" si="3"/>
        <v>3</v>
      </c>
      <c r="F29" s="33" t="str">
        <f t="shared" si="4"/>
        <v>03</v>
      </c>
      <c r="G29" s="33" t="str">
        <f t="shared" si="5"/>
        <v>1</v>
      </c>
      <c r="H29" s="33" t="str">
        <f t="shared" si="6"/>
        <v>0</v>
      </c>
      <c r="I29" s="28">
        <v>11130310</v>
      </c>
      <c r="J29" s="29" t="s">
        <v>83</v>
      </c>
      <c r="K29" s="29" t="s">
        <v>84</v>
      </c>
      <c r="L29" s="29"/>
      <c r="M29" s="34"/>
    </row>
    <row r="30" spans="2:13" ht="75">
      <c r="B30" s="32" t="str">
        <f t="shared" si="0"/>
        <v>1</v>
      </c>
      <c r="C30" s="33" t="str">
        <f t="shared" si="1"/>
        <v>1</v>
      </c>
      <c r="D30" s="33" t="str">
        <f t="shared" si="2"/>
        <v>1</v>
      </c>
      <c r="E30" s="33" t="str">
        <f t="shared" si="3"/>
        <v>3</v>
      </c>
      <c r="F30" s="33" t="str">
        <f t="shared" si="4"/>
        <v>03</v>
      </c>
      <c r="G30" s="33" t="str">
        <f t="shared" si="5"/>
        <v>2</v>
      </c>
      <c r="H30" s="33" t="str">
        <f t="shared" si="6"/>
        <v>0</v>
      </c>
      <c r="I30" s="28">
        <v>11130320</v>
      </c>
      <c r="J30" s="29" t="s">
        <v>85</v>
      </c>
      <c r="K30" s="29" t="s">
        <v>86</v>
      </c>
      <c r="L30" s="29"/>
      <c r="M30" s="34"/>
    </row>
    <row r="31" spans="2:13" ht="135">
      <c r="B31" s="32" t="str">
        <f t="shared" si="0"/>
        <v>1</v>
      </c>
      <c r="C31" s="33" t="str">
        <f t="shared" si="1"/>
        <v>1</v>
      </c>
      <c r="D31" s="33" t="str">
        <f t="shared" si="2"/>
        <v>1</v>
      </c>
      <c r="E31" s="33" t="str">
        <f t="shared" si="3"/>
        <v>3</v>
      </c>
      <c r="F31" s="33" t="str">
        <f t="shared" si="4"/>
        <v>03</v>
      </c>
      <c r="G31" s="33" t="str">
        <f t="shared" si="5"/>
        <v>3</v>
      </c>
      <c r="H31" s="33" t="str">
        <f t="shared" si="6"/>
        <v>0</v>
      </c>
      <c r="I31" s="28">
        <v>11130330</v>
      </c>
      <c r="J31" s="29" t="s">
        <v>87</v>
      </c>
      <c r="K31" s="29" t="s">
        <v>88</v>
      </c>
      <c r="L31" s="29"/>
      <c r="M31" s="34"/>
    </row>
    <row r="32" spans="2:13" ht="225">
      <c r="B32" s="32" t="str">
        <f t="shared" si="0"/>
        <v>1</v>
      </c>
      <c r="C32" s="33" t="str">
        <f t="shared" si="1"/>
        <v>1</v>
      </c>
      <c r="D32" s="33" t="str">
        <f t="shared" si="2"/>
        <v>1</v>
      </c>
      <c r="E32" s="33" t="str">
        <f t="shared" si="3"/>
        <v>3</v>
      </c>
      <c r="F32" s="33" t="str">
        <f t="shared" si="4"/>
        <v>03</v>
      </c>
      <c r="G32" s="33" t="str">
        <f t="shared" si="5"/>
        <v>4</v>
      </c>
      <c r="H32" s="33" t="str">
        <f t="shared" si="6"/>
        <v>0</v>
      </c>
      <c r="I32" s="28">
        <v>11130340</v>
      </c>
      <c r="J32" s="29" t="s">
        <v>89</v>
      </c>
      <c r="K32" s="29" t="s">
        <v>90</v>
      </c>
      <c r="L32" s="29"/>
      <c r="M32" s="34"/>
    </row>
    <row r="33" spans="2:13" ht="120">
      <c r="B33" s="32" t="str">
        <f t="shared" si="0"/>
        <v>1</v>
      </c>
      <c r="C33" s="33" t="str">
        <f t="shared" si="1"/>
        <v>1</v>
      </c>
      <c r="D33" s="33" t="str">
        <f t="shared" si="2"/>
        <v>1</v>
      </c>
      <c r="E33" s="33" t="str">
        <f t="shared" si="3"/>
        <v>4</v>
      </c>
      <c r="F33" s="33" t="str">
        <f t="shared" si="4"/>
        <v>00</v>
      </c>
      <c r="G33" s="33" t="str">
        <f t="shared" si="5"/>
        <v>0</v>
      </c>
      <c r="H33" s="33" t="str">
        <f t="shared" si="6"/>
        <v>0</v>
      </c>
      <c r="I33" s="28">
        <v>11140000</v>
      </c>
      <c r="J33" s="29" t="s">
        <v>91</v>
      </c>
      <c r="K33" s="29" t="s">
        <v>92</v>
      </c>
      <c r="L33" s="29"/>
      <c r="M33" s="34"/>
    </row>
    <row r="34" spans="2:13" ht="150">
      <c r="B34" s="32" t="str">
        <f t="shared" si="0"/>
        <v>1</v>
      </c>
      <c r="C34" s="33" t="str">
        <f t="shared" si="1"/>
        <v>1</v>
      </c>
      <c r="D34" s="33" t="str">
        <f t="shared" si="2"/>
        <v>1</v>
      </c>
      <c r="E34" s="33" t="str">
        <f t="shared" si="3"/>
        <v>4</v>
      </c>
      <c r="F34" s="33" t="str">
        <f t="shared" si="4"/>
        <v>01</v>
      </c>
      <c r="G34" s="33" t="str">
        <f t="shared" si="5"/>
        <v>0</v>
      </c>
      <c r="H34" s="33" t="str">
        <f t="shared" si="6"/>
        <v>0</v>
      </c>
      <c r="I34" s="28">
        <v>11140100</v>
      </c>
      <c r="J34" s="29" t="s">
        <v>93</v>
      </c>
      <c r="K34" s="29" t="s">
        <v>94</v>
      </c>
      <c r="L34" s="29"/>
      <c r="M34" s="34"/>
    </row>
    <row r="35" spans="2:13" ht="45">
      <c r="B35" s="32" t="str">
        <f t="shared" si="0"/>
        <v>1</v>
      </c>
      <c r="C35" s="33" t="str">
        <f t="shared" si="1"/>
        <v>1</v>
      </c>
      <c r="D35" s="33" t="str">
        <f t="shared" si="2"/>
        <v>1</v>
      </c>
      <c r="E35" s="33" t="str">
        <f t="shared" si="3"/>
        <v>4</v>
      </c>
      <c r="F35" s="33" t="str">
        <f t="shared" si="4"/>
        <v>01</v>
      </c>
      <c r="G35" s="33" t="str">
        <f t="shared" si="5"/>
        <v>1</v>
      </c>
      <c r="H35" s="33" t="str">
        <f t="shared" si="6"/>
        <v>0</v>
      </c>
      <c r="I35" s="28">
        <v>11140110</v>
      </c>
      <c r="J35" s="29" t="s">
        <v>95</v>
      </c>
      <c r="K35" s="29" t="s">
        <v>96</v>
      </c>
      <c r="L35" s="29"/>
      <c r="M35" s="34"/>
    </row>
    <row r="36" spans="2:13" ht="78.75" customHeight="1">
      <c r="B36" s="32" t="str">
        <f t="shared" si="0"/>
        <v>1</v>
      </c>
      <c r="C36" s="33" t="str">
        <f t="shared" si="1"/>
        <v>1</v>
      </c>
      <c r="D36" s="33" t="str">
        <f t="shared" si="2"/>
        <v>1</v>
      </c>
      <c r="E36" s="33" t="str">
        <f t="shared" si="3"/>
        <v>4</v>
      </c>
      <c r="F36" s="33" t="str">
        <f t="shared" si="4"/>
        <v>01</v>
      </c>
      <c r="G36" s="33" t="str">
        <f t="shared" si="5"/>
        <v>2</v>
      </c>
      <c r="H36" s="33" t="str">
        <f t="shared" si="6"/>
        <v>0</v>
      </c>
      <c r="I36" s="28">
        <v>11140120</v>
      </c>
      <c r="J36" s="29" t="s">
        <v>97</v>
      </c>
      <c r="K36" s="29" t="s">
        <v>98</v>
      </c>
      <c r="L36" s="29"/>
      <c r="M36" s="34"/>
    </row>
    <row r="37" spans="2:13" ht="90">
      <c r="B37" s="32" t="str">
        <f t="shared" si="0"/>
        <v>1</v>
      </c>
      <c r="C37" s="33" t="str">
        <f t="shared" si="1"/>
        <v>1</v>
      </c>
      <c r="D37" s="33" t="str">
        <f t="shared" si="2"/>
        <v>1</v>
      </c>
      <c r="E37" s="33" t="str">
        <f t="shared" si="3"/>
        <v>4</v>
      </c>
      <c r="F37" s="33" t="str">
        <f t="shared" si="4"/>
        <v>01</v>
      </c>
      <c r="G37" s="33" t="str">
        <f t="shared" si="5"/>
        <v>3</v>
      </c>
      <c r="H37" s="33" t="str">
        <f t="shared" si="6"/>
        <v>0</v>
      </c>
      <c r="I37" s="28">
        <v>11140130</v>
      </c>
      <c r="J37" s="29" t="s">
        <v>99</v>
      </c>
      <c r="K37" s="29" t="s">
        <v>100</v>
      </c>
      <c r="L37" s="29"/>
      <c r="M37" s="34"/>
    </row>
    <row r="38" spans="2:13" ht="45">
      <c r="B38" s="32" t="str">
        <f t="shared" si="0"/>
        <v>1</v>
      </c>
      <c r="C38" s="33" t="str">
        <f t="shared" si="1"/>
        <v>1</v>
      </c>
      <c r="D38" s="33" t="str">
        <f t="shared" si="2"/>
        <v>1</v>
      </c>
      <c r="E38" s="33" t="str">
        <f t="shared" si="3"/>
        <v>4</v>
      </c>
      <c r="F38" s="33" t="str">
        <f t="shared" si="4"/>
        <v>01</v>
      </c>
      <c r="G38" s="33" t="str">
        <f t="shared" si="5"/>
        <v>4</v>
      </c>
      <c r="H38" s="33" t="str">
        <f t="shared" si="6"/>
        <v>0</v>
      </c>
      <c r="I38" s="28">
        <v>11140140</v>
      </c>
      <c r="J38" s="29" t="s">
        <v>101</v>
      </c>
      <c r="K38" s="29" t="s">
        <v>102</v>
      </c>
      <c r="L38" s="29"/>
      <c r="M38" s="34"/>
    </row>
    <row r="39" spans="2:13" ht="45">
      <c r="B39" s="32" t="str">
        <f t="shared" si="0"/>
        <v>1</v>
      </c>
      <c r="C39" s="33" t="str">
        <f t="shared" si="1"/>
        <v>1</v>
      </c>
      <c r="D39" s="33" t="str">
        <f t="shared" si="2"/>
        <v>1</v>
      </c>
      <c r="E39" s="33" t="str">
        <f t="shared" si="3"/>
        <v>4</v>
      </c>
      <c r="F39" s="33" t="str">
        <f t="shared" si="4"/>
        <v>01</v>
      </c>
      <c r="G39" s="33" t="str">
        <f t="shared" si="5"/>
        <v>5</v>
      </c>
      <c r="H39" s="33" t="str">
        <f t="shared" si="6"/>
        <v>0</v>
      </c>
      <c r="I39" s="28">
        <v>11140150</v>
      </c>
      <c r="J39" s="29" t="s">
        <v>103</v>
      </c>
      <c r="K39" s="29" t="s">
        <v>104</v>
      </c>
      <c r="L39" s="29"/>
      <c r="M39" s="34"/>
    </row>
    <row r="40" spans="2:13" ht="30">
      <c r="B40" s="32" t="str">
        <f t="shared" si="0"/>
        <v>1</v>
      </c>
      <c r="C40" s="33" t="str">
        <f t="shared" si="1"/>
        <v>1</v>
      </c>
      <c r="D40" s="33" t="str">
        <f t="shared" si="2"/>
        <v>1</v>
      </c>
      <c r="E40" s="33" t="str">
        <f t="shared" si="3"/>
        <v>5</v>
      </c>
      <c r="F40" s="33" t="str">
        <f t="shared" si="4"/>
        <v>00</v>
      </c>
      <c r="G40" s="33" t="str">
        <f t="shared" si="5"/>
        <v>0</v>
      </c>
      <c r="H40" s="33" t="str">
        <f t="shared" si="6"/>
        <v>0</v>
      </c>
      <c r="I40" s="28">
        <v>11150000</v>
      </c>
      <c r="J40" s="29" t="s">
        <v>105</v>
      </c>
      <c r="K40" s="29" t="s">
        <v>106</v>
      </c>
      <c r="L40" s="29"/>
      <c r="M40" s="34"/>
    </row>
    <row r="41" spans="2:13">
      <c r="B41" s="32" t="str">
        <f t="shared" si="0"/>
        <v>1</v>
      </c>
      <c r="C41" s="33" t="str">
        <f t="shared" si="1"/>
        <v>1</v>
      </c>
      <c r="D41" s="33" t="str">
        <f t="shared" si="2"/>
        <v>1</v>
      </c>
      <c r="E41" s="33" t="str">
        <f t="shared" si="3"/>
        <v>5</v>
      </c>
      <c r="F41" s="33" t="str">
        <f t="shared" si="4"/>
        <v>01</v>
      </c>
      <c r="G41" s="33" t="str">
        <f t="shared" si="5"/>
        <v>0</v>
      </c>
      <c r="H41" s="33" t="str">
        <f t="shared" si="6"/>
        <v>0</v>
      </c>
      <c r="I41" s="28">
        <v>11150100</v>
      </c>
      <c r="J41" s="29" t="s">
        <v>107</v>
      </c>
      <c r="K41" s="29" t="s">
        <v>106</v>
      </c>
      <c r="L41" s="29"/>
      <c r="M41" s="34"/>
    </row>
    <row r="42" spans="2:13" ht="75">
      <c r="B42" s="32" t="str">
        <f t="shared" si="0"/>
        <v>1</v>
      </c>
      <c r="C42" s="33" t="str">
        <f t="shared" si="1"/>
        <v>1</v>
      </c>
      <c r="D42" s="33" t="str">
        <f t="shared" si="2"/>
        <v>1</v>
      </c>
      <c r="E42" s="33" t="str">
        <f t="shared" si="3"/>
        <v>5</v>
      </c>
      <c r="F42" s="33" t="str">
        <f t="shared" si="4"/>
        <v>01</v>
      </c>
      <c r="G42" s="33" t="str">
        <f t="shared" si="5"/>
        <v>1</v>
      </c>
      <c r="H42" s="33" t="str">
        <f t="shared" si="6"/>
        <v>0</v>
      </c>
      <c r="I42" s="28">
        <v>11150110</v>
      </c>
      <c r="J42" s="29" t="s">
        <v>108</v>
      </c>
      <c r="K42" s="29" t="s">
        <v>109</v>
      </c>
      <c r="L42" s="29"/>
      <c r="M42" s="34"/>
    </row>
    <row r="43" spans="2:13" ht="231.75" customHeight="1">
      <c r="B43" s="32" t="str">
        <f t="shared" si="0"/>
        <v>1</v>
      </c>
      <c r="C43" s="33" t="str">
        <f t="shared" si="1"/>
        <v>1</v>
      </c>
      <c r="D43" s="33" t="str">
        <f t="shared" si="2"/>
        <v>1</v>
      </c>
      <c r="E43" s="33" t="str">
        <f t="shared" si="3"/>
        <v>5</v>
      </c>
      <c r="F43" s="33" t="str">
        <f t="shared" si="4"/>
        <v>01</v>
      </c>
      <c r="G43" s="33" t="str">
        <f t="shared" si="5"/>
        <v>2</v>
      </c>
      <c r="H43" s="33" t="str">
        <f t="shared" si="6"/>
        <v>0</v>
      </c>
      <c r="I43" s="28">
        <v>11150120</v>
      </c>
      <c r="J43" s="29" t="s">
        <v>110</v>
      </c>
      <c r="K43" s="29" t="s">
        <v>111</v>
      </c>
      <c r="L43" s="29"/>
      <c r="M43" s="34"/>
    </row>
    <row r="44" spans="2:13" ht="60">
      <c r="B44" s="32" t="str">
        <f t="shared" si="0"/>
        <v>1</v>
      </c>
      <c r="C44" s="33" t="str">
        <f t="shared" si="1"/>
        <v>1</v>
      </c>
      <c r="D44" s="33" t="str">
        <f t="shared" si="2"/>
        <v>1</v>
      </c>
      <c r="E44" s="33" t="str">
        <f t="shared" si="3"/>
        <v>6</v>
      </c>
      <c r="F44" s="33" t="str">
        <f t="shared" si="4"/>
        <v>00</v>
      </c>
      <c r="G44" s="33" t="str">
        <f t="shared" si="5"/>
        <v>0</v>
      </c>
      <c r="H44" s="33" t="str">
        <f t="shared" si="6"/>
        <v>0</v>
      </c>
      <c r="I44" s="28">
        <v>11160000</v>
      </c>
      <c r="J44" s="29" t="s">
        <v>112</v>
      </c>
      <c r="K44" s="29" t="s">
        <v>113</v>
      </c>
      <c r="L44" s="29"/>
      <c r="M44" s="34"/>
    </row>
    <row r="45" spans="2:13" ht="60">
      <c r="B45" s="32" t="str">
        <f t="shared" si="0"/>
        <v>1</v>
      </c>
      <c r="C45" s="33" t="str">
        <f t="shared" si="1"/>
        <v>1</v>
      </c>
      <c r="D45" s="33" t="str">
        <f t="shared" si="2"/>
        <v>1</v>
      </c>
      <c r="E45" s="33" t="str">
        <f t="shared" si="3"/>
        <v>6</v>
      </c>
      <c r="F45" s="33" t="str">
        <f t="shared" si="4"/>
        <v>01</v>
      </c>
      <c r="G45" s="33" t="str">
        <f t="shared" si="5"/>
        <v>0</v>
      </c>
      <c r="H45" s="33" t="str">
        <f t="shared" si="6"/>
        <v>0</v>
      </c>
      <c r="I45" s="28">
        <v>11160100</v>
      </c>
      <c r="J45" s="29" t="s">
        <v>112</v>
      </c>
      <c r="K45" s="29" t="s">
        <v>113</v>
      </c>
      <c r="L45" s="29"/>
      <c r="M45" s="34"/>
    </row>
    <row r="46" spans="2:13" ht="60">
      <c r="B46" s="32" t="str">
        <f t="shared" si="0"/>
        <v>1</v>
      </c>
      <c r="C46" s="33" t="str">
        <f t="shared" si="1"/>
        <v>1</v>
      </c>
      <c r="D46" s="33" t="str">
        <f t="shared" si="2"/>
        <v>1</v>
      </c>
      <c r="E46" s="33" t="str">
        <f t="shared" si="3"/>
        <v>7</v>
      </c>
      <c r="F46" s="33" t="str">
        <f t="shared" si="4"/>
        <v>00</v>
      </c>
      <c r="G46" s="33" t="str">
        <f t="shared" si="5"/>
        <v>0</v>
      </c>
      <c r="H46" s="33" t="str">
        <f t="shared" si="6"/>
        <v>0</v>
      </c>
      <c r="I46" s="28">
        <v>11170000</v>
      </c>
      <c r="J46" s="29" t="s">
        <v>114</v>
      </c>
      <c r="K46" s="29" t="s">
        <v>115</v>
      </c>
      <c r="L46" s="29"/>
      <c r="M46" s="34"/>
    </row>
    <row r="47" spans="2:13" ht="60">
      <c r="B47" s="32" t="str">
        <f t="shared" si="0"/>
        <v>1</v>
      </c>
      <c r="C47" s="33" t="str">
        <f t="shared" si="1"/>
        <v>1</v>
      </c>
      <c r="D47" s="33" t="str">
        <f t="shared" si="2"/>
        <v>1</v>
      </c>
      <c r="E47" s="33" t="str">
        <f t="shared" si="3"/>
        <v>7</v>
      </c>
      <c r="F47" s="33" t="str">
        <f t="shared" si="4"/>
        <v>01</v>
      </c>
      <c r="G47" s="33" t="str">
        <f t="shared" si="5"/>
        <v>0</v>
      </c>
      <c r="H47" s="33" t="str">
        <f t="shared" si="6"/>
        <v>0</v>
      </c>
      <c r="I47" s="28">
        <v>11170100</v>
      </c>
      <c r="J47" s="29" t="s">
        <v>114</v>
      </c>
      <c r="K47" s="29" t="s">
        <v>115</v>
      </c>
      <c r="L47" s="29"/>
      <c r="M47" s="34"/>
    </row>
    <row r="48" spans="2:13" ht="30">
      <c r="B48" s="32" t="str">
        <f t="shared" si="0"/>
        <v>1</v>
      </c>
      <c r="C48" s="33" t="str">
        <f t="shared" si="1"/>
        <v>1</v>
      </c>
      <c r="D48" s="33" t="str">
        <f t="shared" si="2"/>
        <v>1</v>
      </c>
      <c r="E48" s="33" t="str">
        <f t="shared" si="3"/>
        <v>8</v>
      </c>
      <c r="F48" s="33" t="str">
        <f t="shared" si="4"/>
        <v>00</v>
      </c>
      <c r="G48" s="33" t="str">
        <f t="shared" si="5"/>
        <v>0</v>
      </c>
      <c r="H48" s="33" t="str">
        <f t="shared" si="6"/>
        <v>0</v>
      </c>
      <c r="I48" s="28">
        <v>11180000</v>
      </c>
      <c r="J48" s="29" t="s">
        <v>116</v>
      </c>
      <c r="K48" s="29" t="s">
        <v>117</v>
      </c>
      <c r="L48" s="29"/>
      <c r="M48" s="34"/>
    </row>
    <row r="49" spans="2:13" ht="30">
      <c r="B49" s="32" t="str">
        <f t="shared" si="0"/>
        <v>1</v>
      </c>
      <c r="C49" s="33" t="str">
        <f t="shared" si="1"/>
        <v>1</v>
      </c>
      <c r="D49" s="33" t="str">
        <f t="shared" si="2"/>
        <v>1</v>
      </c>
      <c r="E49" s="33" t="str">
        <f t="shared" si="3"/>
        <v>8</v>
      </c>
      <c r="F49" s="33" t="str">
        <f t="shared" si="4"/>
        <v>01</v>
      </c>
      <c r="G49" s="33" t="str">
        <f t="shared" si="5"/>
        <v>0</v>
      </c>
      <c r="H49" s="33" t="str">
        <f t="shared" si="6"/>
        <v>0</v>
      </c>
      <c r="I49" s="28">
        <v>11180100</v>
      </c>
      <c r="J49" s="29" t="s">
        <v>118</v>
      </c>
      <c r="K49" s="29" t="s">
        <v>119</v>
      </c>
      <c r="L49" s="29"/>
      <c r="M49" s="34"/>
    </row>
    <row r="50" spans="2:13" ht="60">
      <c r="B50" s="32" t="str">
        <f t="shared" si="0"/>
        <v>1</v>
      </c>
      <c r="C50" s="33" t="str">
        <f t="shared" si="1"/>
        <v>1</v>
      </c>
      <c r="D50" s="33" t="str">
        <f t="shared" si="2"/>
        <v>1</v>
      </c>
      <c r="E50" s="33" t="str">
        <f t="shared" si="3"/>
        <v>8</v>
      </c>
      <c r="F50" s="33" t="str">
        <f t="shared" si="4"/>
        <v>01</v>
      </c>
      <c r="G50" s="33" t="str">
        <f t="shared" si="5"/>
        <v>1</v>
      </c>
      <c r="H50" s="33" t="str">
        <f t="shared" si="6"/>
        <v>0</v>
      </c>
      <c r="I50" s="28">
        <v>11180110</v>
      </c>
      <c r="J50" s="29" t="s">
        <v>120</v>
      </c>
      <c r="K50" s="29" t="s">
        <v>121</v>
      </c>
      <c r="L50" s="29"/>
      <c r="M50" s="34"/>
    </row>
    <row r="51" spans="2:13" ht="45">
      <c r="B51" s="32" t="str">
        <f t="shared" si="0"/>
        <v>1</v>
      </c>
      <c r="C51" s="33" t="str">
        <f t="shared" si="1"/>
        <v>1</v>
      </c>
      <c r="D51" s="33" t="str">
        <f t="shared" si="2"/>
        <v>1</v>
      </c>
      <c r="E51" s="33" t="str">
        <f t="shared" si="3"/>
        <v>8</v>
      </c>
      <c r="F51" s="33" t="str">
        <f t="shared" si="4"/>
        <v>01</v>
      </c>
      <c r="G51" s="33" t="str">
        <f t="shared" si="5"/>
        <v>2</v>
      </c>
      <c r="H51" s="33" t="str">
        <f t="shared" si="6"/>
        <v>0</v>
      </c>
      <c r="I51" s="28">
        <v>11180120</v>
      </c>
      <c r="J51" s="29" t="s">
        <v>122</v>
      </c>
      <c r="K51" s="29" t="s">
        <v>123</v>
      </c>
      <c r="L51" s="29"/>
      <c r="M51" s="34"/>
    </row>
    <row r="52" spans="2:13" ht="75">
      <c r="B52" s="32" t="str">
        <f t="shared" si="0"/>
        <v>1</v>
      </c>
      <c r="C52" s="33" t="str">
        <f t="shared" si="1"/>
        <v>1</v>
      </c>
      <c r="D52" s="33" t="str">
        <f t="shared" si="2"/>
        <v>1</v>
      </c>
      <c r="E52" s="33" t="str">
        <f t="shared" si="3"/>
        <v>8</v>
      </c>
      <c r="F52" s="33" t="str">
        <f t="shared" si="4"/>
        <v>01</v>
      </c>
      <c r="G52" s="33" t="str">
        <f t="shared" si="5"/>
        <v>3</v>
      </c>
      <c r="H52" s="33" t="str">
        <f t="shared" si="6"/>
        <v>0</v>
      </c>
      <c r="I52" s="28">
        <v>11180130</v>
      </c>
      <c r="J52" s="29" t="s">
        <v>124</v>
      </c>
      <c r="K52" s="29" t="s">
        <v>125</v>
      </c>
      <c r="L52" s="29"/>
      <c r="M52" s="34"/>
    </row>
    <row r="53" spans="2:13" ht="75">
      <c r="B53" s="32" t="str">
        <f t="shared" si="0"/>
        <v>1</v>
      </c>
      <c r="C53" s="33" t="str">
        <f t="shared" si="1"/>
        <v>1</v>
      </c>
      <c r="D53" s="33" t="str">
        <f t="shared" si="2"/>
        <v>1</v>
      </c>
      <c r="E53" s="33" t="str">
        <f t="shared" si="3"/>
        <v>8</v>
      </c>
      <c r="F53" s="33" t="str">
        <f t="shared" si="4"/>
        <v>01</v>
      </c>
      <c r="G53" s="33" t="str">
        <f t="shared" si="5"/>
        <v>4</v>
      </c>
      <c r="H53" s="33" t="str">
        <f t="shared" si="6"/>
        <v>0</v>
      </c>
      <c r="I53" s="28">
        <v>11180140</v>
      </c>
      <c r="J53" s="29" t="s">
        <v>126</v>
      </c>
      <c r="K53" s="29" t="s">
        <v>127</v>
      </c>
      <c r="L53" s="29"/>
      <c r="M53" s="34"/>
    </row>
    <row r="54" spans="2:13" ht="45">
      <c r="B54" s="32" t="str">
        <f t="shared" si="0"/>
        <v>1</v>
      </c>
      <c r="C54" s="33" t="str">
        <f t="shared" si="1"/>
        <v>1</v>
      </c>
      <c r="D54" s="33" t="str">
        <f t="shared" si="2"/>
        <v>1</v>
      </c>
      <c r="E54" s="33" t="str">
        <f t="shared" si="3"/>
        <v>8</v>
      </c>
      <c r="F54" s="33" t="str">
        <f t="shared" si="4"/>
        <v>02</v>
      </c>
      <c r="G54" s="33" t="str">
        <f t="shared" si="5"/>
        <v>0</v>
      </c>
      <c r="H54" s="33" t="str">
        <f t="shared" si="6"/>
        <v>0</v>
      </c>
      <c r="I54" s="28">
        <v>11180200</v>
      </c>
      <c r="J54" s="29" t="s">
        <v>128</v>
      </c>
      <c r="K54" s="29" t="s">
        <v>129</v>
      </c>
      <c r="L54" s="29"/>
      <c r="M54" s="34"/>
    </row>
    <row r="55" spans="2:13" ht="90">
      <c r="B55" s="32" t="str">
        <f t="shared" si="0"/>
        <v>1</v>
      </c>
      <c r="C55" s="33" t="str">
        <f t="shared" si="1"/>
        <v>1</v>
      </c>
      <c r="D55" s="33" t="str">
        <f t="shared" si="2"/>
        <v>1</v>
      </c>
      <c r="E55" s="33" t="str">
        <f t="shared" si="3"/>
        <v>8</v>
      </c>
      <c r="F55" s="33" t="str">
        <f t="shared" si="4"/>
        <v>02</v>
      </c>
      <c r="G55" s="33" t="str">
        <f t="shared" si="5"/>
        <v>1</v>
      </c>
      <c r="H55" s="33" t="str">
        <f t="shared" si="6"/>
        <v>0</v>
      </c>
      <c r="I55" s="28">
        <v>11180210</v>
      </c>
      <c r="J55" s="29" t="s">
        <v>130</v>
      </c>
      <c r="K55" s="29" t="s">
        <v>131</v>
      </c>
      <c r="L55" s="29"/>
      <c r="M55" s="34"/>
    </row>
    <row r="56" spans="2:13" ht="90">
      <c r="B56" s="32" t="str">
        <f t="shared" si="0"/>
        <v>1</v>
      </c>
      <c r="C56" s="33" t="str">
        <f t="shared" si="1"/>
        <v>1</v>
      </c>
      <c r="D56" s="33" t="str">
        <f t="shared" si="2"/>
        <v>1</v>
      </c>
      <c r="E56" s="33" t="str">
        <f t="shared" si="3"/>
        <v>8</v>
      </c>
      <c r="F56" s="33" t="str">
        <f t="shared" si="4"/>
        <v>02</v>
      </c>
      <c r="G56" s="33" t="str">
        <f t="shared" si="5"/>
        <v>2</v>
      </c>
      <c r="H56" s="33" t="str">
        <f t="shared" si="6"/>
        <v>0</v>
      </c>
      <c r="I56" s="28">
        <v>11180220</v>
      </c>
      <c r="J56" s="29" t="s">
        <v>132</v>
      </c>
      <c r="K56" s="29" t="s">
        <v>133</v>
      </c>
      <c r="L56" s="29"/>
      <c r="M56" s="34"/>
    </row>
    <row r="57" spans="2:13" ht="60">
      <c r="B57" s="32" t="str">
        <f t="shared" si="0"/>
        <v>1</v>
      </c>
      <c r="C57" s="33" t="str">
        <f t="shared" si="1"/>
        <v>1</v>
      </c>
      <c r="D57" s="33" t="str">
        <f t="shared" si="2"/>
        <v>1</v>
      </c>
      <c r="E57" s="33" t="str">
        <f t="shared" si="3"/>
        <v>8</v>
      </c>
      <c r="F57" s="33" t="str">
        <f t="shared" si="4"/>
        <v>02</v>
      </c>
      <c r="G57" s="33" t="str">
        <f t="shared" si="5"/>
        <v>3</v>
      </c>
      <c r="H57" s="33" t="str">
        <f t="shared" si="6"/>
        <v>0</v>
      </c>
      <c r="I57" s="28">
        <v>11180230</v>
      </c>
      <c r="J57" s="29" t="s">
        <v>134</v>
      </c>
      <c r="K57" s="29" t="s">
        <v>135</v>
      </c>
      <c r="L57" s="29"/>
      <c r="M57" s="34"/>
    </row>
    <row r="58" spans="2:13" ht="60">
      <c r="B58" s="32" t="str">
        <f t="shared" si="0"/>
        <v>1</v>
      </c>
      <c r="C58" s="33" t="str">
        <f t="shared" si="1"/>
        <v>1</v>
      </c>
      <c r="D58" s="33" t="str">
        <f t="shared" si="2"/>
        <v>1</v>
      </c>
      <c r="E58" s="33" t="str">
        <f t="shared" si="3"/>
        <v>8</v>
      </c>
      <c r="F58" s="33" t="str">
        <f t="shared" si="4"/>
        <v>02</v>
      </c>
      <c r="G58" s="33" t="str">
        <f t="shared" si="5"/>
        <v>4</v>
      </c>
      <c r="H58" s="33" t="str">
        <f t="shared" si="6"/>
        <v>0</v>
      </c>
      <c r="I58" s="28">
        <v>11180240</v>
      </c>
      <c r="J58" s="29" t="s">
        <v>136</v>
      </c>
      <c r="K58" s="29" t="s">
        <v>137</v>
      </c>
      <c r="L58" s="29"/>
      <c r="M58" s="34"/>
    </row>
    <row r="59" spans="2:13" ht="75">
      <c r="B59" s="32" t="str">
        <f t="shared" si="0"/>
        <v>1</v>
      </c>
      <c r="C59" s="33" t="str">
        <f t="shared" si="1"/>
        <v>1</v>
      </c>
      <c r="D59" s="33" t="str">
        <f t="shared" si="2"/>
        <v>1</v>
      </c>
      <c r="E59" s="33" t="str">
        <f t="shared" si="3"/>
        <v>8</v>
      </c>
      <c r="F59" s="33" t="str">
        <f t="shared" si="4"/>
        <v>02</v>
      </c>
      <c r="G59" s="33" t="str">
        <f t="shared" si="5"/>
        <v>5</v>
      </c>
      <c r="H59" s="33" t="str">
        <f t="shared" si="6"/>
        <v>0</v>
      </c>
      <c r="I59" s="28">
        <v>11180250</v>
      </c>
      <c r="J59" s="29" t="s">
        <v>138</v>
      </c>
      <c r="K59" s="29" t="s">
        <v>139</v>
      </c>
      <c r="L59" s="29"/>
      <c r="M59" s="34"/>
    </row>
    <row r="60" spans="2:13">
      <c r="B60" s="32" t="str">
        <f t="shared" si="0"/>
        <v>1</v>
      </c>
      <c r="C60" s="33" t="str">
        <f t="shared" si="1"/>
        <v>1</v>
      </c>
      <c r="D60" s="33" t="str">
        <f t="shared" si="2"/>
        <v>1</v>
      </c>
      <c r="E60" s="33" t="str">
        <f t="shared" si="3"/>
        <v>9</v>
      </c>
      <c r="F60" s="33" t="str">
        <f t="shared" si="4"/>
        <v>00</v>
      </c>
      <c r="G60" s="33" t="str">
        <f t="shared" si="5"/>
        <v>0</v>
      </c>
      <c r="H60" s="33" t="str">
        <f t="shared" si="6"/>
        <v>0</v>
      </c>
      <c r="I60" s="28">
        <v>11190000</v>
      </c>
      <c r="J60" s="29" t="s">
        <v>140</v>
      </c>
      <c r="K60" s="29" t="s">
        <v>141</v>
      </c>
      <c r="L60" s="29"/>
      <c r="M60" s="34"/>
    </row>
    <row r="61" spans="2:13">
      <c r="B61" s="32" t="str">
        <f t="shared" si="0"/>
        <v>1</v>
      </c>
      <c r="C61" s="33" t="str">
        <f t="shared" si="1"/>
        <v>1</v>
      </c>
      <c r="D61" s="33" t="str">
        <f t="shared" si="2"/>
        <v>1</v>
      </c>
      <c r="E61" s="33" t="str">
        <f t="shared" si="3"/>
        <v>9</v>
      </c>
      <c r="F61" s="33" t="str">
        <f t="shared" si="4"/>
        <v>01</v>
      </c>
      <c r="G61" s="33" t="str">
        <f t="shared" si="5"/>
        <v>0</v>
      </c>
      <c r="H61" s="33" t="str">
        <f t="shared" si="6"/>
        <v>0</v>
      </c>
      <c r="I61" s="28">
        <v>11190100</v>
      </c>
      <c r="J61" s="29" t="s">
        <v>140</v>
      </c>
      <c r="K61" s="29" t="s">
        <v>141</v>
      </c>
      <c r="L61" s="29"/>
      <c r="M61" s="34"/>
    </row>
    <row r="62" spans="2:13">
      <c r="B62" s="32" t="str">
        <f t="shared" si="0"/>
        <v>1</v>
      </c>
      <c r="C62" s="33" t="str">
        <f t="shared" si="1"/>
        <v>1</v>
      </c>
      <c r="D62" s="33" t="str">
        <f t="shared" si="2"/>
        <v>1</v>
      </c>
      <c r="E62" s="33" t="str">
        <f t="shared" si="3"/>
        <v>9</v>
      </c>
      <c r="F62" s="33" t="str">
        <f t="shared" si="4"/>
        <v>01</v>
      </c>
      <c r="G62" s="33" t="str">
        <f t="shared" si="5"/>
        <v>1</v>
      </c>
      <c r="H62" s="33" t="str">
        <f t="shared" si="6"/>
        <v>0</v>
      </c>
      <c r="I62" s="28">
        <v>11190110</v>
      </c>
      <c r="J62" s="29" t="s">
        <v>140</v>
      </c>
      <c r="K62" s="29" t="s">
        <v>141</v>
      </c>
      <c r="L62" s="29"/>
      <c r="M62" s="34"/>
    </row>
    <row r="63" spans="2:13" ht="45">
      <c r="B63" s="32" t="str">
        <f t="shared" si="0"/>
        <v>1</v>
      </c>
      <c r="C63" s="33" t="str">
        <f t="shared" si="1"/>
        <v>1</v>
      </c>
      <c r="D63" s="33" t="str">
        <f t="shared" si="2"/>
        <v>2</v>
      </c>
      <c r="E63" s="33" t="str">
        <f t="shared" si="3"/>
        <v>0</v>
      </c>
      <c r="F63" s="33" t="str">
        <f t="shared" si="4"/>
        <v>00</v>
      </c>
      <c r="G63" s="33" t="str">
        <f t="shared" si="5"/>
        <v>0</v>
      </c>
      <c r="H63" s="33" t="str">
        <f t="shared" si="6"/>
        <v>0</v>
      </c>
      <c r="I63" s="28">
        <v>11200000</v>
      </c>
      <c r="J63" s="29" t="s">
        <v>142</v>
      </c>
      <c r="K63" s="29" t="s">
        <v>143</v>
      </c>
      <c r="L63" s="29"/>
      <c r="M63" s="34"/>
    </row>
    <row r="64" spans="2:13" ht="30">
      <c r="B64" s="32" t="str">
        <f t="shared" si="0"/>
        <v>1</v>
      </c>
      <c r="C64" s="33" t="str">
        <f t="shared" si="1"/>
        <v>1</v>
      </c>
      <c r="D64" s="33" t="str">
        <f t="shared" si="2"/>
        <v>2</v>
      </c>
      <c r="E64" s="33" t="str">
        <f t="shared" si="3"/>
        <v>1</v>
      </c>
      <c r="F64" s="33" t="str">
        <f t="shared" si="4"/>
        <v>00</v>
      </c>
      <c r="G64" s="33" t="str">
        <f t="shared" si="5"/>
        <v>0</v>
      </c>
      <c r="H64" s="33" t="str">
        <f t="shared" si="6"/>
        <v>0</v>
      </c>
      <c r="I64" s="28">
        <v>11210000</v>
      </c>
      <c r="J64" s="29" t="s">
        <v>144</v>
      </c>
      <c r="K64" s="29" t="s">
        <v>145</v>
      </c>
      <c r="L64" s="29"/>
      <c r="M64" s="34"/>
    </row>
    <row r="65" spans="2:13" ht="30">
      <c r="B65" s="32" t="str">
        <f t="shared" si="0"/>
        <v>1</v>
      </c>
      <c r="C65" s="33" t="str">
        <f t="shared" si="1"/>
        <v>1</v>
      </c>
      <c r="D65" s="33" t="str">
        <f t="shared" si="2"/>
        <v>2</v>
      </c>
      <c r="E65" s="33" t="str">
        <f t="shared" si="3"/>
        <v>1</v>
      </c>
      <c r="F65" s="33" t="str">
        <f t="shared" si="4"/>
        <v>01</v>
      </c>
      <c r="G65" s="33" t="str">
        <f t="shared" si="5"/>
        <v>0</v>
      </c>
      <c r="H65" s="33" t="str">
        <f t="shared" si="6"/>
        <v>0</v>
      </c>
      <c r="I65" s="28">
        <v>11210100</v>
      </c>
      <c r="J65" s="29" t="s">
        <v>146</v>
      </c>
      <c r="K65" s="29" t="s">
        <v>145</v>
      </c>
      <c r="L65" s="29"/>
      <c r="M65" s="34"/>
    </row>
    <row r="66" spans="2:13" ht="30">
      <c r="B66" s="32" t="str">
        <f t="shared" si="0"/>
        <v>1</v>
      </c>
      <c r="C66" s="33" t="str">
        <f t="shared" si="1"/>
        <v>1</v>
      </c>
      <c r="D66" s="33" t="str">
        <f t="shared" si="2"/>
        <v>2</v>
      </c>
      <c r="E66" s="33" t="str">
        <f t="shared" si="3"/>
        <v>1</v>
      </c>
      <c r="F66" s="33" t="str">
        <f t="shared" si="4"/>
        <v>01</v>
      </c>
      <c r="G66" s="33" t="str">
        <f t="shared" si="5"/>
        <v>1</v>
      </c>
      <c r="H66" s="33" t="str">
        <f t="shared" si="6"/>
        <v>0</v>
      </c>
      <c r="I66" s="28">
        <v>11210110</v>
      </c>
      <c r="J66" s="29" t="s">
        <v>146</v>
      </c>
      <c r="K66" s="29" t="s">
        <v>147</v>
      </c>
      <c r="L66" s="29"/>
      <c r="M66" s="34"/>
    </row>
    <row r="67" spans="2:13">
      <c r="B67" s="32" t="str">
        <f t="shared" ref="B67:B130" si="7">MID($I67,1,1)</f>
        <v>1</v>
      </c>
      <c r="C67" s="33" t="str">
        <f t="shared" ref="C67:C130" si="8">MID($I67,2,1)</f>
        <v>1</v>
      </c>
      <c r="D67" s="33" t="str">
        <f t="shared" ref="D67:D130" si="9">MID($I67,3,1)</f>
        <v>2</v>
      </c>
      <c r="E67" s="33" t="str">
        <f t="shared" ref="E67:E130" si="10">MID($I67,4,1)</f>
        <v>1</v>
      </c>
      <c r="F67" s="33" t="str">
        <f t="shared" ref="F67:F130" si="11">MID($I67,5,2)</f>
        <v>02</v>
      </c>
      <c r="G67" s="33" t="str">
        <f t="shared" ref="G67:G130" si="12">MID($I67,7,1)</f>
        <v>0</v>
      </c>
      <c r="H67" s="33" t="str">
        <f t="shared" ref="H67:H130" si="13">MID($I67,8,1)</f>
        <v>0</v>
      </c>
      <c r="I67" s="28">
        <v>11210200</v>
      </c>
      <c r="J67" s="29" t="s">
        <v>148</v>
      </c>
      <c r="K67" s="29" t="s">
        <v>149</v>
      </c>
      <c r="L67" s="29"/>
      <c r="M67" s="34"/>
    </row>
    <row r="68" spans="2:13" ht="75">
      <c r="B68" s="32" t="str">
        <f t="shared" si="7"/>
        <v>1</v>
      </c>
      <c r="C68" s="33" t="str">
        <f t="shared" si="8"/>
        <v>1</v>
      </c>
      <c r="D68" s="33" t="str">
        <f t="shared" si="9"/>
        <v>2</v>
      </c>
      <c r="E68" s="33" t="str">
        <f t="shared" si="10"/>
        <v>1</v>
      </c>
      <c r="F68" s="33" t="str">
        <f t="shared" si="11"/>
        <v>02</v>
      </c>
      <c r="G68" s="33" t="str">
        <f t="shared" si="12"/>
        <v>1</v>
      </c>
      <c r="H68" s="33" t="str">
        <f t="shared" si="13"/>
        <v>0</v>
      </c>
      <c r="I68" s="28">
        <v>11210210</v>
      </c>
      <c r="J68" s="29" t="s">
        <v>150</v>
      </c>
      <c r="K68" s="29" t="s">
        <v>151</v>
      </c>
      <c r="L68" s="29" t="s">
        <v>152</v>
      </c>
      <c r="M68" s="34"/>
    </row>
    <row r="69" spans="2:13" ht="81" customHeight="1">
      <c r="B69" s="32" t="str">
        <f t="shared" si="7"/>
        <v>1</v>
      </c>
      <c r="C69" s="33" t="str">
        <f t="shared" si="8"/>
        <v>1</v>
      </c>
      <c r="D69" s="33" t="str">
        <f t="shared" si="9"/>
        <v>2</v>
      </c>
      <c r="E69" s="33" t="str">
        <f t="shared" si="10"/>
        <v>1</v>
      </c>
      <c r="F69" s="33" t="str">
        <f t="shared" si="11"/>
        <v>02</v>
      </c>
      <c r="G69" s="33" t="str">
        <f t="shared" si="12"/>
        <v>2</v>
      </c>
      <c r="H69" s="33" t="str">
        <f t="shared" si="13"/>
        <v>0</v>
      </c>
      <c r="I69" s="28">
        <v>11210220</v>
      </c>
      <c r="J69" s="29" t="s">
        <v>153</v>
      </c>
      <c r="K69" s="29" t="s">
        <v>154</v>
      </c>
      <c r="L69" s="29" t="s">
        <v>152</v>
      </c>
      <c r="M69" s="34"/>
    </row>
    <row r="70" spans="2:13" ht="75">
      <c r="B70" s="32" t="str">
        <f t="shared" si="7"/>
        <v>1</v>
      </c>
      <c r="C70" s="33" t="str">
        <f t="shared" si="8"/>
        <v>1</v>
      </c>
      <c r="D70" s="33" t="str">
        <f t="shared" si="9"/>
        <v>2</v>
      </c>
      <c r="E70" s="33" t="str">
        <f t="shared" si="10"/>
        <v>1</v>
      </c>
      <c r="F70" s="33" t="str">
        <f t="shared" si="11"/>
        <v>02</v>
      </c>
      <c r="G70" s="33" t="str">
        <f t="shared" si="12"/>
        <v>3</v>
      </c>
      <c r="H70" s="33" t="str">
        <f t="shared" si="13"/>
        <v>0</v>
      </c>
      <c r="I70" s="28">
        <v>11210230</v>
      </c>
      <c r="J70" s="29" t="s">
        <v>155</v>
      </c>
      <c r="K70" s="29" t="s">
        <v>156</v>
      </c>
      <c r="L70" s="29" t="s">
        <v>152</v>
      </c>
      <c r="M70" s="34"/>
    </row>
    <row r="71" spans="2:13" ht="75">
      <c r="B71" s="32" t="str">
        <f t="shared" si="7"/>
        <v>1</v>
      </c>
      <c r="C71" s="33" t="str">
        <f t="shared" si="8"/>
        <v>1</v>
      </c>
      <c r="D71" s="33" t="str">
        <f t="shared" si="9"/>
        <v>2</v>
      </c>
      <c r="E71" s="33" t="str">
        <f t="shared" si="10"/>
        <v>1</v>
      </c>
      <c r="F71" s="33" t="str">
        <f t="shared" si="11"/>
        <v>02</v>
      </c>
      <c r="G71" s="33" t="str">
        <f t="shared" si="12"/>
        <v>4</v>
      </c>
      <c r="H71" s="33" t="str">
        <f t="shared" si="13"/>
        <v>0</v>
      </c>
      <c r="I71" s="28">
        <v>11210240</v>
      </c>
      <c r="J71" s="29" t="s">
        <v>157</v>
      </c>
      <c r="K71" s="29" t="s">
        <v>158</v>
      </c>
      <c r="L71" s="29" t="s">
        <v>152</v>
      </c>
      <c r="M71" s="34"/>
    </row>
    <row r="72" spans="2:13" ht="30">
      <c r="B72" s="32" t="str">
        <f t="shared" si="7"/>
        <v>1</v>
      </c>
      <c r="C72" s="33" t="str">
        <f t="shared" si="8"/>
        <v>1</v>
      </c>
      <c r="D72" s="33" t="str">
        <f t="shared" si="9"/>
        <v>2</v>
      </c>
      <c r="E72" s="33" t="str">
        <f t="shared" si="10"/>
        <v>1</v>
      </c>
      <c r="F72" s="33" t="str">
        <f t="shared" si="11"/>
        <v>03</v>
      </c>
      <c r="G72" s="33" t="str">
        <f t="shared" si="12"/>
        <v>0</v>
      </c>
      <c r="H72" s="33" t="str">
        <f t="shared" si="13"/>
        <v>0</v>
      </c>
      <c r="I72" s="28">
        <v>11210300</v>
      </c>
      <c r="J72" s="29" t="s">
        <v>159</v>
      </c>
      <c r="K72" s="29" t="s">
        <v>160</v>
      </c>
      <c r="L72" s="29"/>
      <c r="M72" s="34"/>
    </row>
    <row r="73" spans="2:13" ht="30">
      <c r="B73" s="32" t="str">
        <f t="shared" si="7"/>
        <v>1</v>
      </c>
      <c r="C73" s="33" t="str">
        <f t="shared" si="8"/>
        <v>1</v>
      </c>
      <c r="D73" s="33" t="str">
        <f t="shared" si="9"/>
        <v>2</v>
      </c>
      <c r="E73" s="33" t="str">
        <f t="shared" si="10"/>
        <v>1</v>
      </c>
      <c r="F73" s="33" t="str">
        <f t="shared" si="11"/>
        <v>03</v>
      </c>
      <c r="G73" s="33" t="str">
        <f t="shared" si="12"/>
        <v>1</v>
      </c>
      <c r="H73" s="33" t="str">
        <f t="shared" si="13"/>
        <v>0</v>
      </c>
      <c r="I73" s="28">
        <v>11210310</v>
      </c>
      <c r="J73" s="29" t="s">
        <v>159</v>
      </c>
      <c r="K73" s="29" t="s">
        <v>160</v>
      </c>
      <c r="L73" s="29"/>
      <c r="M73" s="34"/>
    </row>
    <row r="74" spans="2:13" ht="45">
      <c r="B74" s="32" t="str">
        <f t="shared" si="7"/>
        <v>1</v>
      </c>
      <c r="C74" s="33" t="str">
        <f t="shared" si="8"/>
        <v>1</v>
      </c>
      <c r="D74" s="33" t="str">
        <f t="shared" si="9"/>
        <v>2</v>
      </c>
      <c r="E74" s="33" t="str">
        <f t="shared" si="10"/>
        <v>1</v>
      </c>
      <c r="F74" s="33" t="str">
        <f t="shared" si="11"/>
        <v>04</v>
      </c>
      <c r="G74" s="33" t="str">
        <f t="shared" si="12"/>
        <v>0</v>
      </c>
      <c r="H74" s="33" t="str">
        <f t="shared" si="13"/>
        <v>0</v>
      </c>
      <c r="I74" s="28">
        <v>11210400</v>
      </c>
      <c r="J74" s="29" t="s">
        <v>161</v>
      </c>
      <c r="K74" s="29" t="s">
        <v>162</v>
      </c>
      <c r="L74" s="29"/>
      <c r="M74" s="34"/>
    </row>
    <row r="75" spans="2:13" ht="45">
      <c r="B75" s="32" t="str">
        <f t="shared" si="7"/>
        <v>1</v>
      </c>
      <c r="C75" s="33" t="str">
        <f t="shared" si="8"/>
        <v>1</v>
      </c>
      <c r="D75" s="33" t="str">
        <f t="shared" si="9"/>
        <v>2</v>
      </c>
      <c r="E75" s="33" t="str">
        <f t="shared" si="10"/>
        <v>1</v>
      </c>
      <c r="F75" s="33" t="str">
        <f t="shared" si="11"/>
        <v>04</v>
      </c>
      <c r="G75" s="33" t="str">
        <f t="shared" si="12"/>
        <v>1</v>
      </c>
      <c r="H75" s="33" t="str">
        <f t="shared" si="13"/>
        <v>0</v>
      </c>
      <c r="I75" s="28">
        <v>11210410</v>
      </c>
      <c r="J75" s="29" t="s">
        <v>161</v>
      </c>
      <c r="K75" s="29" t="s">
        <v>162</v>
      </c>
      <c r="L75" s="29"/>
      <c r="M75" s="34"/>
    </row>
    <row r="76" spans="2:13" ht="30">
      <c r="B76" s="32" t="str">
        <f t="shared" si="7"/>
        <v>1</v>
      </c>
      <c r="C76" s="33" t="str">
        <f t="shared" si="8"/>
        <v>1</v>
      </c>
      <c r="D76" s="33" t="str">
        <f t="shared" si="9"/>
        <v>2</v>
      </c>
      <c r="E76" s="33" t="str">
        <f t="shared" si="10"/>
        <v>1</v>
      </c>
      <c r="F76" s="33" t="str">
        <f t="shared" si="11"/>
        <v>05</v>
      </c>
      <c r="G76" s="33" t="str">
        <f t="shared" si="12"/>
        <v>0</v>
      </c>
      <c r="H76" s="33" t="str">
        <f t="shared" si="13"/>
        <v>0</v>
      </c>
      <c r="I76" s="28">
        <v>11210500</v>
      </c>
      <c r="J76" s="29" t="s">
        <v>163</v>
      </c>
      <c r="K76" s="29" t="s">
        <v>164</v>
      </c>
      <c r="L76" s="29"/>
      <c r="M76" s="34"/>
    </row>
    <row r="77" spans="2:13" ht="30">
      <c r="B77" s="32" t="str">
        <f t="shared" si="7"/>
        <v>1</v>
      </c>
      <c r="C77" s="33" t="str">
        <f t="shared" si="8"/>
        <v>1</v>
      </c>
      <c r="D77" s="33" t="str">
        <f t="shared" si="9"/>
        <v>2</v>
      </c>
      <c r="E77" s="33" t="str">
        <f t="shared" si="10"/>
        <v>1</v>
      </c>
      <c r="F77" s="33" t="str">
        <f t="shared" si="11"/>
        <v>05</v>
      </c>
      <c r="G77" s="33" t="str">
        <f t="shared" si="12"/>
        <v>1</v>
      </c>
      <c r="H77" s="33" t="str">
        <f t="shared" si="13"/>
        <v>0</v>
      </c>
      <c r="I77" s="28">
        <v>11210510</v>
      </c>
      <c r="J77" s="29" t="s">
        <v>163</v>
      </c>
      <c r="K77" s="29" t="s">
        <v>164</v>
      </c>
      <c r="L77" s="29"/>
      <c r="M77" s="34"/>
    </row>
    <row r="78" spans="2:13" ht="45">
      <c r="B78" s="32" t="str">
        <f t="shared" si="7"/>
        <v>1</v>
      </c>
      <c r="C78" s="33" t="str">
        <f t="shared" si="8"/>
        <v>1</v>
      </c>
      <c r="D78" s="33" t="str">
        <f t="shared" si="9"/>
        <v>2</v>
      </c>
      <c r="E78" s="33" t="str">
        <f t="shared" si="10"/>
        <v>2</v>
      </c>
      <c r="F78" s="33" t="str">
        <f t="shared" si="11"/>
        <v>00</v>
      </c>
      <c r="G78" s="33" t="str">
        <f t="shared" si="12"/>
        <v>0</v>
      </c>
      <c r="H78" s="33" t="str">
        <f t="shared" si="13"/>
        <v>0</v>
      </c>
      <c r="I78" s="28">
        <v>11220000</v>
      </c>
      <c r="J78" s="29" t="s">
        <v>165</v>
      </c>
      <c r="K78" s="29" t="s">
        <v>166</v>
      </c>
      <c r="L78" s="29"/>
      <c r="M78" s="34"/>
    </row>
    <row r="79" spans="2:13" ht="45">
      <c r="B79" s="32" t="str">
        <f t="shared" si="7"/>
        <v>1</v>
      </c>
      <c r="C79" s="33" t="str">
        <f t="shared" si="8"/>
        <v>1</v>
      </c>
      <c r="D79" s="33" t="str">
        <f t="shared" si="9"/>
        <v>2</v>
      </c>
      <c r="E79" s="33" t="str">
        <f t="shared" si="10"/>
        <v>2</v>
      </c>
      <c r="F79" s="33" t="str">
        <f t="shared" si="11"/>
        <v>01</v>
      </c>
      <c r="G79" s="33" t="str">
        <f t="shared" si="12"/>
        <v>0</v>
      </c>
      <c r="H79" s="33" t="str">
        <f t="shared" si="13"/>
        <v>0</v>
      </c>
      <c r="I79" s="28">
        <v>11220100</v>
      </c>
      <c r="J79" s="29" t="s">
        <v>165</v>
      </c>
      <c r="K79" s="29" t="s">
        <v>166</v>
      </c>
      <c r="L79" s="29"/>
      <c r="M79" s="34"/>
    </row>
    <row r="80" spans="2:13" ht="45">
      <c r="B80" s="32" t="str">
        <f t="shared" si="7"/>
        <v>1</v>
      </c>
      <c r="C80" s="33" t="str">
        <f t="shared" si="8"/>
        <v>1</v>
      </c>
      <c r="D80" s="33" t="str">
        <f t="shared" si="9"/>
        <v>2</v>
      </c>
      <c r="E80" s="33" t="str">
        <f t="shared" si="10"/>
        <v>2</v>
      </c>
      <c r="F80" s="33" t="str">
        <f t="shared" si="11"/>
        <v>01</v>
      </c>
      <c r="G80" s="33" t="str">
        <f t="shared" si="12"/>
        <v>1</v>
      </c>
      <c r="H80" s="33" t="str">
        <f t="shared" si="13"/>
        <v>0</v>
      </c>
      <c r="I80" s="28">
        <v>11220110</v>
      </c>
      <c r="J80" s="29" t="s">
        <v>165</v>
      </c>
      <c r="K80" s="29" t="s">
        <v>166</v>
      </c>
      <c r="L80" s="29"/>
      <c r="M80" s="34"/>
    </row>
    <row r="81" spans="2:13" ht="120">
      <c r="B81" s="32" t="str">
        <f t="shared" si="7"/>
        <v>1</v>
      </c>
      <c r="C81" s="33" t="str">
        <f t="shared" si="8"/>
        <v>1</v>
      </c>
      <c r="D81" s="33" t="str">
        <f t="shared" si="9"/>
        <v>2</v>
      </c>
      <c r="E81" s="33" t="str">
        <f t="shared" si="10"/>
        <v>2</v>
      </c>
      <c r="F81" s="33" t="str">
        <f t="shared" si="11"/>
        <v>02</v>
      </c>
      <c r="G81" s="33" t="str">
        <f t="shared" si="12"/>
        <v>0</v>
      </c>
      <c r="H81" s="33" t="str">
        <f t="shared" si="13"/>
        <v>0</v>
      </c>
      <c r="I81" s="28">
        <v>11220200</v>
      </c>
      <c r="J81" s="29" t="s">
        <v>167</v>
      </c>
      <c r="K81" s="29" t="s">
        <v>168</v>
      </c>
      <c r="L81" s="29"/>
      <c r="M81" s="34"/>
    </row>
    <row r="82" spans="2:13" ht="120">
      <c r="B82" s="32" t="str">
        <f t="shared" si="7"/>
        <v>1</v>
      </c>
      <c r="C82" s="33" t="str">
        <f t="shared" si="8"/>
        <v>1</v>
      </c>
      <c r="D82" s="33" t="str">
        <f t="shared" si="9"/>
        <v>2</v>
      </c>
      <c r="E82" s="33" t="str">
        <f t="shared" si="10"/>
        <v>2</v>
      </c>
      <c r="F82" s="33" t="str">
        <f t="shared" si="11"/>
        <v>02</v>
      </c>
      <c r="G82" s="33" t="str">
        <f t="shared" si="12"/>
        <v>1</v>
      </c>
      <c r="H82" s="33" t="str">
        <f t="shared" si="13"/>
        <v>0</v>
      </c>
      <c r="I82" s="28">
        <v>11220210</v>
      </c>
      <c r="J82" s="29" t="s">
        <v>167</v>
      </c>
      <c r="K82" s="29" t="s">
        <v>168</v>
      </c>
      <c r="L82" s="29"/>
      <c r="M82" s="34"/>
    </row>
    <row r="83" spans="2:13" ht="30">
      <c r="B83" s="32" t="str">
        <f t="shared" si="7"/>
        <v>1</v>
      </c>
      <c r="C83" s="33" t="str">
        <f t="shared" si="8"/>
        <v>1</v>
      </c>
      <c r="D83" s="33" t="str">
        <f t="shared" si="9"/>
        <v>2</v>
      </c>
      <c r="E83" s="33" t="str">
        <f t="shared" si="10"/>
        <v>8</v>
      </c>
      <c r="F83" s="33" t="str">
        <f t="shared" si="11"/>
        <v>00</v>
      </c>
      <c r="G83" s="33" t="str">
        <f t="shared" si="12"/>
        <v>0</v>
      </c>
      <c r="H83" s="33" t="str">
        <f t="shared" si="13"/>
        <v>0</v>
      </c>
      <c r="I83" s="28">
        <v>11280000</v>
      </c>
      <c r="J83" s="29" t="s">
        <v>169</v>
      </c>
      <c r="K83" s="29" t="s">
        <v>170</v>
      </c>
      <c r="L83" s="29"/>
      <c r="M83" s="34"/>
    </row>
    <row r="84" spans="2:13" ht="30">
      <c r="B84" s="32" t="str">
        <f t="shared" si="7"/>
        <v>1</v>
      </c>
      <c r="C84" s="33" t="str">
        <f t="shared" si="8"/>
        <v>1</v>
      </c>
      <c r="D84" s="33" t="str">
        <f t="shared" si="9"/>
        <v>2</v>
      </c>
      <c r="E84" s="33" t="str">
        <f t="shared" si="10"/>
        <v>8</v>
      </c>
      <c r="F84" s="33" t="str">
        <f t="shared" si="11"/>
        <v>01</v>
      </c>
      <c r="G84" s="33" t="str">
        <f t="shared" si="12"/>
        <v>0</v>
      </c>
      <c r="H84" s="33" t="str">
        <f t="shared" si="13"/>
        <v>0</v>
      </c>
      <c r="I84" s="28">
        <v>11280100</v>
      </c>
      <c r="J84" s="29" t="s">
        <v>146</v>
      </c>
      <c r="K84" s="29" t="s">
        <v>171</v>
      </c>
      <c r="L84" s="29"/>
      <c r="M84" s="34"/>
    </row>
    <row r="85" spans="2:13" ht="30">
      <c r="B85" s="32" t="str">
        <f t="shared" si="7"/>
        <v>1</v>
      </c>
      <c r="C85" s="33" t="str">
        <f t="shared" si="8"/>
        <v>1</v>
      </c>
      <c r="D85" s="33" t="str">
        <f t="shared" si="9"/>
        <v>2</v>
      </c>
      <c r="E85" s="33" t="str">
        <f t="shared" si="10"/>
        <v>8</v>
      </c>
      <c r="F85" s="33" t="str">
        <f t="shared" si="11"/>
        <v>01</v>
      </c>
      <c r="G85" s="33" t="str">
        <f t="shared" si="12"/>
        <v>1</v>
      </c>
      <c r="H85" s="33" t="str">
        <f t="shared" si="13"/>
        <v>0</v>
      </c>
      <c r="I85" s="28">
        <v>11280110</v>
      </c>
      <c r="J85" s="29" t="s">
        <v>172</v>
      </c>
      <c r="K85" s="29" t="s">
        <v>173</v>
      </c>
      <c r="L85" s="29"/>
      <c r="M85" s="34"/>
    </row>
    <row r="86" spans="2:13" ht="45">
      <c r="B86" s="32" t="str">
        <f t="shared" si="7"/>
        <v>1</v>
      </c>
      <c r="C86" s="33" t="str">
        <f t="shared" si="8"/>
        <v>1</v>
      </c>
      <c r="D86" s="33" t="str">
        <f t="shared" si="9"/>
        <v>2</v>
      </c>
      <c r="E86" s="33" t="str">
        <f t="shared" si="10"/>
        <v>8</v>
      </c>
      <c r="F86" s="33" t="str">
        <f t="shared" si="11"/>
        <v>01</v>
      </c>
      <c r="G86" s="33" t="str">
        <f t="shared" si="12"/>
        <v>2</v>
      </c>
      <c r="H86" s="33" t="str">
        <f t="shared" si="13"/>
        <v>0</v>
      </c>
      <c r="I86" s="28">
        <v>11280120</v>
      </c>
      <c r="J86" s="29" t="s">
        <v>174</v>
      </c>
      <c r="K86" s="29" t="s">
        <v>175</v>
      </c>
      <c r="L86" s="29"/>
      <c r="M86" s="34"/>
    </row>
    <row r="87" spans="2:13" ht="45">
      <c r="B87" s="32" t="str">
        <f t="shared" si="7"/>
        <v>1</v>
      </c>
      <c r="C87" s="33" t="str">
        <f t="shared" si="8"/>
        <v>1</v>
      </c>
      <c r="D87" s="33" t="str">
        <f t="shared" si="9"/>
        <v>2</v>
      </c>
      <c r="E87" s="33" t="str">
        <f t="shared" si="10"/>
        <v>8</v>
      </c>
      <c r="F87" s="33" t="str">
        <f t="shared" si="11"/>
        <v>01</v>
      </c>
      <c r="G87" s="33" t="str">
        <f t="shared" si="12"/>
        <v>9</v>
      </c>
      <c r="H87" s="33" t="str">
        <f t="shared" si="13"/>
        <v>0</v>
      </c>
      <c r="I87" s="28">
        <v>11280190</v>
      </c>
      <c r="J87" s="29" t="s">
        <v>176</v>
      </c>
      <c r="K87" s="29" t="s">
        <v>177</v>
      </c>
      <c r="L87" s="29"/>
      <c r="M87" s="34"/>
    </row>
    <row r="88" spans="2:13" ht="45">
      <c r="B88" s="32" t="str">
        <f t="shared" si="7"/>
        <v>1</v>
      </c>
      <c r="C88" s="33" t="str">
        <f t="shared" si="8"/>
        <v>1</v>
      </c>
      <c r="D88" s="33" t="str">
        <f t="shared" si="9"/>
        <v>2</v>
      </c>
      <c r="E88" s="33" t="str">
        <f t="shared" si="10"/>
        <v>8</v>
      </c>
      <c r="F88" s="33" t="str">
        <f t="shared" si="11"/>
        <v>02</v>
      </c>
      <c r="G88" s="33" t="str">
        <f t="shared" si="12"/>
        <v>0</v>
      </c>
      <c r="H88" s="33" t="str">
        <f t="shared" si="13"/>
        <v>0</v>
      </c>
      <c r="I88" s="28">
        <v>11280200</v>
      </c>
      <c r="J88" s="29" t="s">
        <v>165</v>
      </c>
      <c r="K88" s="29" t="s">
        <v>166</v>
      </c>
      <c r="L88" s="29"/>
      <c r="M88" s="34"/>
    </row>
    <row r="89" spans="2:13" ht="60">
      <c r="B89" s="32" t="str">
        <f t="shared" si="7"/>
        <v>1</v>
      </c>
      <c r="C89" s="33" t="str">
        <f t="shared" si="8"/>
        <v>1</v>
      </c>
      <c r="D89" s="33" t="str">
        <f t="shared" si="9"/>
        <v>2</v>
      </c>
      <c r="E89" s="33" t="str">
        <f t="shared" si="10"/>
        <v>8</v>
      </c>
      <c r="F89" s="33" t="str">
        <f t="shared" si="11"/>
        <v>02</v>
      </c>
      <c r="G89" s="33" t="str">
        <f t="shared" si="12"/>
        <v>1</v>
      </c>
      <c r="H89" s="33" t="str">
        <f t="shared" si="13"/>
        <v>0</v>
      </c>
      <c r="I89" s="28">
        <v>11280210</v>
      </c>
      <c r="J89" s="29" t="s">
        <v>178</v>
      </c>
      <c r="K89" s="29" t="s">
        <v>179</v>
      </c>
      <c r="L89" s="29" t="s">
        <v>180</v>
      </c>
      <c r="M89" s="34"/>
    </row>
    <row r="90" spans="2:13" ht="60">
      <c r="B90" s="32" t="str">
        <f t="shared" si="7"/>
        <v>1</v>
      </c>
      <c r="C90" s="33" t="str">
        <f t="shared" si="8"/>
        <v>1</v>
      </c>
      <c r="D90" s="33" t="str">
        <f t="shared" si="9"/>
        <v>2</v>
      </c>
      <c r="E90" s="33" t="str">
        <f t="shared" si="10"/>
        <v>8</v>
      </c>
      <c r="F90" s="33" t="str">
        <f t="shared" si="11"/>
        <v>02</v>
      </c>
      <c r="G90" s="33" t="str">
        <f t="shared" si="12"/>
        <v>2</v>
      </c>
      <c r="H90" s="33" t="str">
        <f t="shared" si="13"/>
        <v>0</v>
      </c>
      <c r="I90" s="28">
        <v>11280220</v>
      </c>
      <c r="J90" s="29" t="s">
        <v>181</v>
      </c>
      <c r="K90" s="29" t="s">
        <v>182</v>
      </c>
      <c r="L90" s="29" t="s">
        <v>180</v>
      </c>
      <c r="M90" s="34"/>
    </row>
    <row r="91" spans="2:13" ht="30">
      <c r="B91" s="32" t="str">
        <f t="shared" si="7"/>
        <v>1</v>
      </c>
      <c r="C91" s="33" t="str">
        <f t="shared" si="8"/>
        <v>1</v>
      </c>
      <c r="D91" s="33" t="str">
        <f t="shared" si="9"/>
        <v>2</v>
      </c>
      <c r="E91" s="33" t="str">
        <f t="shared" si="10"/>
        <v>8</v>
      </c>
      <c r="F91" s="33" t="str">
        <f t="shared" si="11"/>
        <v>02</v>
      </c>
      <c r="G91" s="33" t="str">
        <f t="shared" si="12"/>
        <v>3</v>
      </c>
      <c r="H91" s="33" t="str">
        <f t="shared" si="13"/>
        <v>0</v>
      </c>
      <c r="I91" s="28">
        <v>11280230</v>
      </c>
      <c r="J91" s="29" t="s">
        <v>183</v>
      </c>
      <c r="K91" s="29" t="s">
        <v>184</v>
      </c>
      <c r="L91" s="29" t="s">
        <v>180</v>
      </c>
      <c r="M91" s="34"/>
    </row>
    <row r="92" spans="2:13" ht="45">
      <c r="B92" s="32" t="str">
        <f t="shared" si="7"/>
        <v>1</v>
      </c>
      <c r="C92" s="33" t="str">
        <f t="shared" si="8"/>
        <v>1</v>
      </c>
      <c r="D92" s="33" t="str">
        <f t="shared" si="9"/>
        <v>2</v>
      </c>
      <c r="E92" s="33" t="str">
        <f t="shared" si="10"/>
        <v>8</v>
      </c>
      <c r="F92" s="33" t="str">
        <f t="shared" si="11"/>
        <v>02</v>
      </c>
      <c r="G92" s="33" t="str">
        <f t="shared" si="12"/>
        <v>9</v>
      </c>
      <c r="H92" s="33" t="str">
        <f t="shared" si="13"/>
        <v>0</v>
      </c>
      <c r="I92" s="28">
        <v>11280290</v>
      </c>
      <c r="J92" s="29" t="s">
        <v>185</v>
      </c>
      <c r="K92" s="29" t="s">
        <v>186</v>
      </c>
      <c r="L92" s="29" t="s">
        <v>180</v>
      </c>
      <c r="M92" s="34"/>
    </row>
    <row r="93" spans="2:13" ht="30">
      <c r="B93" s="32" t="str">
        <f t="shared" si="7"/>
        <v>1</v>
      </c>
      <c r="C93" s="33" t="str">
        <f t="shared" si="8"/>
        <v>1</v>
      </c>
      <c r="D93" s="33" t="str">
        <f t="shared" si="9"/>
        <v>3</v>
      </c>
      <c r="E93" s="33" t="str">
        <f t="shared" si="10"/>
        <v>0</v>
      </c>
      <c r="F93" s="33" t="str">
        <f t="shared" si="11"/>
        <v>00</v>
      </c>
      <c r="G93" s="33" t="str">
        <f t="shared" si="12"/>
        <v>0</v>
      </c>
      <c r="H93" s="33" t="str">
        <f t="shared" si="13"/>
        <v>0</v>
      </c>
      <c r="I93" s="28">
        <v>11300000</v>
      </c>
      <c r="J93" s="29" t="s">
        <v>187</v>
      </c>
      <c r="K93" s="29" t="s">
        <v>188</v>
      </c>
      <c r="L93" s="29"/>
      <c r="M93" s="34"/>
    </row>
    <row r="94" spans="2:13" ht="30">
      <c r="B94" s="32" t="str">
        <f t="shared" si="7"/>
        <v>1</v>
      </c>
      <c r="C94" s="33" t="str">
        <f t="shared" si="8"/>
        <v>1</v>
      </c>
      <c r="D94" s="33" t="str">
        <f t="shared" si="9"/>
        <v>3</v>
      </c>
      <c r="E94" s="33" t="str">
        <f t="shared" si="10"/>
        <v>0</v>
      </c>
      <c r="F94" s="33" t="str">
        <f t="shared" si="11"/>
        <v>00</v>
      </c>
      <c r="G94" s="33" t="str">
        <f t="shared" si="12"/>
        <v>1</v>
      </c>
      <c r="H94" s="33" t="str">
        <f t="shared" si="13"/>
        <v>0</v>
      </c>
      <c r="I94" s="28">
        <v>11300010</v>
      </c>
      <c r="J94" s="29" t="s">
        <v>187</v>
      </c>
      <c r="K94" s="29" t="s">
        <v>188</v>
      </c>
      <c r="L94" s="29"/>
      <c r="M94" s="34"/>
    </row>
    <row r="95" spans="2:13" ht="30">
      <c r="B95" s="32" t="str">
        <f t="shared" si="7"/>
        <v>1</v>
      </c>
      <c r="C95" s="33" t="str">
        <f t="shared" si="8"/>
        <v>1</v>
      </c>
      <c r="D95" s="33" t="str">
        <f t="shared" si="9"/>
        <v>3</v>
      </c>
      <c r="E95" s="33" t="str">
        <f t="shared" si="10"/>
        <v>8</v>
      </c>
      <c r="F95" s="33" t="str">
        <f t="shared" si="11"/>
        <v>00</v>
      </c>
      <c r="G95" s="33" t="str">
        <f t="shared" si="12"/>
        <v>0</v>
      </c>
      <c r="H95" s="33" t="str">
        <f t="shared" si="13"/>
        <v>0</v>
      </c>
      <c r="I95" s="28">
        <v>11380000</v>
      </c>
      <c r="J95" s="29" t="s">
        <v>189</v>
      </c>
      <c r="K95" s="29" t="s">
        <v>190</v>
      </c>
      <c r="L95" s="29"/>
      <c r="M95" s="34"/>
    </row>
    <row r="96" spans="2:13" ht="45">
      <c r="B96" s="32" t="str">
        <f t="shared" si="7"/>
        <v>1</v>
      </c>
      <c r="C96" s="33" t="str">
        <f t="shared" si="8"/>
        <v>1</v>
      </c>
      <c r="D96" s="33" t="str">
        <f t="shared" si="9"/>
        <v>3</v>
      </c>
      <c r="E96" s="33" t="str">
        <f t="shared" si="10"/>
        <v>8</v>
      </c>
      <c r="F96" s="33" t="str">
        <f t="shared" si="11"/>
        <v>01</v>
      </c>
      <c r="G96" s="33" t="str">
        <f t="shared" si="12"/>
        <v>0</v>
      </c>
      <c r="H96" s="33" t="str">
        <f t="shared" si="13"/>
        <v>0</v>
      </c>
      <c r="I96" s="28">
        <v>11380100</v>
      </c>
      <c r="J96" s="29" t="s">
        <v>191</v>
      </c>
      <c r="K96" s="29" t="s">
        <v>192</v>
      </c>
      <c r="L96" s="29"/>
      <c r="M96" s="34"/>
    </row>
    <row r="97" spans="2:13" ht="45">
      <c r="B97" s="32" t="str">
        <f t="shared" si="7"/>
        <v>1</v>
      </c>
      <c r="C97" s="33" t="str">
        <f t="shared" si="8"/>
        <v>1</v>
      </c>
      <c r="D97" s="33" t="str">
        <f t="shared" si="9"/>
        <v>3</v>
      </c>
      <c r="E97" s="33" t="str">
        <f t="shared" si="10"/>
        <v>8</v>
      </c>
      <c r="F97" s="33" t="str">
        <f t="shared" si="11"/>
        <v>01</v>
      </c>
      <c r="G97" s="33" t="str">
        <f t="shared" si="12"/>
        <v>1</v>
      </c>
      <c r="H97" s="33" t="str">
        <f t="shared" si="13"/>
        <v>0</v>
      </c>
      <c r="I97" s="28">
        <v>11380110</v>
      </c>
      <c r="J97" s="29" t="s">
        <v>191</v>
      </c>
      <c r="K97" s="29" t="s">
        <v>192</v>
      </c>
      <c r="L97" s="29"/>
      <c r="M97" s="34"/>
    </row>
    <row r="98" spans="2:13" ht="45">
      <c r="B98" s="32" t="str">
        <f t="shared" si="7"/>
        <v>1</v>
      </c>
      <c r="C98" s="33" t="str">
        <f t="shared" si="8"/>
        <v>1</v>
      </c>
      <c r="D98" s="33" t="str">
        <f t="shared" si="9"/>
        <v>3</v>
      </c>
      <c r="E98" s="33" t="str">
        <f t="shared" si="10"/>
        <v>8</v>
      </c>
      <c r="F98" s="33" t="str">
        <f t="shared" si="11"/>
        <v>02</v>
      </c>
      <c r="G98" s="33" t="str">
        <f t="shared" si="12"/>
        <v>0</v>
      </c>
      <c r="H98" s="33" t="str">
        <f t="shared" si="13"/>
        <v>0</v>
      </c>
      <c r="I98" s="28">
        <v>11380200</v>
      </c>
      <c r="J98" s="29" t="s">
        <v>193</v>
      </c>
      <c r="K98" s="29" t="s">
        <v>194</v>
      </c>
      <c r="L98" s="29"/>
      <c r="M98" s="34"/>
    </row>
    <row r="99" spans="2:13" ht="45">
      <c r="B99" s="32" t="str">
        <f t="shared" si="7"/>
        <v>1</v>
      </c>
      <c r="C99" s="33" t="str">
        <f t="shared" si="8"/>
        <v>1</v>
      </c>
      <c r="D99" s="33" t="str">
        <f t="shared" si="9"/>
        <v>3</v>
      </c>
      <c r="E99" s="33" t="str">
        <f t="shared" si="10"/>
        <v>8</v>
      </c>
      <c r="F99" s="33" t="str">
        <f t="shared" si="11"/>
        <v>02</v>
      </c>
      <c r="G99" s="33" t="str">
        <f t="shared" si="12"/>
        <v>1</v>
      </c>
      <c r="H99" s="33" t="str">
        <f t="shared" si="13"/>
        <v>0</v>
      </c>
      <c r="I99" s="28">
        <v>11380210</v>
      </c>
      <c r="J99" s="29" t="s">
        <v>193</v>
      </c>
      <c r="K99" s="29" t="s">
        <v>194</v>
      </c>
      <c r="L99" s="29"/>
      <c r="M99" s="34"/>
    </row>
    <row r="100" spans="2:13" ht="45">
      <c r="B100" s="32" t="str">
        <f t="shared" si="7"/>
        <v>1</v>
      </c>
      <c r="C100" s="33" t="str">
        <f t="shared" si="8"/>
        <v>1</v>
      </c>
      <c r="D100" s="33" t="str">
        <f t="shared" si="9"/>
        <v>3</v>
      </c>
      <c r="E100" s="33" t="str">
        <f t="shared" si="10"/>
        <v>8</v>
      </c>
      <c r="F100" s="33" t="str">
        <f t="shared" si="11"/>
        <v>03</v>
      </c>
      <c r="G100" s="33" t="str">
        <f t="shared" si="12"/>
        <v>0</v>
      </c>
      <c r="H100" s="33" t="str">
        <f t="shared" si="13"/>
        <v>0</v>
      </c>
      <c r="I100" s="28">
        <v>11380300</v>
      </c>
      <c r="J100" s="29" t="s">
        <v>195</v>
      </c>
      <c r="K100" s="29" t="s">
        <v>196</v>
      </c>
      <c r="L100" s="29"/>
      <c r="M100" s="34"/>
    </row>
    <row r="101" spans="2:13" ht="45">
      <c r="B101" s="32" t="str">
        <f t="shared" si="7"/>
        <v>1</v>
      </c>
      <c r="C101" s="33" t="str">
        <f t="shared" si="8"/>
        <v>1</v>
      </c>
      <c r="D101" s="33" t="str">
        <f t="shared" si="9"/>
        <v>3</v>
      </c>
      <c r="E101" s="33" t="str">
        <f t="shared" si="10"/>
        <v>8</v>
      </c>
      <c r="F101" s="33" t="str">
        <f t="shared" si="11"/>
        <v>03</v>
      </c>
      <c r="G101" s="33" t="str">
        <f t="shared" si="12"/>
        <v>1</v>
      </c>
      <c r="H101" s="33" t="str">
        <f t="shared" si="13"/>
        <v>0</v>
      </c>
      <c r="I101" s="28">
        <v>11380310</v>
      </c>
      <c r="J101" s="29" t="s">
        <v>195</v>
      </c>
      <c r="K101" s="29" t="s">
        <v>196</v>
      </c>
      <c r="L101" s="29"/>
      <c r="M101" s="34"/>
    </row>
    <row r="102" spans="2:13" ht="45">
      <c r="B102" s="32" t="str">
        <f t="shared" si="7"/>
        <v>1</v>
      </c>
      <c r="C102" s="33" t="str">
        <f t="shared" si="8"/>
        <v>1</v>
      </c>
      <c r="D102" s="33" t="str">
        <f t="shared" si="9"/>
        <v>3</v>
      </c>
      <c r="E102" s="33" t="str">
        <f t="shared" si="10"/>
        <v>8</v>
      </c>
      <c r="F102" s="33" t="str">
        <f t="shared" si="11"/>
        <v>04</v>
      </c>
      <c r="G102" s="33" t="str">
        <f t="shared" si="12"/>
        <v>0</v>
      </c>
      <c r="H102" s="33" t="str">
        <f t="shared" si="13"/>
        <v>0</v>
      </c>
      <c r="I102" s="28">
        <v>11380400</v>
      </c>
      <c r="J102" s="29" t="s">
        <v>197</v>
      </c>
      <c r="K102" s="29" t="s">
        <v>198</v>
      </c>
      <c r="L102" s="29"/>
      <c r="M102" s="34"/>
    </row>
    <row r="103" spans="2:13" ht="45">
      <c r="B103" s="32" t="str">
        <f t="shared" si="7"/>
        <v>1</v>
      </c>
      <c r="C103" s="33" t="str">
        <f t="shared" si="8"/>
        <v>1</v>
      </c>
      <c r="D103" s="33" t="str">
        <f t="shared" si="9"/>
        <v>3</v>
      </c>
      <c r="E103" s="33" t="str">
        <f t="shared" si="10"/>
        <v>8</v>
      </c>
      <c r="F103" s="33" t="str">
        <f t="shared" si="11"/>
        <v>04</v>
      </c>
      <c r="G103" s="33" t="str">
        <f t="shared" si="12"/>
        <v>1</v>
      </c>
      <c r="H103" s="33" t="str">
        <f t="shared" si="13"/>
        <v>0</v>
      </c>
      <c r="I103" s="28">
        <v>11380410</v>
      </c>
      <c r="J103" s="29" t="s">
        <v>197</v>
      </c>
      <c r="K103" s="29" t="s">
        <v>198</v>
      </c>
      <c r="L103" s="29"/>
      <c r="M103" s="34"/>
    </row>
    <row r="104" spans="2:13" ht="30">
      <c r="B104" s="32" t="str">
        <f t="shared" si="7"/>
        <v>1</v>
      </c>
      <c r="C104" s="33" t="str">
        <f t="shared" si="8"/>
        <v>1</v>
      </c>
      <c r="D104" s="33" t="str">
        <f t="shared" si="9"/>
        <v>3</v>
      </c>
      <c r="E104" s="33" t="str">
        <f t="shared" si="10"/>
        <v>8</v>
      </c>
      <c r="F104" s="33" t="str">
        <f t="shared" si="11"/>
        <v>99</v>
      </c>
      <c r="G104" s="33" t="str">
        <f t="shared" si="12"/>
        <v>0</v>
      </c>
      <c r="H104" s="33" t="str">
        <f t="shared" si="13"/>
        <v>0</v>
      </c>
      <c r="I104" s="28">
        <v>11389900</v>
      </c>
      <c r="J104" s="29" t="s">
        <v>199</v>
      </c>
      <c r="K104" s="29" t="s">
        <v>200</v>
      </c>
      <c r="L104" s="29"/>
      <c r="M104" s="34"/>
    </row>
    <row r="105" spans="2:13" ht="30">
      <c r="B105" s="32" t="str">
        <f t="shared" si="7"/>
        <v>1</v>
      </c>
      <c r="C105" s="33" t="str">
        <f t="shared" si="8"/>
        <v>1</v>
      </c>
      <c r="D105" s="33" t="str">
        <f t="shared" si="9"/>
        <v>3</v>
      </c>
      <c r="E105" s="33" t="str">
        <f t="shared" si="10"/>
        <v>8</v>
      </c>
      <c r="F105" s="33" t="str">
        <f t="shared" si="11"/>
        <v>99</v>
      </c>
      <c r="G105" s="33" t="str">
        <f t="shared" si="12"/>
        <v>1</v>
      </c>
      <c r="H105" s="33" t="str">
        <f t="shared" si="13"/>
        <v>0</v>
      </c>
      <c r="I105" s="28">
        <v>11389910</v>
      </c>
      <c r="J105" s="29" t="s">
        <v>199</v>
      </c>
      <c r="K105" s="29" t="s">
        <v>200</v>
      </c>
      <c r="L105" s="29"/>
      <c r="M105" s="34"/>
    </row>
    <row r="106" spans="2:13" ht="60">
      <c r="B106" s="32" t="str">
        <f t="shared" si="7"/>
        <v>1</v>
      </c>
      <c r="C106" s="33" t="str">
        <f t="shared" si="8"/>
        <v>2</v>
      </c>
      <c r="D106" s="33" t="str">
        <f t="shared" si="9"/>
        <v>0</v>
      </c>
      <c r="E106" s="33" t="str">
        <f t="shared" si="10"/>
        <v>0</v>
      </c>
      <c r="F106" s="33" t="str">
        <f t="shared" si="11"/>
        <v>00</v>
      </c>
      <c r="G106" s="33" t="str">
        <f t="shared" si="12"/>
        <v>0</v>
      </c>
      <c r="H106" s="33" t="str">
        <f t="shared" si="13"/>
        <v>0</v>
      </c>
      <c r="I106" s="28">
        <v>12000000</v>
      </c>
      <c r="J106" s="29" t="s">
        <v>201</v>
      </c>
      <c r="K106" s="29" t="s">
        <v>202</v>
      </c>
      <c r="L106" s="29"/>
      <c r="M106" s="34"/>
    </row>
    <row r="107" spans="2:13" ht="30">
      <c r="B107" s="32" t="str">
        <f t="shared" si="7"/>
        <v>1</v>
      </c>
      <c r="C107" s="33" t="str">
        <f t="shared" si="8"/>
        <v>2</v>
      </c>
      <c r="D107" s="33" t="str">
        <f t="shared" si="9"/>
        <v>1</v>
      </c>
      <c r="E107" s="33" t="str">
        <f t="shared" si="10"/>
        <v>0</v>
      </c>
      <c r="F107" s="33" t="str">
        <f t="shared" si="11"/>
        <v>00</v>
      </c>
      <c r="G107" s="33" t="str">
        <f t="shared" si="12"/>
        <v>0</v>
      </c>
      <c r="H107" s="33" t="str">
        <f t="shared" si="13"/>
        <v>0</v>
      </c>
      <c r="I107" s="28">
        <v>12100000</v>
      </c>
      <c r="J107" s="29" t="s">
        <v>203</v>
      </c>
      <c r="K107" s="29" t="s">
        <v>204</v>
      </c>
      <c r="L107" s="29"/>
      <c r="M107" s="34"/>
    </row>
    <row r="108" spans="2:13" ht="45">
      <c r="B108" s="32" t="str">
        <f t="shared" si="7"/>
        <v>1</v>
      </c>
      <c r="C108" s="33" t="str">
        <f t="shared" si="8"/>
        <v>2</v>
      </c>
      <c r="D108" s="33" t="str">
        <f t="shared" si="9"/>
        <v>1</v>
      </c>
      <c r="E108" s="33" t="str">
        <f t="shared" si="10"/>
        <v>1</v>
      </c>
      <c r="F108" s="33" t="str">
        <f t="shared" si="11"/>
        <v>00</v>
      </c>
      <c r="G108" s="33" t="str">
        <f t="shared" si="12"/>
        <v>0</v>
      </c>
      <c r="H108" s="33" t="str">
        <f t="shared" si="13"/>
        <v>0</v>
      </c>
      <c r="I108" s="28">
        <v>12110000</v>
      </c>
      <c r="J108" s="29" t="s">
        <v>205</v>
      </c>
      <c r="K108" s="29" t="s">
        <v>206</v>
      </c>
      <c r="L108" s="29"/>
      <c r="M108" s="34"/>
    </row>
    <row r="109" spans="2:13" ht="60">
      <c r="B109" s="32" t="str">
        <f t="shared" si="7"/>
        <v>1</v>
      </c>
      <c r="C109" s="33" t="str">
        <f t="shared" si="8"/>
        <v>2</v>
      </c>
      <c r="D109" s="33" t="str">
        <f t="shared" si="9"/>
        <v>1</v>
      </c>
      <c r="E109" s="33" t="str">
        <f t="shared" si="10"/>
        <v>1</v>
      </c>
      <c r="F109" s="33" t="str">
        <f t="shared" si="11"/>
        <v>01</v>
      </c>
      <c r="G109" s="33" t="str">
        <f t="shared" si="12"/>
        <v>0</v>
      </c>
      <c r="H109" s="33" t="str">
        <f t="shared" si="13"/>
        <v>0</v>
      </c>
      <c r="I109" s="28">
        <v>12110100</v>
      </c>
      <c r="J109" s="29" t="s">
        <v>207</v>
      </c>
      <c r="K109" s="29" t="s">
        <v>208</v>
      </c>
      <c r="L109" s="29"/>
      <c r="M109" s="34"/>
    </row>
    <row r="110" spans="2:13" ht="45">
      <c r="B110" s="32" t="str">
        <f t="shared" si="7"/>
        <v>1</v>
      </c>
      <c r="C110" s="33" t="str">
        <f t="shared" si="8"/>
        <v>2</v>
      </c>
      <c r="D110" s="33" t="str">
        <f t="shared" si="9"/>
        <v>1</v>
      </c>
      <c r="E110" s="33" t="str">
        <f t="shared" si="10"/>
        <v>1</v>
      </c>
      <c r="F110" s="33" t="str">
        <f t="shared" si="11"/>
        <v>01</v>
      </c>
      <c r="G110" s="33" t="str">
        <f t="shared" si="12"/>
        <v>1</v>
      </c>
      <c r="H110" s="33" t="str">
        <f t="shared" si="13"/>
        <v>0</v>
      </c>
      <c r="I110" s="28">
        <v>12110110</v>
      </c>
      <c r="J110" s="29" t="s">
        <v>207</v>
      </c>
      <c r="K110" s="29" t="s">
        <v>209</v>
      </c>
      <c r="L110" s="29"/>
      <c r="M110" s="34"/>
    </row>
    <row r="111" spans="2:13" ht="30">
      <c r="B111" s="32" t="str">
        <f t="shared" si="7"/>
        <v>1</v>
      </c>
      <c r="C111" s="33" t="str">
        <f t="shared" si="8"/>
        <v>2</v>
      </c>
      <c r="D111" s="33" t="str">
        <f t="shared" si="9"/>
        <v>1</v>
      </c>
      <c r="E111" s="33" t="str">
        <f t="shared" si="10"/>
        <v>1</v>
      </c>
      <c r="F111" s="33" t="str">
        <f t="shared" si="11"/>
        <v>02</v>
      </c>
      <c r="G111" s="33" t="str">
        <f t="shared" si="12"/>
        <v>0</v>
      </c>
      <c r="H111" s="33" t="str">
        <f t="shared" si="13"/>
        <v>0</v>
      </c>
      <c r="I111" s="28">
        <v>12110200</v>
      </c>
      <c r="J111" s="29" t="s">
        <v>210</v>
      </c>
      <c r="K111" s="29" t="s">
        <v>211</v>
      </c>
      <c r="L111" s="29"/>
      <c r="M111" s="34"/>
    </row>
    <row r="112" spans="2:13" ht="30">
      <c r="B112" s="32" t="str">
        <f t="shared" si="7"/>
        <v>1</v>
      </c>
      <c r="C112" s="33" t="str">
        <f t="shared" si="8"/>
        <v>2</v>
      </c>
      <c r="D112" s="33" t="str">
        <f t="shared" si="9"/>
        <v>1</v>
      </c>
      <c r="E112" s="33" t="str">
        <f t="shared" si="10"/>
        <v>1</v>
      </c>
      <c r="F112" s="33" t="str">
        <f t="shared" si="11"/>
        <v>02</v>
      </c>
      <c r="G112" s="33" t="str">
        <f t="shared" si="12"/>
        <v>1</v>
      </c>
      <c r="H112" s="33" t="str">
        <f t="shared" si="13"/>
        <v>0</v>
      </c>
      <c r="I112" s="28">
        <v>12110210</v>
      </c>
      <c r="J112" s="29" t="s">
        <v>210</v>
      </c>
      <c r="K112" s="29" t="s">
        <v>211</v>
      </c>
      <c r="L112" s="29"/>
      <c r="M112" s="34"/>
    </row>
    <row r="113" spans="2:13" ht="60">
      <c r="B113" s="32" t="str">
        <f t="shared" si="7"/>
        <v>1</v>
      </c>
      <c r="C113" s="33" t="str">
        <f t="shared" si="8"/>
        <v>2</v>
      </c>
      <c r="D113" s="33" t="str">
        <f t="shared" si="9"/>
        <v>1</v>
      </c>
      <c r="E113" s="33" t="str">
        <f t="shared" si="10"/>
        <v>1</v>
      </c>
      <c r="F113" s="33" t="str">
        <f t="shared" si="11"/>
        <v>49</v>
      </c>
      <c r="G113" s="33" t="str">
        <f t="shared" si="12"/>
        <v>0</v>
      </c>
      <c r="H113" s="33" t="str">
        <f t="shared" si="13"/>
        <v>0</v>
      </c>
      <c r="I113" s="28">
        <v>12114900</v>
      </c>
      <c r="J113" s="29" t="s">
        <v>212</v>
      </c>
      <c r="K113" s="29" t="s">
        <v>213</v>
      </c>
      <c r="L113" s="29"/>
      <c r="M113" s="34"/>
    </row>
    <row r="114" spans="2:13" ht="60">
      <c r="B114" s="32" t="str">
        <f t="shared" si="7"/>
        <v>1</v>
      </c>
      <c r="C114" s="33" t="str">
        <f t="shared" si="8"/>
        <v>2</v>
      </c>
      <c r="D114" s="33" t="str">
        <f t="shared" si="9"/>
        <v>1</v>
      </c>
      <c r="E114" s="33" t="str">
        <f t="shared" si="10"/>
        <v>1</v>
      </c>
      <c r="F114" s="33" t="str">
        <f t="shared" si="11"/>
        <v>49</v>
      </c>
      <c r="G114" s="33" t="str">
        <f t="shared" si="12"/>
        <v>1</v>
      </c>
      <c r="H114" s="33" t="str">
        <f t="shared" si="13"/>
        <v>0</v>
      </c>
      <c r="I114" s="28">
        <v>12114910</v>
      </c>
      <c r="J114" s="29" t="s">
        <v>212</v>
      </c>
      <c r="K114" s="29" t="s">
        <v>213</v>
      </c>
      <c r="L114" s="29"/>
      <c r="M114" s="34"/>
    </row>
    <row r="115" spans="2:13" ht="45">
      <c r="B115" s="32" t="str">
        <f t="shared" si="7"/>
        <v>1</v>
      </c>
      <c r="C115" s="33" t="str">
        <f t="shared" si="8"/>
        <v>2</v>
      </c>
      <c r="D115" s="33" t="str">
        <f t="shared" si="9"/>
        <v>1</v>
      </c>
      <c r="E115" s="33" t="str">
        <f t="shared" si="10"/>
        <v>2</v>
      </c>
      <c r="F115" s="33" t="str">
        <f t="shared" si="11"/>
        <v>00</v>
      </c>
      <c r="G115" s="33" t="str">
        <f t="shared" si="12"/>
        <v>0</v>
      </c>
      <c r="H115" s="33" t="str">
        <f t="shared" si="13"/>
        <v>0</v>
      </c>
      <c r="I115" s="28">
        <v>12120000</v>
      </c>
      <c r="J115" s="29" t="s">
        <v>214</v>
      </c>
      <c r="K115" s="29" t="s">
        <v>215</v>
      </c>
      <c r="L115" s="29"/>
      <c r="M115" s="34"/>
    </row>
    <row r="116" spans="2:13" ht="30">
      <c r="B116" s="32" t="str">
        <f t="shared" si="7"/>
        <v>1</v>
      </c>
      <c r="C116" s="33" t="str">
        <f t="shared" si="8"/>
        <v>2</v>
      </c>
      <c r="D116" s="33" t="str">
        <f t="shared" si="9"/>
        <v>1</v>
      </c>
      <c r="E116" s="33" t="str">
        <f t="shared" si="10"/>
        <v>2</v>
      </c>
      <c r="F116" s="33" t="str">
        <f t="shared" si="11"/>
        <v>01</v>
      </c>
      <c r="G116" s="33" t="str">
        <f t="shared" si="12"/>
        <v>0</v>
      </c>
      <c r="H116" s="33" t="str">
        <f t="shared" si="13"/>
        <v>0</v>
      </c>
      <c r="I116" s="28">
        <v>12120100</v>
      </c>
      <c r="J116" s="29" t="s">
        <v>216</v>
      </c>
      <c r="K116" s="29" t="s">
        <v>217</v>
      </c>
      <c r="L116" s="29" t="s">
        <v>218</v>
      </c>
      <c r="M116" s="34"/>
    </row>
    <row r="117" spans="2:13" ht="45">
      <c r="B117" s="32" t="str">
        <f t="shared" si="7"/>
        <v>1</v>
      </c>
      <c r="C117" s="33" t="str">
        <f t="shared" si="8"/>
        <v>2</v>
      </c>
      <c r="D117" s="33" t="str">
        <f t="shared" si="9"/>
        <v>1</v>
      </c>
      <c r="E117" s="33" t="str">
        <f t="shared" si="10"/>
        <v>2</v>
      </c>
      <c r="F117" s="33" t="str">
        <f t="shared" si="11"/>
        <v>01</v>
      </c>
      <c r="G117" s="33" t="str">
        <f t="shared" si="12"/>
        <v>1</v>
      </c>
      <c r="H117" s="33" t="str">
        <f t="shared" si="13"/>
        <v>0</v>
      </c>
      <c r="I117" s="28">
        <v>12120110</v>
      </c>
      <c r="J117" s="29" t="s">
        <v>219</v>
      </c>
      <c r="K117" s="29" t="s">
        <v>220</v>
      </c>
      <c r="L117" s="29" t="s">
        <v>218</v>
      </c>
      <c r="M117" s="34"/>
    </row>
    <row r="118" spans="2:13" ht="45">
      <c r="B118" s="32" t="str">
        <f t="shared" si="7"/>
        <v>1</v>
      </c>
      <c r="C118" s="33" t="str">
        <f t="shared" si="8"/>
        <v>2</v>
      </c>
      <c r="D118" s="33" t="str">
        <f t="shared" si="9"/>
        <v>1</v>
      </c>
      <c r="E118" s="33" t="str">
        <f t="shared" si="10"/>
        <v>2</v>
      </c>
      <c r="F118" s="33" t="str">
        <f t="shared" si="11"/>
        <v>01</v>
      </c>
      <c r="G118" s="33" t="str">
        <f t="shared" si="12"/>
        <v>2</v>
      </c>
      <c r="H118" s="33" t="str">
        <f t="shared" si="13"/>
        <v>0</v>
      </c>
      <c r="I118" s="28">
        <v>12120120</v>
      </c>
      <c r="J118" s="29" t="s">
        <v>221</v>
      </c>
      <c r="K118" s="29" t="s">
        <v>222</v>
      </c>
      <c r="L118" s="29" t="s">
        <v>218</v>
      </c>
      <c r="M118" s="34"/>
    </row>
    <row r="119" spans="2:13" ht="45">
      <c r="B119" s="32" t="str">
        <f t="shared" si="7"/>
        <v>1</v>
      </c>
      <c r="C119" s="33" t="str">
        <f t="shared" si="8"/>
        <v>2</v>
      </c>
      <c r="D119" s="33" t="str">
        <f t="shared" si="9"/>
        <v>1</v>
      </c>
      <c r="E119" s="33" t="str">
        <f t="shared" si="10"/>
        <v>2</v>
      </c>
      <c r="F119" s="33" t="str">
        <f t="shared" si="11"/>
        <v>02</v>
      </c>
      <c r="G119" s="33" t="str">
        <f t="shared" si="12"/>
        <v>0</v>
      </c>
      <c r="H119" s="33" t="str">
        <f t="shared" si="13"/>
        <v>0</v>
      </c>
      <c r="I119" s="28">
        <v>12120200</v>
      </c>
      <c r="J119" s="29" t="s">
        <v>223</v>
      </c>
      <c r="K119" s="29" t="s">
        <v>224</v>
      </c>
      <c r="L119" s="29" t="s">
        <v>218</v>
      </c>
      <c r="M119" s="34" t="s">
        <v>22</v>
      </c>
    </row>
    <row r="120" spans="2:13" ht="45">
      <c r="B120" s="32" t="str">
        <f t="shared" si="7"/>
        <v>1</v>
      </c>
      <c r="C120" s="33" t="str">
        <f t="shared" si="8"/>
        <v>2</v>
      </c>
      <c r="D120" s="33" t="str">
        <f t="shared" si="9"/>
        <v>1</v>
      </c>
      <c r="E120" s="33" t="str">
        <f t="shared" si="10"/>
        <v>2</v>
      </c>
      <c r="F120" s="33" t="str">
        <f t="shared" si="11"/>
        <v>02</v>
      </c>
      <c r="G120" s="33" t="str">
        <f t="shared" si="12"/>
        <v>1</v>
      </c>
      <c r="H120" s="33" t="str">
        <f t="shared" si="13"/>
        <v>0</v>
      </c>
      <c r="I120" s="28">
        <v>12120210</v>
      </c>
      <c r="J120" s="29" t="s">
        <v>223</v>
      </c>
      <c r="K120" s="29" t="s">
        <v>224</v>
      </c>
      <c r="L120" s="29" t="s">
        <v>218</v>
      </c>
      <c r="M120" s="34" t="s">
        <v>22</v>
      </c>
    </row>
    <row r="121" spans="2:13" ht="45">
      <c r="B121" s="32" t="str">
        <f t="shared" si="7"/>
        <v>1</v>
      </c>
      <c r="C121" s="33" t="str">
        <f t="shared" si="8"/>
        <v>2</v>
      </c>
      <c r="D121" s="33" t="str">
        <f t="shared" si="9"/>
        <v>1</v>
      </c>
      <c r="E121" s="33" t="str">
        <f t="shared" si="10"/>
        <v>2</v>
      </c>
      <c r="F121" s="33" t="str">
        <f t="shared" si="11"/>
        <v>03</v>
      </c>
      <c r="G121" s="33" t="str">
        <f t="shared" si="12"/>
        <v>0</v>
      </c>
      <c r="H121" s="33" t="str">
        <f t="shared" si="13"/>
        <v>0</v>
      </c>
      <c r="I121" s="28">
        <v>12120300</v>
      </c>
      <c r="J121" s="29" t="s">
        <v>225</v>
      </c>
      <c r="K121" s="29" t="s">
        <v>226</v>
      </c>
      <c r="L121" s="29" t="s">
        <v>218</v>
      </c>
      <c r="M121" s="34" t="s">
        <v>22</v>
      </c>
    </row>
    <row r="122" spans="2:13" ht="45">
      <c r="B122" s="32" t="str">
        <f t="shared" si="7"/>
        <v>1</v>
      </c>
      <c r="C122" s="33" t="str">
        <f t="shared" si="8"/>
        <v>2</v>
      </c>
      <c r="D122" s="33" t="str">
        <f t="shared" si="9"/>
        <v>1</v>
      </c>
      <c r="E122" s="33" t="str">
        <f t="shared" si="10"/>
        <v>2</v>
      </c>
      <c r="F122" s="33" t="str">
        <f t="shared" si="11"/>
        <v>03</v>
      </c>
      <c r="G122" s="33" t="str">
        <f t="shared" si="12"/>
        <v>1</v>
      </c>
      <c r="H122" s="33" t="str">
        <f t="shared" si="13"/>
        <v>0</v>
      </c>
      <c r="I122" s="28">
        <v>12120310</v>
      </c>
      <c r="J122" s="29" t="s">
        <v>225</v>
      </c>
      <c r="K122" s="29" t="s">
        <v>226</v>
      </c>
      <c r="L122" s="29" t="s">
        <v>218</v>
      </c>
      <c r="M122" s="34" t="s">
        <v>22</v>
      </c>
    </row>
    <row r="123" spans="2:13" ht="45">
      <c r="B123" s="32" t="str">
        <f t="shared" si="7"/>
        <v>1</v>
      </c>
      <c r="C123" s="33" t="str">
        <f t="shared" si="8"/>
        <v>2</v>
      </c>
      <c r="D123" s="33" t="str">
        <f t="shared" si="9"/>
        <v>1</v>
      </c>
      <c r="E123" s="33" t="str">
        <f t="shared" si="10"/>
        <v>2</v>
      </c>
      <c r="F123" s="33" t="str">
        <f t="shared" si="11"/>
        <v>04</v>
      </c>
      <c r="G123" s="33" t="str">
        <f t="shared" si="12"/>
        <v>0</v>
      </c>
      <c r="H123" s="33" t="str">
        <f t="shared" si="13"/>
        <v>0</v>
      </c>
      <c r="I123" s="28">
        <v>12120400</v>
      </c>
      <c r="J123" s="29" t="s">
        <v>227</v>
      </c>
      <c r="K123" s="29" t="s">
        <v>228</v>
      </c>
      <c r="L123" s="29" t="s">
        <v>218</v>
      </c>
      <c r="M123" s="34" t="s">
        <v>22</v>
      </c>
    </row>
    <row r="124" spans="2:13" ht="45">
      <c r="B124" s="32" t="str">
        <f t="shared" si="7"/>
        <v>1</v>
      </c>
      <c r="C124" s="33" t="str">
        <f t="shared" si="8"/>
        <v>2</v>
      </c>
      <c r="D124" s="33" t="str">
        <f t="shared" si="9"/>
        <v>1</v>
      </c>
      <c r="E124" s="33" t="str">
        <f t="shared" si="10"/>
        <v>2</v>
      </c>
      <c r="F124" s="33" t="str">
        <f t="shared" si="11"/>
        <v>04</v>
      </c>
      <c r="G124" s="33" t="str">
        <f t="shared" si="12"/>
        <v>1</v>
      </c>
      <c r="H124" s="33" t="str">
        <f t="shared" si="13"/>
        <v>0</v>
      </c>
      <c r="I124" s="28">
        <v>12120410</v>
      </c>
      <c r="J124" s="29" t="s">
        <v>227</v>
      </c>
      <c r="K124" s="29" t="s">
        <v>228</v>
      </c>
      <c r="L124" s="29" t="s">
        <v>218</v>
      </c>
      <c r="M124" s="34" t="s">
        <v>22</v>
      </c>
    </row>
    <row r="125" spans="2:13" ht="60">
      <c r="B125" s="32" t="str">
        <f t="shared" si="7"/>
        <v>1</v>
      </c>
      <c r="C125" s="33" t="str">
        <f t="shared" si="8"/>
        <v>2</v>
      </c>
      <c r="D125" s="33" t="str">
        <f t="shared" si="9"/>
        <v>1</v>
      </c>
      <c r="E125" s="33" t="str">
        <f t="shared" si="10"/>
        <v>2</v>
      </c>
      <c r="F125" s="33" t="str">
        <f t="shared" si="11"/>
        <v>05</v>
      </c>
      <c r="G125" s="33" t="str">
        <f t="shared" si="12"/>
        <v>0</v>
      </c>
      <c r="H125" s="33" t="str">
        <f t="shared" si="13"/>
        <v>0</v>
      </c>
      <c r="I125" s="28">
        <v>12120500</v>
      </c>
      <c r="J125" s="29" t="s">
        <v>229</v>
      </c>
      <c r="K125" s="29" t="s">
        <v>230</v>
      </c>
      <c r="L125" s="29" t="s">
        <v>218</v>
      </c>
      <c r="M125" s="34" t="s">
        <v>22</v>
      </c>
    </row>
    <row r="126" spans="2:13" ht="60">
      <c r="B126" s="32" t="str">
        <f t="shared" si="7"/>
        <v>1</v>
      </c>
      <c r="C126" s="33" t="str">
        <f t="shared" si="8"/>
        <v>2</v>
      </c>
      <c r="D126" s="33" t="str">
        <f t="shared" si="9"/>
        <v>1</v>
      </c>
      <c r="E126" s="33" t="str">
        <f t="shared" si="10"/>
        <v>2</v>
      </c>
      <c r="F126" s="33" t="str">
        <f t="shared" si="11"/>
        <v>05</v>
      </c>
      <c r="G126" s="33" t="str">
        <f t="shared" si="12"/>
        <v>1</v>
      </c>
      <c r="H126" s="33" t="str">
        <f t="shared" si="13"/>
        <v>0</v>
      </c>
      <c r="I126" s="28">
        <v>12120510</v>
      </c>
      <c r="J126" s="29" t="s">
        <v>229</v>
      </c>
      <c r="K126" s="29" t="s">
        <v>230</v>
      </c>
      <c r="L126" s="29" t="s">
        <v>218</v>
      </c>
      <c r="M126" s="34" t="s">
        <v>22</v>
      </c>
    </row>
    <row r="127" spans="2:13" ht="60">
      <c r="B127" s="32" t="str">
        <f t="shared" si="7"/>
        <v>1</v>
      </c>
      <c r="C127" s="33" t="str">
        <f t="shared" si="8"/>
        <v>2</v>
      </c>
      <c r="D127" s="33" t="str">
        <f t="shared" si="9"/>
        <v>1</v>
      </c>
      <c r="E127" s="33" t="str">
        <f t="shared" si="10"/>
        <v>2</v>
      </c>
      <c r="F127" s="33" t="str">
        <f t="shared" si="11"/>
        <v>06</v>
      </c>
      <c r="G127" s="33" t="str">
        <f t="shared" si="12"/>
        <v>0</v>
      </c>
      <c r="H127" s="33" t="str">
        <f t="shared" si="13"/>
        <v>0</v>
      </c>
      <c r="I127" s="28">
        <v>12120600</v>
      </c>
      <c r="J127" s="29" t="s">
        <v>231</v>
      </c>
      <c r="K127" s="29" t="s">
        <v>232</v>
      </c>
      <c r="L127" s="29" t="s">
        <v>218</v>
      </c>
      <c r="M127" s="34" t="s">
        <v>22</v>
      </c>
    </row>
    <row r="128" spans="2:13" ht="60">
      <c r="B128" s="32" t="str">
        <f t="shared" si="7"/>
        <v>1</v>
      </c>
      <c r="C128" s="33" t="str">
        <f t="shared" si="8"/>
        <v>2</v>
      </c>
      <c r="D128" s="33" t="str">
        <f t="shared" si="9"/>
        <v>1</v>
      </c>
      <c r="E128" s="33" t="str">
        <f t="shared" si="10"/>
        <v>2</v>
      </c>
      <c r="F128" s="33" t="str">
        <f t="shared" si="11"/>
        <v>06</v>
      </c>
      <c r="G128" s="33" t="str">
        <f t="shared" si="12"/>
        <v>1</v>
      </c>
      <c r="H128" s="33" t="str">
        <f t="shared" si="13"/>
        <v>0</v>
      </c>
      <c r="I128" s="28">
        <v>12120610</v>
      </c>
      <c r="J128" s="29" t="s">
        <v>231</v>
      </c>
      <c r="K128" s="29" t="s">
        <v>232</v>
      </c>
      <c r="L128" s="29" t="s">
        <v>218</v>
      </c>
      <c r="M128" s="34" t="s">
        <v>22</v>
      </c>
    </row>
    <row r="129" spans="2:13" ht="60">
      <c r="B129" s="32" t="str">
        <f t="shared" si="7"/>
        <v>1</v>
      </c>
      <c r="C129" s="33" t="str">
        <f t="shared" si="8"/>
        <v>2</v>
      </c>
      <c r="D129" s="33" t="str">
        <f t="shared" si="9"/>
        <v>1</v>
      </c>
      <c r="E129" s="33" t="str">
        <f t="shared" si="10"/>
        <v>2</v>
      </c>
      <c r="F129" s="33" t="str">
        <f t="shared" si="11"/>
        <v>07</v>
      </c>
      <c r="G129" s="33" t="str">
        <f t="shared" si="12"/>
        <v>0</v>
      </c>
      <c r="H129" s="33" t="str">
        <f t="shared" si="13"/>
        <v>0</v>
      </c>
      <c r="I129" s="28">
        <v>12120700</v>
      </c>
      <c r="J129" s="29" t="s">
        <v>233</v>
      </c>
      <c r="K129" s="29" t="s">
        <v>234</v>
      </c>
      <c r="L129" s="29" t="s">
        <v>218</v>
      </c>
      <c r="M129" s="34" t="s">
        <v>22</v>
      </c>
    </row>
    <row r="130" spans="2:13" ht="60">
      <c r="B130" s="32" t="str">
        <f t="shared" si="7"/>
        <v>1</v>
      </c>
      <c r="C130" s="33" t="str">
        <f t="shared" si="8"/>
        <v>2</v>
      </c>
      <c r="D130" s="33" t="str">
        <f t="shared" si="9"/>
        <v>1</v>
      </c>
      <c r="E130" s="33" t="str">
        <f t="shared" si="10"/>
        <v>2</v>
      </c>
      <c r="F130" s="33" t="str">
        <f t="shared" si="11"/>
        <v>07</v>
      </c>
      <c r="G130" s="33" t="str">
        <f t="shared" si="12"/>
        <v>1</v>
      </c>
      <c r="H130" s="33" t="str">
        <f t="shared" si="13"/>
        <v>0</v>
      </c>
      <c r="I130" s="28">
        <v>12120710</v>
      </c>
      <c r="J130" s="29" t="s">
        <v>233</v>
      </c>
      <c r="K130" s="29" t="s">
        <v>234</v>
      </c>
      <c r="L130" s="29" t="s">
        <v>218</v>
      </c>
      <c r="M130" s="34" t="s">
        <v>22</v>
      </c>
    </row>
    <row r="131" spans="2:13" ht="45">
      <c r="B131" s="32" t="str">
        <f t="shared" ref="B131:B194" si="14">MID($I131,1,1)</f>
        <v>1</v>
      </c>
      <c r="C131" s="33" t="str">
        <f t="shared" ref="C131:C194" si="15">MID($I131,2,1)</f>
        <v>2</v>
      </c>
      <c r="D131" s="33" t="str">
        <f t="shared" ref="D131:D194" si="16">MID($I131,3,1)</f>
        <v>1</v>
      </c>
      <c r="E131" s="33" t="str">
        <f t="shared" ref="E131:E194" si="17">MID($I131,4,1)</f>
        <v>2</v>
      </c>
      <c r="F131" s="33" t="str">
        <f t="shared" ref="F131:F194" si="18">MID($I131,5,2)</f>
        <v>08</v>
      </c>
      <c r="G131" s="33" t="str">
        <f t="shared" ref="G131:G194" si="19">MID($I131,7,1)</f>
        <v>0</v>
      </c>
      <c r="H131" s="33" t="str">
        <f t="shared" ref="H131:H194" si="20">MID($I131,8,1)</f>
        <v>0</v>
      </c>
      <c r="I131" s="28">
        <v>12120800</v>
      </c>
      <c r="J131" s="29" t="s">
        <v>235</v>
      </c>
      <c r="K131" s="29" t="s">
        <v>236</v>
      </c>
      <c r="L131" s="29" t="s">
        <v>218</v>
      </c>
      <c r="M131" s="34" t="s">
        <v>22</v>
      </c>
    </row>
    <row r="132" spans="2:13" ht="45">
      <c r="B132" s="32" t="str">
        <f t="shared" si="14"/>
        <v>1</v>
      </c>
      <c r="C132" s="33" t="str">
        <f t="shared" si="15"/>
        <v>2</v>
      </c>
      <c r="D132" s="33" t="str">
        <f t="shared" si="16"/>
        <v>1</v>
      </c>
      <c r="E132" s="33" t="str">
        <f t="shared" si="17"/>
        <v>2</v>
      </c>
      <c r="F132" s="33" t="str">
        <f t="shared" si="18"/>
        <v>08</v>
      </c>
      <c r="G132" s="33" t="str">
        <f t="shared" si="19"/>
        <v>1</v>
      </c>
      <c r="H132" s="33" t="str">
        <f t="shared" si="20"/>
        <v>0</v>
      </c>
      <c r="I132" s="28">
        <v>12120810</v>
      </c>
      <c r="J132" s="29" t="s">
        <v>235</v>
      </c>
      <c r="K132" s="29" t="s">
        <v>236</v>
      </c>
      <c r="L132" s="29" t="s">
        <v>218</v>
      </c>
      <c r="M132" s="34" t="s">
        <v>22</v>
      </c>
    </row>
    <row r="133" spans="2:13" ht="60">
      <c r="B133" s="32" t="str">
        <f t="shared" si="14"/>
        <v>1</v>
      </c>
      <c r="C133" s="33" t="str">
        <f t="shared" si="15"/>
        <v>2</v>
      </c>
      <c r="D133" s="33" t="str">
        <f t="shared" si="16"/>
        <v>1</v>
      </c>
      <c r="E133" s="33" t="str">
        <f t="shared" si="17"/>
        <v>2</v>
      </c>
      <c r="F133" s="33" t="str">
        <f t="shared" si="18"/>
        <v>09</v>
      </c>
      <c r="G133" s="33" t="str">
        <f t="shared" si="19"/>
        <v>0</v>
      </c>
      <c r="H133" s="33" t="str">
        <f t="shared" si="20"/>
        <v>0</v>
      </c>
      <c r="I133" s="28">
        <v>12120900</v>
      </c>
      <c r="J133" s="29" t="s">
        <v>237</v>
      </c>
      <c r="K133" s="29" t="s">
        <v>238</v>
      </c>
      <c r="L133" s="29" t="s">
        <v>218</v>
      </c>
      <c r="M133" s="34" t="s">
        <v>22</v>
      </c>
    </row>
    <row r="134" spans="2:13" ht="60">
      <c r="B134" s="32" t="str">
        <f t="shared" si="14"/>
        <v>1</v>
      </c>
      <c r="C134" s="33" t="str">
        <f t="shared" si="15"/>
        <v>2</v>
      </c>
      <c r="D134" s="33" t="str">
        <f t="shared" si="16"/>
        <v>1</v>
      </c>
      <c r="E134" s="33" t="str">
        <f t="shared" si="17"/>
        <v>2</v>
      </c>
      <c r="F134" s="33" t="str">
        <f t="shared" si="18"/>
        <v>09</v>
      </c>
      <c r="G134" s="33" t="str">
        <f t="shared" si="19"/>
        <v>1</v>
      </c>
      <c r="H134" s="33" t="str">
        <f t="shared" si="20"/>
        <v>0</v>
      </c>
      <c r="I134" s="28">
        <v>12120910</v>
      </c>
      <c r="J134" s="29" t="s">
        <v>237</v>
      </c>
      <c r="K134" s="29" t="s">
        <v>238</v>
      </c>
      <c r="L134" s="29" t="s">
        <v>218</v>
      </c>
      <c r="M134" s="34" t="s">
        <v>22</v>
      </c>
    </row>
    <row r="135" spans="2:13" ht="45">
      <c r="B135" s="32" t="str">
        <f t="shared" si="14"/>
        <v>1</v>
      </c>
      <c r="C135" s="33" t="str">
        <f t="shared" si="15"/>
        <v>2</v>
      </c>
      <c r="D135" s="33" t="str">
        <f t="shared" si="16"/>
        <v>1</v>
      </c>
      <c r="E135" s="33" t="str">
        <f t="shared" si="17"/>
        <v>2</v>
      </c>
      <c r="F135" s="33" t="str">
        <f t="shared" si="18"/>
        <v>10</v>
      </c>
      <c r="G135" s="33" t="str">
        <f t="shared" si="19"/>
        <v>0</v>
      </c>
      <c r="H135" s="33" t="str">
        <f t="shared" si="20"/>
        <v>0</v>
      </c>
      <c r="I135" s="28">
        <v>12121000</v>
      </c>
      <c r="J135" s="29" t="s">
        <v>239</v>
      </c>
      <c r="K135" s="29" t="s">
        <v>240</v>
      </c>
      <c r="L135" s="29" t="s">
        <v>218</v>
      </c>
      <c r="M135" s="34" t="s">
        <v>22</v>
      </c>
    </row>
    <row r="136" spans="2:13" ht="45">
      <c r="B136" s="32" t="str">
        <f t="shared" si="14"/>
        <v>1</v>
      </c>
      <c r="C136" s="33" t="str">
        <f t="shared" si="15"/>
        <v>2</v>
      </c>
      <c r="D136" s="33" t="str">
        <f t="shared" si="16"/>
        <v>1</v>
      </c>
      <c r="E136" s="33" t="str">
        <f t="shared" si="17"/>
        <v>2</v>
      </c>
      <c r="F136" s="33" t="str">
        <f t="shared" si="18"/>
        <v>10</v>
      </c>
      <c r="G136" s="33" t="str">
        <f t="shared" si="19"/>
        <v>1</v>
      </c>
      <c r="H136" s="33" t="str">
        <f t="shared" si="20"/>
        <v>0</v>
      </c>
      <c r="I136" s="28">
        <v>12121010</v>
      </c>
      <c r="J136" s="29" t="s">
        <v>239</v>
      </c>
      <c r="K136" s="29" t="s">
        <v>240</v>
      </c>
      <c r="L136" s="29" t="s">
        <v>218</v>
      </c>
      <c r="M136" s="34" t="s">
        <v>22</v>
      </c>
    </row>
    <row r="137" spans="2:13" ht="60">
      <c r="B137" s="32" t="str">
        <f t="shared" si="14"/>
        <v>1</v>
      </c>
      <c r="C137" s="33" t="str">
        <f t="shared" si="15"/>
        <v>2</v>
      </c>
      <c r="D137" s="33" t="str">
        <f t="shared" si="16"/>
        <v>1</v>
      </c>
      <c r="E137" s="33" t="str">
        <f t="shared" si="17"/>
        <v>2</v>
      </c>
      <c r="F137" s="33" t="str">
        <f t="shared" si="18"/>
        <v>11</v>
      </c>
      <c r="G137" s="33" t="str">
        <f t="shared" si="19"/>
        <v>0</v>
      </c>
      <c r="H137" s="33" t="str">
        <f t="shared" si="20"/>
        <v>0</v>
      </c>
      <c r="I137" s="28">
        <v>12121100</v>
      </c>
      <c r="J137" s="29" t="s">
        <v>241</v>
      </c>
      <c r="K137" s="29" t="s">
        <v>242</v>
      </c>
      <c r="L137" s="29" t="s">
        <v>218</v>
      </c>
      <c r="M137" s="34" t="s">
        <v>22</v>
      </c>
    </row>
    <row r="138" spans="2:13" ht="60">
      <c r="B138" s="32" t="str">
        <f t="shared" si="14"/>
        <v>1</v>
      </c>
      <c r="C138" s="33" t="str">
        <f t="shared" si="15"/>
        <v>2</v>
      </c>
      <c r="D138" s="33" t="str">
        <f t="shared" si="16"/>
        <v>1</v>
      </c>
      <c r="E138" s="33" t="str">
        <f t="shared" si="17"/>
        <v>2</v>
      </c>
      <c r="F138" s="33" t="str">
        <f t="shared" si="18"/>
        <v>11</v>
      </c>
      <c r="G138" s="33" t="str">
        <f t="shared" si="19"/>
        <v>1</v>
      </c>
      <c r="H138" s="33" t="str">
        <f t="shared" si="20"/>
        <v>0</v>
      </c>
      <c r="I138" s="28">
        <v>12121110</v>
      </c>
      <c r="J138" s="29" t="s">
        <v>241</v>
      </c>
      <c r="K138" s="29" t="s">
        <v>242</v>
      </c>
      <c r="L138" s="29" t="s">
        <v>218</v>
      </c>
      <c r="M138" s="34" t="s">
        <v>22</v>
      </c>
    </row>
    <row r="139" spans="2:13" ht="60">
      <c r="B139" s="32" t="str">
        <f t="shared" si="14"/>
        <v>1</v>
      </c>
      <c r="C139" s="33" t="str">
        <f t="shared" si="15"/>
        <v>2</v>
      </c>
      <c r="D139" s="33" t="str">
        <f t="shared" si="16"/>
        <v>1</v>
      </c>
      <c r="E139" s="33" t="str">
        <f t="shared" si="17"/>
        <v>2</v>
      </c>
      <c r="F139" s="33" t="str">
        <f t="shared" si="18"/>
        <v>12</v>
      </c>
      <c r="G139" s="33" t="str">
        <f t="shared" si="19"/>
        <v>0</v>
      </c>
      <c r="H139" s="33" t="str">
        <f t="shared" si="20"/>
        <v>0</v>
      </c>
      <c r="I139" s="28">
        <v>12121200</v>
      </c>
      <c r="J139" s="29" t="s">
        <v>243</v>
      </c>
      <c r="K139" s="29" t="s">
        <v>244</v>
      </c>
      <c r="L139" s="29" t="s">
        <v>218</v>
      </c>
      <c r="M139" s="34" t="s">
        <v>22</v>
      </c>
    </row>
    <row r="140" spans="2:13" ht="60">
      <c r="B140" s="32" t="str">
        <f t="shared" si="14"/>
        <v>1</v>
      </c>
      <c r="C140" s="33" t="str">
        <f t="shared" si="15"/>
        <v>2</v>
      </c>
      <c r="D140" s="33" t="str">
        <f t="shared" si="16"/>
        <v>1</v>
      </c>
      <c r="E140" s="33" t="str">
        <f t="shared" si="17"/>
        <v>2</v>
      </c>
      <c r="F140" s="33" t="str">
        <f t="shared" si="18"/>
        <v>12</v>
      </c>
      <c r="G140" s="33" t="str">
        <f t="shared" si="19"/>
        <v>1</v>
      </c>
      <c r="H140" s="33" t="str">
        <f t="shared" si="20"/>
        <v>0</v>
      </c>
      <c r="I140" s="28">
        <v>12121210</v>
      </c>
      <c r="J140" s="29" t="s">
        <v>243</v>
      </c>
      <c r="K140" s="29" t="s">
        <v>244</v>
      </c>
      <c r="L140" s="29" t="s">
        <v>218</v>
      </c>
      <c r="M140" s="34" t="s">
        <v>22</v>
      </c>
    </row>
    <row r="141" spans="2:13" ht="45">
      <c r="B141" s="32" t="str">
        <f t="shared" si="14"/>
        <v>1</v>
      </c>
      <c r="C141" s="33" t="str">
        <f t="shared" si="15"/>
        <v>2</v>
      </c>
      <c r="D141" s="33" t="str">
        <f t="shared" si="16"/>
        <v>1</v>
      </c>
      <c r="E141" s="33" t="str">
        <f t="shared" si="17"/>
        <v>2</v>
      </c>
      <c r="F141" s="33" t="str">
        <f t="shared" si="18"/>
        <v>49</v>
      </c>
      <c r="G141" s="33" t="str">
        <f t="shared" si="19"/>
        <v>0</v>
      </c>
      <c r="H141" s="33" t="str">
        <f t="shared" si="20"/>
        <v>0</v>
      </c>
      <c r="I141" s="28">
        <v>12124900</v>
      </c>
      <c r="J141" s="29" t="s">
        <v>245</v>
      </c>
      <c r="K141" s="29" t="s">
        <v>246</v>
      </c>
      <c r="L141" s="29"/>
      <c r="M141" s="34"/>
    </row>
    <row r="142" spans="2:13" ht="45">
      <c r="B142" s="32" t="str">
        <f t="shared" si="14"/>
        <v>1</v>
      </c>
      <c r="C142" s="33" t="str">
        <f t="shared" si="15"/>
        <v>2</v>
      </c>
      <c r="D142" s="33" t="str">
        <f t="shared" si="16"/>
        <v>1</v>
      </c>
      <c r="E142" s="33" t="str">
        <f t="shared" si="17"/>
        <v>2</v>
      </c>
      <c r="F142" s="33" t="str">
        <f t="shared" si="18"/>
        <v>49</v>
      </c>
      <c r="G142" s="33" t="str">
        <f t="shared" si="19"/>
        <v>1</v>
      </c>
      <c r="H142" s="33" t="str">
        <f t="shared" si="20"/>
        <v>0</v>
      </c>
      <c r="I142" s="28">
        <v>12124910</v>
      </c>
      <c r="J142" s="29" t="s">
        <v>245</v>
      </c>
      <c r="K142" s="29" t="s">
        <v>246</v>
      </c>
      <c r="L142" s="29"/>
      <c r="M142" s="34"/>
    </row>
    <row r="143" spans="2:13" ht="28.5" customHeight="1">
      <c r="B143" s="32" t="str">
        <f t="shared" si="14"/>
        <v>1</v>
      </c>
      <c r="C143" s="33" t="str">
        <f t="shared" si="15"/>
        <v>2</v>
      </c>
      <c r="D143" s="33" t="str">
        <f t="shared" si="16"/>
        <v>1</v>
      </c>
      <c r="E143" s="33" t="str">
        <f t="shared" si="17"/>
        <v>3</v>
      </c>
      <c r="F143" s="33" t="str">
        <f t="shared" si="18"/>
        <v>00</v>
      </c>
      <c r="G143" s="33" t="str">
        <f t="shared" si="19"/>
        <v>0</v>
      </c>
      <c r="H143" s="33" t="str">
        <f t="shared" si="20"/>
        <v>0</v>
      </c>
      <c r="I143" s="28">
        <v>12130000</v>
      </c>
      <c r="J143" s="29" t="s">
        <v>247</v>
      </c>
      <c r="K143" s="29" t="s">
        <v>248</v>
      </c>
      <c r="L143" s="29"/>
      <c r="M143" s="34"/>
    </row>
    <row r="144" spans="2:13">
      <c r="B144" s="32" t="str">
        <f t="shared" si="14"/>
        <v>1</v>
      </c>
      <c r="C144" s="33" t="str">
        <f t="shared" si="15"/>
        <v>2</v>
      </c>
      <c r="D144" s="33" t="str">
        <f t="shared" si="16"/>
        <v>1</v>
      </c>
      <c r="E144" s="33" t="str">
        <f t="shared" si="17"/>
        <v>3</v>
      </c>
      <c r="F144" s="33" t="str">
        <f t="shared" si="18"/>
        <v>01</v>
      </c>
      <c r="G144" s="33" t="str">
        <f t="shared" si="19"/>
        <v>0</v>
      </c>
      <c r="H144" s="33" t="str">
        <f t="shared" si="20"/>
        <v>0</v>
      </c>
      <c r="I144" s="28">
        <v>12130100</v>
      </c>
      <c r="J144" s="29" t="s">
        <v>247</v>
      </c>
      <c r="K144" s="29" t="s">
        <v>249</v>
      </c>
      <c r="L144" s="29" t="s">
        <v>218</v>
      </c>
      <c r="M144" s="34"/>
    </row>
    <row r="145" spans="2:13" ht="30">
      <c r="B145" s="32" t="str">
        <f t="shared" si="14"/>
        <v>1</v>
      </c>
      <c r="C145" s="33" t="str">
        <f t="shared" si="15"/>
        <v>2</v>
      </c>
      <c r="D145" s="33" t="str">
        <f t="shared" si="16"/>
        <v>1</v>
      </c>
      <c r="E145" s="33" t="str">
        <f t="shared" si="17"/>
        <v>3</v>
      </c>
      <c r="F145" s="33" t="str">
        <f t="shared" si="18"/>
        <v>01</v>
      </c>
      <c r="G145" s="33" t="str">
        <f t="shared" si="19"/>
        <v>1</v>
      </c>
      <c r="H145" s="33" t="str">
        <f t="shared" si="20"/>
        <v>0</v>
      </c>
      <c r="I145" s="28">
        <v>12130110</v>
      </c>
      <c r="J145" s="29" t="s">
        <v>250</v>
      </c>
      <c r="K145" s="29" t="s">
        <v>251</v>
      </c>
      <c r="L145" s="29" t="s">
        <v>218</v>
      </c>
      <c r="M145" s="34"/>
    </row>
    <row r="146" spans="2:13" ht="30">
      <c r="B146" s="32" t="str">
        <f t="shared" si="14"/>
        <v>1</v>
      </c>
      <c r="C146" s="33" t="str">
        <f t="shared" si="15"/>
        <v>2</v>
      </c>
      <c r="D146" s="33" t="str">
        <f t="shared" si="16"/>
        <v>1</v>
      </c>
      <c r="E146" s="33" t="str">
        <f t="shared" si="17"/>
        <v>3</v>
      </c>
      <c r="F146" s="33" t="str">
        <f t="shared" si="18"/>
        <v>01</v>
      </c>
      <c r="G146" s="33" t="str">
        <f t="shared" si="19"/>
        <v>2</v>
      </c>
      <c r="H146" s="33" t="str">
        <f t="shared" si="20"/>
        <v>0</v>
      </c>
      <c r="I146" s="28">
        <v>12130120</v>
      </c>
      <c r="J146" s="29" t="s">
        <v>252</v>
      </c>
      <c r="K146" s="29" t="s">
        <v>253</v>
      </c>
      <c r="L146" s="29" t="s">
        <v>218</v>
      </c>
      <c r="M146" s="34"/>
    </row>
    <row r="147" spans="2:13" ht="30">
      <c r="B147" s="32" t="str">
        <f t="shared" si="14"/>
        <v>1</v>
      </c>
      <c r="C147" s="33" t="str">
        <f t="shared" si="15"/>
        <v>2</v>
      </c>
      <c r="D147" s="33" t="str">
        <f t="shared" si="16"/>
        <v>1</v>
      </c>
      <c r="E147" s="33" t="str">
        <f t="shared" si="17"/>
        <v>3</v>
      </c>
      <c r="F147" s="33" t="str">
        <f t="shared" si="18"/>
        <v>02</v>
      </c>
      <c r="G147" s="33" t="str">
        <f t="shared" si="19"/>
        <v>0</v>
      </c>
      <c r="H147" s="33" t="str">
        <f t="shared" si="20"/>
        <v>0</v>
      </c>
      <c r="I147" s="28">
        <v>12130200</v>
      </c>
      <c r="J147" s="29" t="s">
        <v>254</v>
      </c>
      <c r="K147" s="29" t="s">
        <v>255</v>
      </c>
      <c r="L147" s="29" t="s">
        <v>218</v>
      </c>
      <c r="M147" s="34" t="s">
        <v>22</v>
      </c>
    </row>
    <row r="148" spans="2:13" ht="30">
      <c r="B148" s="32" t="str">
        <f t="shared" si="14"/>
        <v>1</v>
      </c>
      <c r="C148" s="33" t="str">
        <f t="shared" si="15"/>
        <v>2</v>
      </c>
      <c r="D148" s="33" t="str">
        <f t="shared" si="16"/>
        <v>1</v>
      </c>
      <c r="E148" s="33" t="str">
        <f t="shared" si="17"/>
        <v>3</v>
      </c>
      <c r="F148" s="33" t="str">
        <f t="shared" si="18"/>
        <v>02</v>
      </c>
      <c r="G148" s="33" t="str">
        <f t="shared" si="19"/>
        <v>1</v>
      </c>
      <c r="H148" s="33" t="str">
        <f t="shared" si="20"/>
        <v>0</v>
      </c>
      <c r="I148" s="28">
        <v>12130210</v>
      </c>
      <c r="J148" s="29" t="s">
        <v>254</v>
      </c>
      <c r="K148" s="29" t="s">
        <v>255</v>
      </c>
      <c r="L148" s="29" t="s">
        <v>218</v>
      </c>
      <c r="M148" s="34" t="s">
        <v>22</v>
      </c>
    </row>
    <row r="149" spans="2:13" ht="30">
      <c r="B149" s="32" t="str">
        <f t="shared" si="14"/>
        <v>1</v>
      </c>
      <c r="C149" s="33" t="str">
        <f t="shared" si="15"/>
        <v>2</v>
      </c>
      <c r="D149" s="33" t="str">
        <f t="shared" si="16"/>
        <v>1</v>
      </c>
      <c r="E149" s="33" t="str">
        <f t="shared" si="17"/>
        <v>3</v>
      </c>
      <c r="F149" s="33" t="str">
        <f t="shared" si="18"/>
        <v>03</v>
      </c>
      <c r="G149" s="33" t="str">
        <f t="shared" si="19"/>
        <v>0</v>
      </c>
      <c r="H149" s="33" t="str">
        <f t="shared" si="20"/>
        <v>0</v>
      </c>
      <c r="I149" s="28">
        <v>12130300</v>
      </c>
      <c r="J149" s="29" t="s">
        <v>256</v>
      </c>
      <c r="K149" s="29" t="s">
        <v>257</v>
      </c>
      <c r="L149" s="29" t="s">
        <v>218</v>
      </c>
      <c r="M149" s="34" t="s">
        <v>22</v>
      </c>
    </row>
    <row r="150" spans="2:13" ht="30">
      <c r="B150" s="32" t="str">
        <f t="shared" si="14"/>
        <v>1</v>
      </c>
      <c r="C150" s="33" t="str">
        <f t="shared" si="15"/>
        <v>2</v>
      </c>
      <c r="D150" s="33" t="str">
        <f t="shared" si="16"/>
        <v>1</v>
      </c>
      <c r="E150" s="33" t="str">
        <f t="shared" si="17"/>
        <v>3</v>
      </c>
      <c r="F150" s="33" t="str">
        <f t="shared" si="18"/>
        <v>03</v>
      </c>
      <c r="G150" s="33" t="str">
        <f t="shared" si="19"/>
        <v>1</v>
      </c>
      <c r="H150" s="33" t="str">
        <f t="shared" si="20"/>
        <v>0</v>
      </c>
      <c r="I150" s="28">
        <v>12130310</v>
      </c>
      <c r="J150" s="29" t="s">
        <v>256</v>
      </c>
      <c r="K150" s="29" t="s">
        <v>257</v>
      </c>
      <c r="L150" s="29" t="s">
        <v>218</v>
      </c>
      <c r="M150" s="34" t="s">
        <v>22</v>
      </c>
    </row>
    <row r="151" spans="2:13" ht="30">
      <c r="B151" s="32" t="str">
        <f t="shared" si="14"/>
        <v>1</v>
      </c>
      <c r="C151" s="33" t="str">
        <f t="shared" si="15"/>
        <v>2</v>
      </c>
      <c r="D151" s="33" t="str">
        <f t="shared" si="16"/>
        <v>1</v>
      </c>
      <c r="E151" s="33" t="str">
        <f t="shared" si="17"/>
        <v>3</v>
      </c>
      <c r="F151" s="33" t="str">
        <f t="shared" si="18"/>
        <v>49</v>
      </c>
      <c r="G151" s="33" t="str">
        <f t="shared" si="19"/>
        <v>0</v>
      </c>
      <c r="H151" s="33" t="str">
        <f t="shared" si="20"/>
        <v>0</v>
      </c>
      <c r="I151" s="28">
        <v>12134900</v>
      </c>
      <c r="J151" s="29" t="s">
        <v>258</v>
      </c>
      <c r="K151" s="29" t="s">
        <v>259</v>
      </c>
      <c r="L151" s="29"/>
      <c r="M151" s="34"/>
    </row>
    <row r="152" spans="2:13" ht="45">
      <c r="B152" s="32" t="str">
        <f t="shared" si="14"/>
        <v>1</v>
      </c>
      <c r="C152" s="33" t="str">
        <f t="shared" si="15"/>
        <v>2</v>
      </c>
      <c r="D152" s="33" t="str">
        <f t="shared" si="16"/>
        <v>1</v>
      </c>
      <c r="E152" s="33" t="str">
        <f t="shared" si="17"/>
        <v>3</v>
      </c>
      <c r="F152" s="33" t="str">
        <f t="shared" si="18"/>
        <v>49</v>
      </c>
      <c r="G152" s="33" t="str">
        <f t="shared" si="19"/>
        <v>1</v>
      </c>
      <c r="H152" s="33" t="str">
        <f t="shared" si="20"/>
        <v>0</v>
      </c>
      <c r="I152" s="28">
        <v>12134910</v>
      </c>
      <c r="J152" s="29" t="s">
        <v>258</v>
      </c>
      <c r="K152" s="29" t="s">
        <v>260</v>
      </c>
      <c r="L152" s="29"/>
      <c r="M152" s="34"/>
    </row>
    <row r="153" spans="2:13" ht="45">
      <c r="B153" s="32" t="str">
        <f t="shared" si="14"/>
        <v>1</v>
      </c>
      <c r="C153" s="33" t="str">
        <f t="shared" si="15"/>
        <v>2</v>
      </c>
      <c r="D153" s="33" t="str">
        <f t="shared" si="16"/>
        <v>1</v>
      </c>
      <c r="E153" s="33" t="str">
        <f t="shared" si="17"/>
        <v>3</v>
      </c>
      <c r="F153" s="33" t="str">
        <f t="shared" si="18"/>
        <v>99</v>
      </c>
      <c r="G153" s="33" t="str">
        <f t="shared" si="19"/>
        <v>0</v>
      </c>
      <c r="H153" s="33" t="str">
        <f t="shared" si="20"/>
        <v>0</v>
      </c>
      <c r="I153" s="28">
        <v>12139900</v>
      </c>
      <c r="J153" s="29" t="s">
        <v>261</v>
      </c>
      <c r="K153" s="29" t="s">
        <v>262</v>
      </c>
      <c r="L153" s="29" t="s">
        <v>218</v>
      </c>
      <c r="M153" s="34" t="s">
        <v>22</v>
      </c>
    </row>
    <row r="154" spans="2:13" ht="45">
      <c r="B154" s="32" t="str">
        <f t="shared" si="14"/>
        <v>1</v>
      </c>
      <c r="C154" s="33" t="str">
        <f t="shared" si="15"/>
        <v>2</v>
      </c>
      <c r="D154" s="33" t="str">
        <f t="shared" si="16"/>
        <v>1</v>
      </c>
      <c r="E154" s="33" t="str">
        <f t="shared" si="17"/>
        <v>3</v>
      </c>
      <c r="F154" s="33" t="str">
        <f t="shared" si="18"/>
        <v>99</v>
      </c>
      <c r="G154" s="33" t="str">
        <f t="shared" si="19"/>
        <v>1</v>
      </c>
      <c r="H154" s="33" t="str">
        <f t="shared" si="20"/>
        <v>0</v>
      </c>
      <c r="I154" s="28">
        <v>12139910</v>
      </c>
      <c r="J154" s="29" t="s">
        <v>261</v>
      </c>
      <c r="K154" s="29" t="s">
        <v>262</v>
      </c>
      <c r="L154" s="29" t="s">
        <v>218</v>
      </c>
      <c r="M154" s="34" t="s">
        <v>22</v>
      </c>
    </row>
    <row r="155" spans="2:13" ht="30">
      <c r="B155" s="32" t="str">
        <f t="shared" si="14"/>
        <v>1</v>
      </c>
      <c r="C155" s="33" t="str">
        <f t="shared" si="15"/>
        <v>2</v>
      </c>
      <c r="D155" s="33" t="str">
        <f t="shared" si="16"/>
        <v>1</v>
      </c>
      <c r="E155" s="33" t="str">
        <f t="shared" si="17"/>
        <v>4</v>
      </c>
      <c r="F155" s="33" t="str">
        <f t="shared" si="18"/>
        <v>00</v>
      </c>
      <c r="G155" s="33" t="str">
        <f t="shared" si="19"/>
        <v>0</v>
      </c>
      <c r="H155" s="33" t="str">
        <f t="shared" si="20"/>
        <v>0</v>
      </c>
      <c r="I155" s="28">
        <v>12140000</v>
      </c>
      <c r="J155" s="29" t="s">
        <v>263</v>
      </c>
      <c r="K155" s="29" t="s">
        <v>264</v>
      </c>
      <c r="L155" s="29"/>
      <c r="M155" s="34"/>
    </row>
    <row r="156" spans="2:13" ht="120">
      <c r="B156" s="32" t="str">
        <f t="shared" si="14"/>
        <v>1</v>
      </c>
      <c r="C156" s="33" t="str">
        <f t="shared" si="15"/>
        <v>2</v>
      </c>
      <c r="D156" s="33" t="str">
        <f t="shared" si="16"/>
        <v>1</v>
      </c>
      <c r="E156" s="33" t="str">
        <f t="shared" si="17"/>
        <v>4</v>
      </c>
      <c r="F156" s="33" t="str">
        <f t="shared" si="18"/>
        <v>01</v>
      </c>
      <c r="G156" s="33" t="str">
        <f t="shared" si="19"/>
        <v>0</v>
      </c>
      <c r="H156" s="33" t="str">
        <f t="shared" si="20"/>
        <v>0</v>
      </c>
      <c r="I156" s="28">
        <v>12140100</v>
      </c>
      <c r="J156" s="29" t="s">
        <v>265</v>
      </c>
      <c r="K156" s="29" t="s">
        <v>266</v>
      </c>
      <c r="L156" s="29" t="s">
        <v>218</v>
      </c>
      <c r="M156" s="34"/>
    </row>
    <row r="157" spans="2:13" ht="165">
      <c r="B157" s="32" t="str">
        <f t="shared" si="14"/>
        <v>1</v>
      </c>
      <c r="C157" s="33" t="str">
        <f t="shared" si="15"/>
        <v>2</v>
      </c>
      <c r="D157" s="33" t="str">
        <f t="shared" si="16"/>
        <v>1</v>
      </c>
      <c r="E157" s="33" t="str">
        <f t="shared" si="17"/>
        <v>4</v>
      </c>
      <c r="F157" s="33" t="str">
        <f t="shared" si="18"/>
        <v>01</v>
      </c>
      <c r="G157" s="33" t="str">
        <f t="shared" si="19"/>
        <v>1</v>
      </c>
      <c r="H157" s="33" t="str">
        <f t="shared" si="20"/>
        <v>0</v>
      </c>
      <c r="I157" s="28">
        <v>12140110</v>
      </c>
      <c r="J157" s="29" t="s">
        <v>267</v>
      </c>
      <c r="K157" s="29" t="s">
        <v>268</v>
      </c>
      <c r="L157" s="29" t="s">
        <v>218</v>
      </c>
      <c r="M157" s="34"/>
    </row>
    <row r="158" spans="2:13" ht="120">
      <c r="B158" s="32" t="str">
        <f t="shared" si="14"/>
        <v>1</v>
      </c>
      <c r="C158" s="33" t="str">
        <f t="shared" si="15"/>
        <v>2</v>
      </c>
      <c r="D158" s="33" t="str">
        <f t="shared" si="16"/>
        <v>1</v>
      </c>
      <c r="E158" s="33" t="str">
        <f t="shared" si="17"/>
        <v>4</v>
      </c>
      <c r="F158" s="33" t="str">
        <f t="shared" si="18"/>
        <v>01</v>
      </c>
      <c r="G158" s="33" t="str">
        <f t="shared" si="19"/>
        <v>2</v>
      </c>
      <c r="H158" s="33" t="str">
        <f t="shared" si="20"/>
        <v>0</v>
      </c>
      <c r="I158" s="28">
        <v>12140120</v>
      </c>
      <c r="J158" s="29" t="s">
        <v>269</v>
      </c>
      <c r="K158" s="29" t="s">
        <v>270</v>
      </c>
      <c r="L158" s="29" t="s">
        <v>218</v>
      </c>
      <c r="M158" s="34"/>
    </row>
    <row r="159" spans="2:13" ht="45">
      <c r="B159" s="32" t="str">
        <f t="shared" si="14"/>
        <v>1</v>
      </c>
      <c r="C159" s="33" t="str">
        <f t="shared" si="15"/>
        <v>2</v>
      </c>
      <c r="D159" s="33" t="str">
        <f t="shared" si="16"/>
        <v>1</v>
      </c>
      <c r="E159" s="33" t="str">
        <f t="shared" si="17"/>
        <v>4</v>
      </c>
      <c r="F159" s="33" t="str">
        <f t="shared" si="18"/>
        <v>02</v>
      </c>
      <c r="G159" s="33" t="str">
        <f t="shared" si="19"/>
        <v>0</v>
      </c>
      <c r="H159" s="33" t="str">
        <f t="shared" si="20"/>
        <v>0</v>
      </c>
      <c r="I159" s="28">
        <v>12140200</v>
      </c>
      <c r="J159" s="29" t="s">
        <v>271</v>
      </c>
      <c r="K159" s="29" t="s">
        <v>272</v>
      </c>
      <c r="L159" s="29" t="s">
        <v>218</v>
      </c>
      <c r="M159" s="34"/>
    </row>
    <row r="160" spans="2:13" ht="45">
      <c r="B160" s="32" t="str">
        <f t="shared" si="14"/>
        <v>1</v>
      </c>
      <c r="C160" s="33" t="str">
        <f t="shared" si="15"/>
        <v>2</v>
      </c>
      <c r="D160" s="33" t="str">
        <f t="shared" si="16"/>
        <v>1</v>
      </c>
      <c r="E160" s="33" t="str">
        <f t="shared" si="17"/>
        <v>4</v>
      </c>
      <c r="F160" s="33" t="str">
        <f t="shared" si="18"/>
        <v>02</v>
      </c>
      <c r="G160" s="33" t="str">
        <f t="shared" si="19"/>
        <v>1</v>
      </c>
      <c r="H160" s="33" t="str">
        <f t="shared" si="20"/>
        <v>0</v>
      </c>
      <c r="I160" s="28">
        <v>12140210</v>
      </c>
      <c r="J160" s="29" t="s">
        <v>271</v>
      </c>
      <c r="K160" s="29" t="s">
        <v>273</v>
      </c>
      <c r="L160" s="29" t="s">
        <v>218</v>
      </c>
      <c r="M160" s="34"/>
    </row>
    <row r="161" spans="2:13" ht="30">
      <c r="B161" s="32" t="str">
        <f t="shared" si="14"/>
        <v>1</v>
      </c>
      <c r="C161" s="33" t="str">
        <f t="shared" si="15"/>
        <v>2</v>
      </c>
      <c r="D161" s="33" t="str">
        <f t="shared" si="16"/>
        <v>1</v>
      </c>
      <c r="E161" s="33" t="str">
        <f t="shared" si="17"/>
        <v>4</v>
      </c>
      <c r="F161" s="33" t="str">
        <f t="shared" si="18"/>
        <v>03</v>
      </c>
      <c r="G161" s="33" t="str">
        <f t="shared" si="19"/>
        <v>0</v>
      </c>
      <c r="H161" s="33" t="str">
        <f t="shared" si="20"/>
        <v>0</v>
      </c>
      <c r="I161" s="28">
        <v>12140300</v>
      </c>
      <c r="J161" s="29" t="s">
        <v>274</v>
      </c>
      <c r="K161" s="29" t="s">
        <v>275</v>
      </c>
      <c r="L161" s="29" t="s">
        <v>218</v>
      </c>
      <c r="M161" s="34" t="s">
        <v>22</v>
      </c>
    </row>
    <row r="162" spans="2:13" ht="45">
      <c r="B162" s="32" t="str">
        <f t="shared" si="14"/>
        <v>1</v>
      </c>
      <c r="C162" s="33" t="str">
        <f t="shared" si="15"/>
        <v>2</v>
      </c>
      <c r="D162" s="33" t="str">
        <f t="shared" si="16"/>
        <v>1</v>
      </c>
      <c r="E162" s="33" t="str">
        <f t="shared" si="17"/>
        <v>4</v>
      </c>
      <c r="F162" s="33" t="str">
        <f t="shared" si="18"/>
        <v>03</v>
      </c>
      <c r="G162" s="33" t="str">
        <f t="shared" si="19"/>
        <v>1</v>
      </c>
      <c r="H162" s="33" t="str">
        <f t="shared" si="20"/>
        <v>0</v>
      </c>
      <c r="I162" s="28">
        <v>12140310</v>
      </c>
      <c r="J162" s="29" t="s">
        <v>276</v>
      </c>
      <c r="K162" s="29" t="s">
        <v>277</v>
      </c>
      <c r="L162" s="29" t="s">
        <v>218</v>
      </c>
      <c r="M162" s="34" t="s">
        <v>22</v>
      </c>
    </row>
    <row r="163" spans="2:13" ht="45">
      <c r="B163" s="32" t="str">
        <f t="shared" si="14"/>
        <v>1</v>
      </c>
      <c r="C163" s="33" t="str">
        <f t="shared" si="15"/>
        <v>2</v>
      </c>
      <c r="D163" s="33" t="str">
        <f t="shared" si="16"/>
        <v>1</v>
      </c>
      <c r="E163" s="33" t="str">
        <f t="shared" si="17"/>
        <v>4</v>
      </c>
      <c r="F163" s="33" t="str">
        <f t="shared" si="18"/>
        <v>03</v>
      </c>
      <c r="G163" s="33" t="str">
        <f t="shared" si="19"/>
        <v>2</v>
      </c>
      <c r="H163" s="33" t="str">
        <f t="shared" si="20"/>
        <v>0</v>
      </c>
      <c r="I163" s="28">
        <v>12140320</v>
      </c>
      <c r="J163" s="29" t="s">
        <v>278</v>
      </c>
      <c r="K163" s="29" t="s">
        <v>279</v>
      </c>
      <c r="L163" s="29" t="s">
        <v>218</v>
      </c>
      <c r="M163" s="34" t="s">
        <v>22</v>
      </c>
    </row>
    <row r="164" spans="2:13" ht="45">
      <c r="B164" s="32" t="str">
        <f t="shared" si="14"/>
        <v>1</v>
      </c>
      <c r="C164" s="33" t="str">
        <f t="shared" si="15"/>
        <v>2</v>
      </c>
      <c r="D164" s="33" t="str">
        <f t="shared" si="16"/>
        <v>1</v>
      </c>
      <c r="E164" s="33" t="str">
        <f t="shared" si="17"/>
        <v>4</v>
      </c>
      <c r="F164" s="33" t="str">
        <f t="shared" si="18"/>
        <v>03</v>
      </c>
      <c r="G164" s="33" t="str">
        <f t="shared" si="19"/>
        <v>3</v>
      </c>
      <c r="H164" s="33" t="str">
        <f t="shared" si="20"/>
        <v>0</v>
      </c>
      <c r="I164" s="28">
        <v>12140330</v>
      </c>
      <c r="J164" s="29" t="s">
        <v>280</v>
      </c>
      <c r="K164" s="29" t="s">
        <v>281</v>
      </c>
      <c r="L164" s="29" t="s">
        <v>218</v>
      </c>
      <c r="M164" s="34" t="s">
        <v>22</v>
      </c>
    </row>
    <row r="165" spans="2:13" ht="45">
      <c r="B165" s="32" t="str">
        <f t="shared" si="14"/>
        <v>1</v>
      </c>
      <c r="C165" s="33" t="str">
        <f t="shared" si="15"/>
        <v>2</v>
      </c>
      <c r="D165" s="33" t="str">
        <f t="shared" si="16"/>
        <v>1</v>
      </c>
      <c r="E165" s="33" t="str">
        <f t="shared" si="17"/>
        <v>4</v>
      </c>
      <c r="F165" s="33" t="str">
        <f t="shared" si="18"/>
        <v>03</v>
      </c>
      <c r="G165" s="33" t="str">
        <f t="shared" si="19"/>
        <v>4</v>
      </c>
      <c r="H165" s="33" t="str">
        <f t="shared" si="20"/>
        <v>0</v>
      </c>
      <c r="I165" s="28">
        <v>12140340</v>
      </c>
      <c r="J165" s="29" t="s">
        <v>282</v>
      </c>
      <c r="K165" s="29" t="s">
        <v>283</v>
      </c>
      <c r="L165" s="29" t="s">
        <v>218</v>
      </c>
      <c r="M165" s="34" t="s">
        <v>22</v>
      </c>
    </row>
    <row r="166" spans="2:13" ht="45">
      <c r="B166" s="32" t="str">
        <f t="shared" si="14"/>
        <v>1</v>
      </c>
      <c r="C166" s="33" t="str">
        <f t="shared" si="15"/>
        <v>2</v>
      </c>
      <c r="D166" s="33" t="str">
        <f t="shared" si="16"/>
        <v>1</v>
      </c>
      <c r="E166" s="33" t="str">
        <f t="shared" si="17"/>
        <v>4</v>
      </c>
      <c r="F166" s="33" t="str">
        <f t="shared" si="18"/>
        <v>03</v>
      </c>
      <c r="G166" s="33" t="str">
        <f t="shared" si="19"/>
        <v>5</v>
      </c>
      <c r="H166" s="33" t="str">
        <f t="shared" si="20"/>
        <v>0</v>
      </c>
      <c r="I166" s="28">
        <v>12140350</v>
      </c>
      <c r="J166" s="29" t="s">
        <v>284</v>
      </c>
      <c r="K166" s="29" t="s">
        <v>285</v>
      </c>
      <c r="L166" s="29" t="s">
        <v>218</v>
      </c>
      <c r="M166" s="34" t="s">
        <v>22</v>
      </c>
    </row>
    <row r="167" spans="2:13" ht="30">
      <c r="B167" s="32" t="str">
        <f t="shared" si="14"/>
        <v>1</v>
      </c>
      <c r="C167" s="33" t="str">
        <f t="shared" si="15"/>
        <v>2</v>
      </c>
      <c r="D167" s="33" t="str">
        <f t="shared" si="16"/>
        <v>1</v>
      </c>
      <c r="E167" s="33" t="str">
        <f t="shared" si="17"/>
        <v>4</v>
      </c>
      <c r="F167" s="33" t="str">
        <f t="shared" si="18"/>
        <v>04</v>
      </c>
      <c r="G167" s="33" t="str">
        <f t="shared" si="19"/>
        <v>0</v>
      </c>
      <c r="H167" s="33" t="str">
        <f t="shared" si="20"/>
        <v>0</v>
      </c>
      <c r="I167" s="28">
        <v>12140400</v>
      </c>
      <c r="J167" s="29" t="s">
        <v>286</v>
      </c>
      <c r="K167" s="29" t="s">
        <v>287</v>
      </c>
      <c r="L167" s="29" t="s">
        <v>218</v>
      </c>
      <c r="M167" s="34" t="s">
        <v>22</v>
      </c>
    </row>
    <row r="168" spans="2:13" ht="30">
      <c r="B168" s="32" t="str">
        <f t="shared" si="14"/>
        <v>1</v>
      </c>
      <c r="C168" s="33" t="str">
        <f t="shared" si="15"/>
        <v>2</v>
      </c>
      <c r="D168" s="33" t="str">
        <f t="shared" si="16"/>
        <v>1</v>
      </c>
      <c r="E168" s="33" t="str">
        <f t="shared" si="17"/>
        <v>4</v>
      </c>
      <c r="F168" s="33" t="str">
        <f t="shared" si="18"/>
        <v>04</v>
      </c>
      <c r="G168" s="33" t="str">
        <f t="shared" si="19"/>
        <v>1</v>
      </c>
      <c r="H168" s="33" t="str">
        <f t="shared" si="20"/>
        <v>0</v>
      </c>
      <c r="I168" s="28">
        <v>12140410</v>
      </c>
      <c r="J168" s="29" t="s">
        <v>286</v>
      </c>
      <c r="K168" s="29" t="s">
        <v>287</v>
      </c>
      <c r="L168" s="29" t="s">
        <v>218</v>
      </c>
      <c r="M168" s="34" t="s">
        <v>22</v>
      </c>
    </row>
    <row r="169" spans="2:13" ht="30">
      <c r="B169" s="32" t="str">
        <f t="shared" si="14"/>
        <v>1</v>
      </c>
      <c r="C169" s="33" t="str">
        <f t="shared" si="15"/>
        <v>2</v>
      </c>
      <c r="D169" s="33" t="str">
        <f t="shared" si="16"/>
        <v>1</v>
      </c>
      <c r="E169" s="33" t="str">
        <f t="shared" si="17"/>
        <v>4</v>
      </c>
      <c r="F169" s="33" t="str">
        <f t="shared" si="18"/>
        <v>49</v>
      </c>
      <c r="G169" s="33" t="str">
        <f t="shared" si="19"/>
        <v>0</v>
      </c>
      <c r="H169" s="33" t="str">
        <f t="shared" si="20"/>
        <v>0</v>
      </c>
      <c r="I169" s="28">
        <v>12144900</v>
      </c>
      <c r="J169" s="29" t="s">
        <v>288</v>
      </c>
      <c r="K169" s="29" t="s">
        <v>289</v>
      </c>
      <c r="L169" s="29"/>
      <c r="M169" s="34"/>
    </row>
    <row r="170" spans="2:13" ht="30">
      <c r="B170" s="32" t="str">
        <f t="shared" si="14"/>
        <v>1</v>
      </c>
      <c r="C170" s="33" t="str">
        <f t="shared" si="15"/>
        <v>2</v>
      </c>
      <c r="D170" s="33" t="str">
        <f t="shared" si="16"/>
        <v>1</v>
      </c>
      <c r="E170" s="33" t="str">
        <f t="shared" si="17"/>
        <v>4</v>
      </c>
      <c r="F170" s="33" t="str">
        <f t="shared" si="18"/>
        <v>49</v>
      </c>
      <c r="G170" s="33" t="str">
        <f t="shared" si="19"/>
        <v>1</v>
      </c>
      <c r="H170" s="33" t="str">
        <f t="shared" si="20"/>
        <v>0</v>
      </c>
      <c r="I170" s="28">
        <v>12144910</v>
      </c>
      <c r="J170" s="29" t="s">
        <v>288</v>
      </c>
      <c r="K170" s="29" t="s">
        <v>289</v>
      </c>
      <c r="L170" s="29"/>
      <c r="M170" s="34"/>
    </row>
    <row r="171" spans="2:13" ht="45">
      <c r="B171" s="32" t="str">
        <f t="shared" si="14"/>
        <v>1</v>
      </c>
      <c r="C171" s="33" t="str">
        <f t="shared" si="15"/>
        <v>2</v>
      </c>
      <c r="D171" s="33" t="str">
        <f t="shared" si="16"/>
        <v>1</v>
      </c>
      <c r="E171" s="33" t="str">
        <f t="shared" si="17"/>
        <v>5</v>
      </c>
      <c r="F171" s="33" t="str">
        <f t="shared" si="18"/>
        <v>00</v>
      </c>
      <c r="G171" s="33" t="str">
        <f t="shared" si="19"/>
        <v>0</v>
      </c>
      <c r="H171" s="33" t="str">
        <f t="shared" si="20"/>
        <v>0</v>
      </c>
      <c r="I171" s="28">
        <v>12150000</v>
      </c>
      <c r="J171" s="29" t="s">
        <v>290</v>
      </c>
      <c r="K171" s="29" t="s">
        <v>291</v>
      </c>
      <c r="L171" s="29"/>
      <c r="M171" s="34"/>
    </row>
    <row r="172" spans="2:13" ht="30">
      <c r="B172" s="32" t="str">
        <f t="shared" si="14"/>
        <v>1</v>
      </c>
      <c r="C172" s="33" t="str">
        <f t="shared" si="15"/>
        <v>2</v>
      </c>
      <c r="D172" s="33" t="str">
        <f t="shared" si="16"/>
        <v>1</v>
      </c>
      <c r="E172" s="33" t="str">
        <f t="shared" si="17"/>
        <v>5</v>
      </c>
      <c r="F172" s="33" t="str">
        <f t="shared" si="18"/>
        <v>01</v>
      </c>
      <c r="G172" s="33" t="str">
        <f t="shared" si="19"/>
        <v>0</v>
      </c>
      <c r="H172" s="33" t="str">
        <f t="shared" si="20"/>
        <v>0</v>
      </c>
      <c r="I172" s="28">
        <v>12150100</v>
      </c>
      <c r="J172" s="29" t="s">
        <v>292</v>
      </c>
      <c r="K172" s="29" t="s">
        <v>293</v>
      </c>
      <c r="L172" s="29"/>
      <c r="M172" s="34"/>
    </row>
    <row r="173" spans="2:13" ht="30">
      <c r="B173" s="32" t="str">
        <f t="shared" si="14"/>
        <v>1</v>
      </c>
      <c r="C173" s="33" t="str">
        <f t="shared" si="15"/>
        <v>2</v>
      </c>
      <c r="D173" s="33" t="str">
        <f t="shared" si="16"/>
        <v>1</v>
      </c>
      <c r="E173" s="33" t="str">
        <f t="shared" si="17"/>
        <v>5</v>
      </c>
      <c r="F173" s="33" t="str">
        <f t="shared" si="18"/>
        <v>01</v>
      </c>
      <c r="G173" s="33" t="str">
        <f t="shared" si="19"/>
        <v>1</v>
      </c>
      <c r="H173" s="33" t="str">
        <f t="shared" si="20"/>
        <v>0</v>
      </c>
      <c r="I173" s="28">
        <v>12150110</v>
      </c>
      <c r="J173" s="29" t="s">
        <v>294</v>
      </c>
      <c r="K173" s="29" t="s">
        <v>295</v>
      </c>
      <c r="L173" s="29"/>
      <c r="M173" s="34"/>
    </row>
    <row r="174" spans="2:13" ht="30">
      <c r="B174" s="32" t="str">
        <f t="shared" si="14"/>
        <v>1</v>
      </c>
      <c r="C174" s="33" t="str">
        <f t="shared" si="15"/>
        <v>2</v>
      </c>
      <c r="D174" s="33" t="str">
        <f t="shared" si="16"/>
        <v>1</v>
      </c>
      <c r="E174" s="33" t="str">
        <f t="shared" si="17"/>
        <v>5</v>
      </c>
      <c r="F174" s="33" t="str">
        <f t="shared" si="18"/>
        <v>01</v>
      </c>
      <c r="G174" s="33" t="str">
        <f t="shared" si="19"/>
        <v>2</v>
      </c>
      <c r="H174" s="33" t="str">
        <f t="shared" si="20"/>
        <v>0</v>
      </c>
      <c r="I174" s="28">
        <v>12150120</v>
      </c>
      <c r="J174" s="29" t="s">
        <v>296</v>
      </c>
      <c r="K174" s="29" t="s">
        <v>297</v>
      </c>
      <c r="L174" s="29"/>
      <c r="M174" s="34"/>
    </row>
    <row r="175" spans="2:13" ht="45">
      <c r="B175" s="32" t="str">
        <f t="shared" si="14"/>
        <v>1</v>
      </c>
      <c r="C175" s="33" t="str">
        <f t="shared" si="15"/>
        <v>2</v>
      </c>
      <c r="D175" s="33" t="str">
        <f t="shared" si="16"/>
        <v>1</v>
      </c>
      <c r="E175" s="33" t="str">
        <f t="shared" si="17"/>
        <v>5</v>
      </c>
      <c r="F175" s="33" t="str">
        <f t="shared" si="18"/>
        <v>01</v>
      </c>
      <c r="G175" s="33" t="str">
        <f t="shared" si="19"/>
        <v>3</v>
      </c>
      <c r="H175" s="33" t="str">
        <f t="shared" si="20"/>
        <v>0</v>
      </c>
      <c r="I175" s="28">
        <v>12150130</v>
      </c>
      <c r="J175" s="29" t="s">
        <v>298</v>
      </c>
      <c r="K175" s="29" t="s">
        <v>299</v>
      </c>
      <c r="L175" s="29"/>
      <c r="M175" s="34"/>
    </row>
    <row r="176" spans="2:13" ht="45">
      <c r="B176" s="32" t="str">
        <f t="shared" si="14"/>
        <v>1</v>
      </c>
      <c r="C176" s="33" t="str">
        <f t="shared" si="15"/>
        <v>2</v>
      </c>
      <c r="D176" s="33" t="str">
        <f t="shared" si="16"/>
        <v>1</v>
      </c>
      <c r="E176" s="33" t="str">
        <f t="shared" si="17"/>
        <v>5</v>
      </c>
      <c r="F176" s="33" t="str">
        <f t="shared" si="18"/>
        <v>01</v>
      </c>
      <c r="G176" s="33" t="str">
        <f t="shared" si="19"/>
        <v>4</v>
      </c>
      <c r="H176" s="33" t="str">
        <f t="shared" si="20"/>
        <v>0</v>
      </c>
      <c r="I176" s="28">
        <v>12150140</v>
      </c>
      <c r="J176" s="29" t="s">
        <v>300</v>
      </c>
      <c r="K176" s="29" t="s">
        <v>301</v>
      </c>
      <c r="L176" s="29"/>
      <c r="M176" s="34"/>
    </row>
    <row r="177" spans="2:13" ht="45">
      <c r="B177" s="32" t="str">
        <f t="shared" si="14"/>
        <v>1</v>
      </c>
      <c r="C177" s="33" t="str">
        <f t="shared" si="15"/>
        <v>2</v>
      </c>
      <c r="D177" s="33" t="str">
        <f t="shared" si="16"/>
        <v>1</v>
      </c>
      <c r="E177" s="33" t="str">
        <f t="shared" si="17"/>
        <v>5</v>
      </c>
      <c r="F177" s="33" t="str">
        <f t="shared" si="18"/>
        <v>01</v>
      </c>
      <c r="G177" s="33" t="str">
        <f t="shared" si="19"/>
        <v>5</v>
      </c>
      <c r="H177" s="33" t="str">
        <f t="shared" si="20"/>
        <v>0</v>
      </c>
      <c r="I177" s="28">
        <v>12150150</v>
      </c>
      <c r="J177" s="29" t="s">
        <v>302</v>
      </c>
      <c r="K177" s="29" t="s">
        <v>303</v>
      </c>
      <c r="L177" s="29"/>
      <c r="M177" s="34"/>
    </row>
    <row r="178" spans="2:13" ht="45">
      <c r="B178" s="32" t="str">
        <f t="shared" si="14"/>
        <v>1</v>
      </c>
      <c r="C178" s="33" t="str">
        <f t="shared" si="15"/>
        <v>2</v>
      </c>
      <c r="D178" s="33" t="str">
        <f t="shared" si="16"/>
        <v>1</v>
      </c>
      <c r="E178" s="33" t="str">
        <f t="shared" si="17"/>
        <v>5</v>
      </c>
      <c r="F178" s="33" t="str">
        <f t="shared" si="18"/>
        <v>01</v>
      </c>
      <c r="G178" s="33" t="str">
        <f t="shared" si="19"/>
        <v>6</v>
      </c>
      <c r="H178" s="33" t="str">
        <f t="shared" si="20"/>
        <v>0</v>
      </c>
      <c r="I178" s="28">
        <v>12150160</v>
      </c>
      <c r="J178" s="29" t="s">
        <v>304</v>
      </c>
      <c r="K178" s="29" t="s">
        <v>305</v>
      </c>
      <c r="L178" s="29"/>
      <c r="M178" s="34"/>
    </row>
    <row r="179" spans="2:13" ht="30">
      <c r="B179" s="32" t="str">
        <f t="shared" si="14"/>
        <v>1</v>
      </c>
      <c r="C179" s="33" t="str">
        <f t="shared" si="15"/>
        <v>2</v>
      </c>
      <c r="D179" s="33" t="str">
        <f t="shared" si="16"/>
        <v>1</v>
      </c>
      <c r="E179" s="33" t="str">
        <f t="shared" si="17"/>
        <v>5</v>
      </c>
      <c r="F179" s="33" t="str">
        <f t="shared" si="18"/>
        <v>02</v>
      </c>
      <c r="G179" s="33" t="str">
        <f t="shared" si="19"/>
        <v>0</v>
      </c>
      <c r="H179" s="33" t="str">
        <f t="shared" si="20"/>
        <v>0</v>
      </c>
      <c r="I179" s="28">
        <v>12150200</v>
      </c>
      <c r="J179" s="29" t="s">
        <v>306</v>
      </c>
      <c r="K179" s="29" t="s">
        <v>307</v>
      </c>
      <c r="L179" s="29"/>
      <c r="M179" s="34"/>
    </row>
    <row r="180" spans="2:13" ht="45">
      <c r="B180" s="32" t="str">
        <f t="shared" si="14"/>
        <v>1</v>
      </c>
      <c r="C180" s="33" t="str">
        <f t="shared" si="15"/>
        <v>2</v>
      </c>
      <c r="D180" s="33" t="str">
        <f t="shared" si="16"/>
        <v>1</v>
      </c>
      <c r="E180" s="33" t="str">
        <f t="shared" si="17"/>
        <v>5</v>
      </c>
      <c r="F180" s="33" t="str">
        <f t="shared" si="18"/>
        <v>02</v>
      </c>
      <c r="G180" s="33" t="str">
        <f t="shared" si="19"/>
        <v>1</v>
      </c>
      <c r="H180" s="33" t="str">
        <f t="shared" si="20"/>
        <v>0</v>
      </c>
      <c r="I180" s="28">
        <v>12150210</v>
      </c>
      <c r="J180" s="29" t="s">
        <v>308</v>
      </c>
      <c r="K180" s="29" t="s">
        <v>309</v>
      </c>
      <c r="L180" s="29"/>
      <c r="M180" s="34"/>
    </row>
    <row r="181" spans="2:13" ht="45">
      <c r="B181" s="32" t="str">
        <f t="shared" si="14"/>
        <v>1</v>
      </c>
      <c r="C181" s="33" t="str">
        <f t="shared" si="15"/>
        <v>2</v>
      </c>
      <c r="D181" s="33" t="str">
        <f t="shared" si="16"/>
        <v>1</v>
      </c>
      <c r="E181" s="33" t="str">
        <f t="shared" si="17"/>
        <v>5</v>
      </c>
      <c r="F181" s="33" t="str">
        <f t="shared" si="18"/>
        <v>02</v>
      </c>
      <c r="G181" s="33" t="str">
        <f t="shared" si="19"/>
        <v>2</v>
      </c>
      <c r="H181" s="33" t="str">
        <f t="shared" si="20"/>
        <v>0</v>
      </c>
      <c r="I181" s="28">
        <v>12150220</v>
      </c>
      <c r="J181" s="29" t="s">
        <v>310</v>
      </c>
      <c r="K181" s="29" t="s">
        <v>311</v>
      </c>
      <c r="L181" s="29"/>
      <c r="M181" s="34"/>
    </row>
    <row r="182" spans="2:13" ht="30">
      <c r="B182" s="32" t="str">
        <f t="shared" si="14"/>
        <v>1</v>
      </c>
      <c r="C182" s="33" t="str">
        <f t="shared" si="15"/>
        <v>2</v>
      </c>
      <c r="D182" s="33" t="str">
        <f t="shared" si="16"/>
        <v>1</v>
      </c>
      <c r="E182" s="33" t="str">
        <f t="shared" si="17"/>
        <v>5</v>
      </c>
      <c r="F182" s="33" t="str">
        <f t="shared" si="18"/>
        <v>03</v>
      </c>
      <c r="G182" s="33" t="str">
        <f t="shared" si="19"/>
        <v>0</v>
      </c>
      <c r="H182" s="33" t="str">
        <f t="shared" si="20"/>
        <v>0</v>
      </c>
      <c r="I182" s="28">
        <v>12150300</v>
      </c>
      <c r="J182" s="29" t="s">
        <v>312</v>
      </c>
      <c r="K182" s="29" t="s">
        <v>313</v>
      </c>
      <c r="L182" s="29"/>
      <c r="M182" s="34"/>
    </row>
    <row r="183" spans="2:13" ht="30">
      <c r="B183" s="32" t="str">
        <f t="shared" si="14"/>
        <v>1</v>
      </c>
      <c r="C183" s="33" t="str">
        <f t="shared" si="15"/>
        <v>2</v>
      </c>
      <c r="D183" s="33" t="str">
        <f t="shared" si="16"/>
        <v>1</v>
      </c>
      <c r="E183" s="33" t="str">
        <f t="shared" si="17"/>
        <v>5</v>
      </c>
      <c r="F183" s="33" t="str">
        <f t="shared" si="18"/>
        <v>03</v>
      </c>
      <c r="G183" s="33" t="str">
        <f t="shared" si="19"/>
        <v>1</v>
      </c>
      <c r="H183" s="33" t="str">
        <f t="shared" si="20"/>
        <v>0</v>
      </c>
      <c r="I183" s="28">
        <v>12150310</v>
      </c>
      <c r="J183" s="29" t="s">
        <v>312</v>
      </c>
      <c r="K183" s="29" t="s">
        <v>313</v>
      </c>
      <c r="L183" s="29"/>
      <c r="M183" s="34"/>
    </row>
    <row r="184" spans="2:13" ht="45.75" customHeight="1">
      <c r="B184" s="32" t="str">
        <f t="shared" si="14"/>
        <v>1</v>
      </c>
      <c r="C184" s="33" t="str">
        <f t="shared" si="15"/>
        <v>2</v>
      </c>
      <c r="D184" s="33" t="str">
        <f t="shared" si="16"/>
        <v>1</v>
      </c>
      <c r="E184" s="33" t="str">
        <f t="shared" si="17"/>
        <v>6</v>
      </c>
      <c r="F184" s="33" t="str">
        <f t="shared" si="18"/>
        <v>00</v>
      </c>
      <c r="G184" s="33" t="str">
        <f t="shared" si="19"/>
        <v>0</v>
      </c>
      <c r="H184" s="33" t="str">
        <f t="shared" si="20"/>
        <v>0</v>
      </c>
      <c r="I184" s="28">
        <v>12160000</v>
      </c>
      <c r="J184" s="29" t="s">
        <v>314</v>
      </c>
      <c r="K184" s="29" t="s">
        <v>315</v>
      </c>
      <c r="L184" s="29"/>
      <c r="M184" s="34" t="s">
        <v>10</v>
      </c>
    </row>
    <row r="185" spans="2:13" ht="60">
      <c r="B185" s="32" t="str">
        <f t="shared" si="14"/>
        <v>1</v>
      </c>
      <c r="C185" s="33" t="str">
        <f t="shared" si="15"/>
        <v>2</v>
      </c>
      <c r="D185" s="33" t="str">
        <f t="shared" si="16"/>
        <v>1</v>
      </c>
      <c r="E185" s="33" t="str">
        <f t="shared" si="17"/>
        <v>6</v>
      </c>
      <c r="F185" s="33" t="str">
        <f t="shared" si="18"/>
        <v>01</v>
      </c>
      <c r="G185" s="33" t="str">
        <f t="shared" si="19"/>
        <v>0</v>
      </c>
      <c r="H185" s="33" t="str">
        <f t="shared" si="20"/>
        <v>0</v>
      </c>
      <c r="I185" s="28">
        <v>12160100</v>
      </c>
      <c r="J185" s="29" t="s">
        <v>316</v>
      </c>
      <c r="K185" s="29" t="s">
        <v>317</v>
      </c>
      <c r="L185" s="29"/>
      <c r="M185" s="34" t="s">
        <v>10</v>
      </c>
    </row>
    <row r="186" spans="2:13" ht="60">
      <c r="B186" s="32" t="str">
        <f t="shared" si="14"/>
        <v>1</v>
      </c>
      <c r="C186" s="33" t="str">
        <f t="shared" si="15"/>
        <v>2</v>
      </c>
      <c r="D186" s="33" t="str">
        <f t="shared" si="16"/>
        <v>1</v>
      </c>
      <c r="E186" s="33" t="str">
        <f t="shared" si="17"/>
        <v>6</v>
      </c>
      <c r="F186" s="33" t="str">
        <f t="shared" si="18"/>
        <v>01</v>
      </c>
      <c r="G186" s="33" t="str">
        <f t="shared" si="19"/>
        <v>1</v>
      </c>
      <c r="H186" s="33" t="str">
        <f t="shared" si="20"/>
        <v>0</v>
      </c>
      <c r="I186" s="28">
        <v>12160110</v>
      </c>
      <c r="J186" s="29" t="s">
        <v>316</v>
      </c>
      <c r="K186" s="29" t="s">
        <v>317</v>
      </c>
      <c r="L186" s="29"/>
      <c r="M186" s="34" t="s">
        <v>10</v>
      </c>
    </row>
    <row r="187" spans="2:13" ht="78" customHeight="1">
      <c r="B187" s="32" t="str">
        <f t="shared" si="14"/>
        <v>1</v>
      </c>
      <c r="C187" s="33" t="str">
        <f t="shared" si="15"/>
        <v>2</v>
      </c>
      <c r="D187" s="33" t="str">
        <f t="shared" si="16"/>
        <v>1</v>
      </c>
      <c r="E187" s="33" t="str">
        <f t="shared" si="17"/>
        <v>6</v>
      </c>
      <c r="F187" s="33" t="str">
        <f t="shared" si="18"/>
        <v>01</v>
      </c>
      <c r="G187" s="33" t="str">
        <f t="shared" si="19"/>
        <v>2</v>
      </c>
      <c r="H187" s="33" t="str">
        <f t="shared" si="20"/>
        <v>0</v>
      </c>
      <c r="I187" s="28">
        <v>12160120</v>
      </c>
      <c r="J187" s="29" t="s">
        <v>318</v>
      </c>
      <c r="K187" s="29" t="s">
        <v>319</v>
      </c>
      <c r="L187" s="29"/>
      <c r="M187" s="34" t="s">
        <v>10</v>
      </c>
    </row>
    <row r="188" spans="2:13" ht="30">
      <c r="B188" s="32" t="str">
        <f t="shared" si="14"/>
        <v>1</v>
      </c>
      <c r="C188" s="33" t="str">
        <f t="shared" si="15"/>
        <v>2</v>
      </c>
      <c r="D188" s="33" t="str">
        <f t="shared" si="16"/>
        <v>1</v>
      </c>
      <c r="E188" s="33" t="str">
        <f t="shared" si="17"/>
        <v>6</v>
      </c>
      <c r="F188" s="33" t="str">
        <f t="shared" si="18"/>
        <v>02</v>
      </c>
      <c r="G188" s="33" t="str">
        <f t="shared" si="19"/>
        <v>0</v>
      </c>
      <c r="H188" s="33" t="str">
        <f t="shared" si="20"/>
        <v>0</v>
      </c>
      <c r="I188" s="28">
        <v>12160200</v>
      </c>
      <c r="J188" s="29" t="s">
        <v>320</v>
      </c>
      <c r="K188" s="29" t="s">
        <v>321</v>
      </c>
      <c r="L188" s="29"/>
      <c r="M188" s="34" t="s">
        <v>10</v>
      </c>
    </row>
    <row r="189" spans="2:13" ht="30">
      <c r="B189" s="32" t="str">
        <f t="shared" si="14"/>
        <v>1</v>
      </c>
      <c r="C189" s="33" t="str">
        <f t="shared" si="15"/>
        <v>2</v>
      </c>
      <c r="D189" s="33" t="str">
        <f t="shared" si="16"/>
        <v>1</v>
      </c>
      <c r="E189" s="33" t="str">
        <f t="shared" si="17"/>
        <v>6</v>
      </c>
      <c r="F189" s="33" t="str">
        <f t="shared" si="18"/>
        <v>02</v>
      </c>
      <c r="G189" s="33" t="str">
        <f t="shared" si="19"/>
        <v>1</v>
      </c>
      <c r="H189" s="33" t="str">
        <f t="shared" si="20"/>
        <v>0</v>
      </c>
      <c r="I189" s="28">
        <v>12160210</v>
      </c>
      <c r="J189" s="29" t="s">
        <v>320</v>
      </c>
      <c r="K189" s="29" t="s">
        <v>321</v>
      </c>
      <c r="L189" s="29"/>
      <c r="M189" s="34" t="s">
        <v>10</v>
      </c>
    </row>
    <row r="190" spans="2:13" ht="51" customHeight="1">
      <c r="B190" s="32" t="str">
        <f t="shared" si="14"/>
        <v>1</v>
      </c>
      <c r="C190" s="33" t="str">
        <f t="shared" si="15"/>
        <v>2</v>
      </c>
      <c r="D190" s="33" t="str">
        <f t="shared" si="16"/>
        <v>1</v>
      </c>
      <c r="E190" s="33" t="str">
        <f t="shared" si="17"/>
        <v>6</v>
      </c>
      <c r="F190" s="33" t="str">
        <f t="shared" si="18"/>
        <v>02</v>
      </c>
      <c r="G190" s="33" t="str">
        <f t="shared" si="19"/>
        <v>2</v>
      </c>
      <c r="H190" s="33" t="str">
        <f t="shared" si="20"/>
        <v>0</v>
      </c>
      <c r="I190" s="28">
        <v>12160220</v>
      </c>
      <c r="J190" s="29" t="s">
        <v>322</v>
      </c>
      <c r="K190" s="29" t="s">
        <v>323</v>
      </c>
      <c r="L190" s="29"/>
      <c r="M190" s="34" t="s">
        <v>10</v>
      </c>
    </row>
    <row r="191" spans="2:13" ht="51" customHeight="1">
      <c r="B191" s="32" t="str">
        <f t="shared" si="14"/>
        <v>1</v>
      </c>
      <c r="C191" s="33" t="str">
        <f t="shared" si="15"/>
        <v>2</v>
      </c>
      <c r="D191" s="33" t="str">
        <f t="shared" si="16"/>
        <v>1</v>
      </c>
      <c r="E191" s="33" t="str">
        <f t="shared" si="17"/>
        <v>6</v>
      </c>
      <c r="F191" s="33" t="str">
        <f t="shared" si="18"/>
        <v>03</v>
      </c>
      <c r="G191" s="33" t="str">
        <f t="shared" si="19"/>
        <v>0</v>
      </c>
      <c r="H191" s="33" t="str">
        <f t="shared" si="20"/>
        <v>0</v>
      </c>
      <c r="I191" s="28">
        <v>12160300</v>
      </c>
      <c r="J191" s="29" t="s">
        <v>324</v>
      </c>
      <c r="K191" s="29" t="s">
        <v>325</v>
      </c>
      <c r="L191" s="29"/>
      <c r="M191" s="34"/>
    </row>
    <row r="192" spans="2:13" ht="51" customHeight="1">
      <c r="B192" s="32" t="str">
        <f t="shared" si="14"/>
        <v>1</v>
      </c>
      <c r="C192" s="33" t="str">
        <f t="shared" si="15"/>
        <v>2</v>
      </c>
      <c r="D192" s="33" t="str">
        <f t="shared" si="16"/>
        <v>1</v>
      </c>
      <c r="E192" s="33" t="str">
        <f t="shared" si="17"/>
        <v>6</v>
      </c>
      <c r="F192" s="33" t="str">
        <f t="shared" si="18"/>
        <v>03</v>
      </c>
      <c r="G192" s="33" t="str">
        <f t="shared" si="19"/>
        <v>1</v>
      </c>
      <c r="H192" s="33" t="str">
        <f t="shared" si="20"/>
        <v>0</v>
      </c>
      <c r="I192" s="28">
        <v>12160310</v>
      </c>
      <c r="J192" s="29" t="s">
        <v>324</v>
      </c>
      <c r="K192" s="29" t="s">
        <v>325</v>
      </c>
      <c r="L192" s="29"/>
      <c r="M192" s="34"/>
    </row>
    <row r="193" spans="2:13" ht="60">
      <c r="B193" s="32" t="str">
        <f t="shared" si="14"/>
        <v>1</v>
      </c>
      <c r="C193" s="33" t="str">
        <f t="shared" si="15"/>
        <v>2</v>
      </c>
      <c r="D193" s="33" t="str">
        <f t="shared" si="16"/>
        <v>1</v>
      </c>
      <c r="E193" s="33" t="str">
        <f t="shared" si="17"/>
        <v>6</v>
      </c>
      <c r="F193" s="33" t="str">
        <f t="shared" si="18"/>
        <v>03</v>
      </c>
      <c r="G193" s="33" t="str">
        <f t="shared" si="19"/>
        <v>2</v>
      </c>
      <c r="H193" s="33" t="str">
        <f t="shared" si="20"/>
        <v>0</v>
      </c>
      <c r="I193" s="28">
        <v>12160320</v>
      </c>
      <c r="J193" s="29" t="s">
        <v>326</v>
      </c>
      <c r="K193" s="29" t="s">
        <v>327</v>
      </c>
      <c r="L193" s="29"/>
      <c r="M193" s="34"/>
    </row>
    <row r="194" spans="2:13" ht="60">
      <c r="B194" s="32" t="str">
        <f t="shared" si="14"/>
        <v>1</v>
      </c>
      <c r="C194" s="33" t="str">
        <f t="shared" si="15"/>
        <v>2</v>
      </c>
      <c r="D194" s="33" t="str">
        <f t="shared" si="16"/>
        <v>1</v>
      </c>
      <c r="E194" s="33" t="str">
        <f t="shared" si="17"/>
        <v>6</v>
      </c>
      <c r="F194" s="33" t="str">
        <f t="shared" si="18"/>
        <v>04</v>
      </c>
      <c r="G194" s="33" t="str">
        <f t="shared" si="19"/>
        <v>0</v>
      </c>
      <c r="H194" s="33" t="str">
        <f t="shared" si="20"/>
        <v>0</v>
      </c>
      <c r="I194" s="28">
        <v>12160400</v>
      </c>
      <c r="J194" s="29" t="s">
        <v>328</v>
      </c>
      <c r="K194" s="29" t="s">
        <v>329</v>
      </c>
      <c r="L194" s="29"/>
      <c r="M194" s="34"/>
    </row>
    <row r="195" spans="2:13" ht="60">
      <c r="B195" s="32" t="str">
        <f t="shared" ref="B195:B258" si="21">MID($I195,1,1)</f>
        <v>1</v>
      </c>
      <c r="C195" s="33" t="str">
        <f t="shared" ref="C195:C258" si="22">MID($I195,2,1)</f>
        <v>2</v>
      </c>
      <c r="D195" s="33" t="str">
        <f t="shared" ref="D195:D258" si="23">MID($I195,3,1)</f>
        <v>1</v>
      </c>
      <c r="E195" s="33" t="str">
        <f t="shared" ref="E195:E258" si="24">MID($I195,4,1)</f>
        <v>6</v>
      </c>
      <c r="F195" s="33" t="str">
        <f t="shared" ref="F195:F258" si="25">MID($I195,5,2)</f>
        <v>04</v>
      </c>
      <c r="G195" s="33" t="str">
        <f t="shared" ref="G195:G258" si="26">MID($I195,7,1)</f>
        <v>1</v>
      </c>
      <c r="H195" s="33" t="str">
        <f t="shared" ref="H195:H258" si="27">MID($I195,8,1)</f>
        <v>0</v>
      </c>
      <c r="I195" s="28">
        <v>12160410</v>
      </c>
      <c r="J195" s="29" t="s">
        <v>328</v>
      </c>
      <c r="K195" s="29" t="s">
        <v>330</v>
      </c>
      <c r="L195" s="29"/>
      <c r="M195" s="34"/>
    </row>
    <row r="196" spans="2:13" ht="75" customHeight="1">
      <c r="B196" s="32" t="str">
        <f t="shared" si="21"/>
        <v>1</v>
      </c>
      <c r="C196" s="33" t="str">
        <f t="shared" si="22"/>
        <v>2</v>
      </c>
      <c r="D196" s="33" t="str">
        <f t="shared" si="23"/>
        <v>1</v>
      </c>
      <c r="E196" s="33" t="str">
        <f t="shared" si="24"/>
        <v>6</v>
      </c>
      <c r="F196" s="33" t="str">
        <f t="shared" si="25"/>
        <v>04</v>
      </c>
      <c r="G196" s="33" t="str">
        <f t="shared" si="26"/>
        <v>2</v>
      </c>
      <c r="H196" s="33" t="str">
        <f t="shared" si="27"/>
        <v>0</v>
      </c>
      <c r="I196" s="28">
        <v>12160420</v>
      </c>
      <c r="J196" s="29" t="s">
        <v>331</v>
      </c>
      <c r="K196" s="29" t="s">
        <v>332</v>
      </c>
      <c r="L196" s="29"/>
      <c r="M196" s="34"/>
    </row>
    <row r="197" spans="2:13" ht="75">
      <c r="B197" s="32" t="str">
        <f t="shared" si="21"/>
        <v>1</v>
      </c>
      <c r="C197" s="33" t="str">
        <f t="shared" si="22"/>
        <v>2</v>
      </c>
      <c r="D197" s="33" t="str">
        <f t="shared" si="23"/>
        <v>1</v>
      </c>
      <c r="E197" s="33" t="str">
        <f t="shared" si="24"/>
        <v>7</v>
      </c>
      <c r="F197" s="33" t="str">
        <f t="shared" si="25"/>
        <v>00</v>
      </c>
      <c r="G197" s="33" t="str">
        <f t="shared" si="26"/>
        <v>0</v>
      </c>
      <c r="H197" s="33" t="str">
        <f t="shared" si="27"/>
        <v>0</v>
      </c>
      <c r="I197" s="28">
        <v>12170000</v>
      </c>
      <c r="J197" s="29" t="s">
        <v>333</v>
      </c>
      <c r="K197" s="29" t="s">
        <v>334</v>
      </c>
      <c r="L197" s="29"/>
      <c r="M197" s="34"/>
    </row>
    <row r="198" spans="2:13">
      <c r="B198" s="32" t="str">
        <f t="shared" si="21"/>
        <v>1</v>
      </c>
      <c r="C198" s="33" t="str">
        <f t="shared" si="22"/>
        <v>2</v>
      </c>
      <c r="D198" s="33" t="str">
        <f t="shared" si="23"/>
        <v>1</v>
      </c>
      <c r="E198" s="33" t="str">
        <f t="shared" si="24"/>
        <v>7</v>
      </c>
      <c r="F198" s="33" t="str">
        <f t="shared" si="25"/>
        <v>01</v>
      </c>
      <c r="G198" s="33" t="str">
        <f t="shared" si="26"/>
        <v>0</v>
      </c>
      <c r="H198" s="33" t="str">
        <f t="shared" si="27"/>
        <v>0</v>
      </c>
      <c r="I198" s="28">
        <v>12170100</v>
      </c>
      <c r="J198" s="29" t="s">
        <v>335</v>
      </c>
      <c r="K198" s="29" t="s">
        <v>336</v>
      </c>
      <c r="L198" s="29"/>
      <c r="M198" s="34"/>
    </row>
    <row r="199" spans="2:13">
      <c r="B199" s="32" t="str">
        <f t="shared" si="21"/>
        <v>1</v>
      </c>
      <c r="C199" s="33" t="str">
        <f t="shared" si="22"/>
        <v>2</v>
      </c>
      <c r="D199" s="33" t="str">
        <f t="shared" si="23"/>
        <v>1</v>
      </c>
      <c r="E199" s="33" t="str">
        <f t="shared" si="24"/>
        <v>7</v>
      </c>
      <c r="F199" s="33" t="str">
        <f t="shared" si="25"/>
        <v>01</v>
      </c>
      <c r="G199" s="33" t="str">
        <f t="shared" si="26"/>
        <v>1</v>
      </c>
      <c r="H199" s="33" t="str">
        <f t="shared" si="27"/>
        <v>0</v>
      </c>
      <c r="I199" s="28">
        <v>12170110</v>
      </c>
      <c r="J199" s="29" t="s">
        <v>335</v>
      </c>
      <c r="K199" s="29" t="s">
        <v>336</v>
      </c>
      <c r="L199" s="29"/>
      <c r="M199" s="34"/>
    </row>
    <row r="200" spans="2:13" ht="45">
      <c r="B200" s="32" t="str">
        <f t="shared" si="21"/>
        <v>1</v>
      </c>
      <c r="C200" s="33" t="str">
        <f t="shared" si="22"/>
        <v>2</v>
      </c>
      <c r="D200" s="33" t="str">
        <f t="shared" si="23"/>
        <v>1</v>
      </c>
      <c r="E200" s="33" t="str">
        <f t="shared" si="24"/>
        <v>7</v>
      </c>
      <c r="F200" s="33" t="str">
        <f t="shared" si="25"/>
        <v>01</v>
      </c>
      <c r="G200" s="33" t="str">
        <f t="shared" si="26"/>
        <v>2</v>
      </c>
      <c r="H200" s="33" t="str">
        <f t="shared" si="27"/>
        <v>0</v>
      </c>
      <c r="I200" s="28">
        <v>12170120</v>
      </c>
      <c r="J200" s="29" t="s">
        <v>337</v>
      </c>
      <c r="K200" s="29" t="s">
        <v>338</v>
      </c>
      <c r="L200" s="29"/>
      <c r="M200" s="34"/>
    </row>
    <row r="201" spans="2:13">
      <c r="B201" s="32" t="str">
        <f t="shared" si="21"/>
        <v>1</v>
      </c>
      <c r="C201" s="33" t="str">
        <f t="shared" si="22"/>
        <v>2</v>
      </c>
      <c r="D201" s="33" t="str">
        <f t="shared" si="23"/>
        <v>1</v>
      </c>
      <c r="E201" s="33" t="str">
        <f t="shared" si="24"/>
        <v>7</v>
      </c>
      <c r="F201" s="33" t="str">
        <f t="shared" si="25"/>
        <v>02</v>
      </c>
      <c r="G201" s="33" t="str">
        <f t="shared" si="26"/>
        <v>0</v>
      </c>
      <c r="H201" s="33" t="str">
        <f t="shared" si="27"/>
        <v>0</v>
      </c>
      <c r="I201" s="28">
        <v>12170200</v>
      </c>
      <c r="J201" s="29" t="s">
        <v>339</v>
      </c>
      <c r="K201" s="29" t="s">
        <v>340</v>
      </c>
      <c r="L201" s="29"/>
      <c r="M201" s="34"/>
    </row>
    <row r="202" spans="2:13">
      <c r="B202" s="32" t="str">
        <f t="shared" si="21"/>
        <v>1</v>
      </c>
      <c r="C202" s="33" t="str">
        <f t="shared" si="22"/>
        <v>2</v>
      </c>
      <c r="D202" s="33" t="str">
        <f t="shared" si="23"/>
        <v>1</v>
      </c>
      <c r="E202" s="33" t="str">
        <f t="shared" si="24"/>
        <v>7</v>
      </c>
      <c r="F202" s="33" t="str">
        <f t="shared" si="25"/>
        <v>02</v>
      </c>
      <c r="G202" s="33" t="str">
        <f t="shared" si="26"/>
        <v>1</v>
      </c>
      <c r="H202" s="33" t="str">
        <f t="shared" si="27"/>
        <v>0</v>
      </c>
      <c r="I202" s="28">
        <v>12170210</v>
      </c>
      <c r="J202" s="29" t="s">
        <v>339</v>
      </c>
      <c r="K202" s="29" t="s">
        <v>340</v>
      </c>
      <c r="L202" s="29"/>
      <c r="M202" s="34"/>
    </row>
    <row r="203" spans="2:13" ht="30">
      <c r="B203" s="32" t="str">
        <f t="shared" si="21"/>
        <v>1</v>
      </c>
      <c r="C203" s="33" t="str">
        <f t="shared" si="22"/>
        <v>2</v>
      </c>
      <c r="D203" s="33" t="str">
        <f t="shared" si="23"/>
        <v>1</v>
      </c>
      <c r="E203" s="33" t="str">
        <f t="shared" si="24"/>
        <v>7</v>
      </c>
      <c r="F203" s="33" t="str">
        <f t="shared" si="25"/>
        <v>02</v>
      </c>
      <c r="G203" s="33" t="str">
        <f t="shared" si="26"/>
        <v>2</v>
      </c>
      <c r="H203" s="33" t="str">
        <f t="shared" si="27"/>
        <v>0</v>
      </c>
      <c r="I203" s="28">
        <v>12170220</v>
      </c>
      <c r="J203" s="29" t="s">
        <v>341</v>
      </c>
      <c r="K203" s="29" t="s">
        <v>342</v>
      </c>
      <c r="L203" s="29"/>
      <c r="M203" s="34"/>
    </row>
    <row r="204" spans="2:13" ht="105">
      <c r="B204" s="32" t="str">
        <f t="shared" si="21"/>
        <v>1</v>
      </c>
      <c r="C204" s="33" t="str">
        <f t="shared" si="22"/>
        <v>2</v>
      </c>
      <c r="D204" s="33" t="str">
        <f t="shared" si="23"/>
        <v>1</v>
      </c>
      <c r="E204" s="33" t="str">
        <f t="shared" si="24"/>
        <v>7</v>
      </c>
      <c r="F204" s="33" t="str">
        <f t="shared" si="25"/>
        <v>03</v>
      </c>
      <c r="G204" s="33" t="str">
        <f t="shared" si="26"/>
        <v>0</v>
      </c>
      <c r="H204" s="33" t="str">
        <f t="shared" si="27"/>
        <v>0</v>
      </c>
      <c r="I204" s="28">
        <v>12170300</v>
      </c>
      <c r="J204" s="29" t="s">
        <v>343</v>
      </c>
      <c r="K204" s="29" t="s">
        <v>344</v>
      </c>
      <c r="L204" s="29"/>
      <c r="M204" s="34"/>
    </row>
    <row r="205" spans="2:13" ht="60">
      <c r="B205" s="32" t="str">
        <f t="shared" si="21"/>
        <v>1</v>
      </c>
      <c r="C205" s="33" t="str">
        <f t="shared" si="22"/>
        <v>2</v>
      </c>
      <c r="D205" s="33" t="str">
        <f t="shared" si="23"/>
        <v>1</v>
      </c>
      <c r="E205" s="33" t="str">
        <f t="shared" si="24"/>
        <v>7</v>
      </c>
      <c r="F205" s="33" t="str">
        <f t="shared" si="25"/>
        <v>03</v>
      </c>
      <c r="G205" s="33" t="str">
        <f t="shared" si="26"/>
        <v>1</v>
      </c>
      <c r="H205" s="33" t="str">
        <f t="shared" si="27"/>
        <v>0</v>
      </c>
      <c r="I205" s="28">
        <v>12170310</v>
      </c>
      <c r="J205" s="29" t="s">
        <v>343</v>
      </c>
      <c r="K205" s="29" t="s">
        <v>345</v>
      </c>
      <c r="L205" s="29"/>
      <c r="M205" s="34"/>
    </row>
    <row r="206" spans="2:13" ht="75">
      <c r="B206" s="32" t="str">
        <f t="shared" si="21"/>
        <v>1</v>
      </c>
      <c r="C206" s="33" t="str">
        <f t="shared" si="22"/>
        <v>2</v>
      </c>
      <c r="D206" s="33" t="str">
        <f t="shared" si="23"/>
        <v>1</v>
      </c>
      <c r="E206" s="33" t="str">
        <f t="shared" si="24"/>
        <v>7</v>
      </c>
      <c r="F206" s="33" t="str">
        <f t="shared" si="25"/>
        <v>03</v>
      </c>
      <c r="G206" s="33" t="str">
        <f t="shared" si="26"/>
        <v>2</v>
      </c>
      <c r="H206" s="33" t="str">
        <f t="shared" si="27"/>
        <v>0</v>
      </c>
      <c r="I206" s="28">
        <v>12170320</v>
      </c>
      <c r="J206" s="29" t="s">
        <v>346</v>
      </c>
      <c r="K206" s="29" t="s">
        <v>347</v>
      </c>
      <c r="L206" s="29"/>
      <c r="M206" s="34"/>
    </row>
    <row r="207" spans="2:13">
      <c r="B207" s="32" t="str">
        <f t="shared" si="21"/>
        <v>1</v>
      </c>
      <c r="C207" s="33" t="str">
        <f t="shared" si="22"/>
        <v>2</v>
      </c>
      <c r="D207" s="33" t="str">
        <f t="shared" si="23"/>
        <v>1</v>
      </c>
      <c r="E207" s="33" t="str">
        <f t="shared" si="24"/>
        <v>7</v>
      </c>
      <c r="F207" s="33" t="str">
        <f t="shared" si="25"/>
        <v>04</v>
      </c>
      <c r="G207" s="33" t="str">
        <f t="shared" si="26"/>
        <v>0</v>
      </c>
      <c r="H207" s="33" t="str">
        <f t="shared" si="27"/>
        <v>0</v>
      </c>
      <c r="I207" s="28">
        <v>12170400</v>
      </c>
      <c r="J207" s="29" t="s">
        <v>348</v>
      </c>
      <c r="K207" s="29" t="s">
        <v>349</v>
      </c>
      <c r="L207" s="29"/>
      <c r="M207" s="34"/>
    </row>
    <row r="208" spans="2:13">
      <c r="B208" s="32" t="str">
        <f t="shared" si="21"/>
        <v>1</v>
      </c>
      <c r="C208" s="33" t="str">
        <f t="shared" si="22"/>
        <v>2</v>
      </c>
      <c r="D208" s="33" t="str">
        <f t="shared" si="23"/>
        <v>1</v>
      </c>
      <c r="E208" s="33" t="str">
        <f t="shared" si="24"/>
        <v>7</v>
      </c>
      <c r="F208" s="33" t="str">
        <f t="shared" si="25"/>
        <v>04</v>
      </c>
      <c r="G208" s="33" t="str">
        <f t="shared" si="26"/>
        <v>1</v>
      </c>
      <c r="H208" s="33" t="str">
        <f t="shared" si="27"/>
        <v>0</v>
      </c>
      <c r="I208" s="28">
        <v>12170410</v>
      </c>
      <c r="J208" s="29" t="s">
        <v>348</v>
      </c>
      <c r="K208" s="29" t="s">
        <v>349</v>
      </c>
      <c r="L208" s="29"/>
      <c r="M208" s="34"/>
    </row>
    <row r="209" spans="2:13">
      <c r="B209" s="32" t="str">
        <f t="shared" si="21"/>
        <v>1</v>
      </c>
      <c r="C209" s="33" t="str">
        <f t="shared" si="22"/>
        <v>2</v>
      </c>
      <c r="D209" s="33" t="str">
        <f t="shared" si="23"/>
        <v>1</v>
      </c>
      <c r="E209" s="33" t="str">
        <f t="shared" si="24"/>
        <v>7</v>
      </c>
      <c r="F209" s="33" t="str">
        <f t="shared" si="25"/>
        <v>04</v>
      </c>
      <c r="G209" s="33" t="str">
        <f t="shared" si="26"/>
        <v>2</v>
      </c>
      <c r="H209" s="33" t="str">
        <f t="shared" si="27"/>
        <v>0</v>
      </c>
      <c r="I209" s="28">
        <v>12170420</v>
      </c>
      <c r="J209" s="29" t="s">
        <v>350</v>
      </c>
      <c r="K209" s="29" t="s">
        <v>351</v>
      </c>
      <c r="L209" s="29"/>
      <c r="M209" s="34"/>
    </row>
    <row r="210" spans="2:13">
      <c r="B210" s="32" t="str">
        <f t="shared" si="21"/>
        <v>1</v>
      </c>
      <c r="C210" s="33" t="str">
        <f t="shared" si="22"/>
        <v>2</v>
      </c>
      <c r="D210" s="33" t="str">
        <f t="shared" si="23"/>
        <v>1</v>
      </c>
      <c r="E210" s="33" t="str">
        <f t="shared" si="24"/>
        <v>7</v>
      </c>
      <c r="F210" s="33" t="str">
        <f t="shared" si="25"/>
        <v>05</v>
      </c>
      <c r="G210" s="33" t="str">
        <f t="shared" si="26"/>
        <v>0</v>
      </c>
      <c r="H210" s="33" t="str">
        <f t="shared" si="27"/>
        <v>0</v>
      </c>
      <c r="I210" s="28">
        <v>12170500</v>
      </c>
      <c r="J210" s="29" t="s">
        <v>352</v>
      </c>
      <c r="K210" s="29" t="s">
        <v>353</v>
      </c>
      <c r="L210" s="29"/>
      <c r="M210" s="34"/>
    </row>
    <row r="211" spans="2:13">
      <c r="B211" s="32" t="str">
        <f t="shared" si="21"/>
        <v>1</v>
      </c>
      <c r="C211" s="33" t="str">
        <f t="shared" si="22"/>
        <v>2</v>
      </c>
      <c r="D211" s="33" t="str">
        <f t="shared" si="23"/>
        <v>1</v>
      </c>
      <c r="E211" s="33" t="str">
        <f t="shared" si="24"/>
        <v>7</v>
      </c>
      <c r="F211" s="33" t="str">
        <f t="shared" si="25"/>
        <v>05</v>
      </c>
      <c r="G211" s="33" t="str">
        <f t="shared" si="26"/>
        <v>1</v>
      </c>
      <c r="H211" s="33" t="str">
        <f t="shared" si="27"/>
        <v>0</v>
      </c>
      <c r="I211" s="28">
        <v>12170510</v>
      </c>
      <c r="J211" s="29" t="s">
        <v>352</v>
      </c>
      <c r="K211" s="29" t="s">
        <v>353</v>
      </c>
      <c r="L211" s="29"/>
      <c r="M211" s="34"/>
    </row>
    <row r="212" spans="2:13">
      <c r="B212" s="32" t="str">
        <f t="shared" si="21"/>
        <v>1</v>
      </c>
      <c r="C212" s="33" t="str">
        <f t="shared" si="22"/>
        <v>2</v>
      </c>
      <c r="D212" s="33" t="str">
        <f t="shared" si="23"/>
        <v>1</v>
      </c>
      <c r="E212" s="33" t="str">
        <f t="shared" si="24"/>
        <v>7</v>
      </c>
      <c r="F212" s="33" t="str">
        <f t="shared" si="25"/>
        <v>05</v>
      </c>
      <c r="G212" s="33" t="str">
        <f t="shared" si="26"/>
        <v>2</v>
      </c>
      <c r="H212" s="33" t="str">
        <f t="shared" si="27"/>
        <v>0</v>
      </c>
      <c r="I212" s="28">
        <v>12170520</v>
      </c>
      <c r="J212" s="29" t="s">
        <v>354</v>
      </c>
      <c r="K212" s="29" t="s">
        <v>353</v>
      </c>
      <c r="L212" s="29"/>
      <c r="M212" s="34"/>
    </row>
    <row r="213" spans="2:13" ht="30">
      <c r="B213" s="32" t="str">
        <f t="shared" si="21"/>
        <v>1</v>
      </c>
      <c r="C213" s="33" t="str">
        <f t="shared" si="22"/>
        <v>2</v>
      </c>
      <c r="D213" s="33" t="str">
        <f t="shared" si="23"/>
        <v>1</v>
      </c>
      <c r="E213" s="33" t="str">
        <f t="shared" si="24"/>
        <v>7</v>
      </c>
      <c r="F213" s="33" t="str">
        <f t="shared" si="25"/>
        <v>06</v>
      </c>
      <c r="G213" s="33" t="str">
        <f t="shared" si="26"/>
        <v>0</v>
      </c>
      <c r="H213" s="33" t="str">
        <f t="shared" si="27"/>
        <v>0</v>
      </c>
      <c r="I213" s="28">
        <v>12170600</v>
      </c>
      <c r="J213" s="29" t="s">
        <v>355</v>
      </c>
      <c r="K213" s="29" t="s">
        <v>356</v>
      </c>
      <c r="L213" s="29"/>
      <c r="M213" s="34"/>
    </row>
    <row r="214" spans="2:13" ht="30">
      <c r="B214" s="32" t="str">
        <f t="shared" si="21"/>
        <v>1</v>
      </c>
      <c r="C214" s="33" t="str">
        <f t="shared" si="22"/>
        <v>2</v>
      </c>
      <c r="D214" s="33" t="str">
        <f t="shared" si="23"/>
        <v>1</v>
      </c>
      <c r="E214" s="33" t="str">
        <f t="shared" si="24"/>
        <v>7</v>
      </c>
      <c r="F214" s="33" t="str">
        <f t="shared" si="25"/>
        <v>06</v>
      </c>
      <c r="G214" s="33" t="str">
        <f t="shared" si="26"/>
        <v>1</v>
      </c>
      <c r="H214" s="33" t="str">
        <f t="shared" si="27"/>
        <v>0</v>
      </c>
      <c r="I214" s="28">
        <v>12170610</v>
      </c>
      <c r="J214" s="29" t="s">
        <v>355</v>
      </c>
      <c r="K214" s="29" t="s">
        <v>356</v>
      </c>
      <c r="L214" s="29"/>
      <c r="M214" s="34"/>
    </row>
    <row r="215" spans="2:13" ht="30">
      <c r="B215" s="32" t="str">
        <f t="shared" si="21"/>
        <v>1</v>
      </c>
      <c r="C215" s="33" t="str">
        <f t="shared" si="22"/>
        <v>2</v>
      </c>
      <c r="D215" s="33" t="str">
        <f t="shared" si="23"/>
        <v>1</v>
      </c>
      <c r="E215" s="33" t="str">
        <f t="shared" si="24"/>
        <v>7</v>
      </c>
      <c r="F215" s="33" t="str">
        <f t="shared" si="25"/>
        <v>06</v>
      </c>
      <c r="G215" s="33" t="str">
        <f t="shared" si="26"/>
        <v>2</v>
      </c>
      <c r="H215" s="33" t="str">
        <f t="shared" si="27"/>
        <v>0</v>
      </c>
      <c r="I215" s="28">
        <v>12170620</v>
      </c>
      <c r="J215" s="29" t="s">
        <v>357</v>
      </c>
      <c r="K215" s="29" t="s">
        <v>356</v>
      </c>
      <c r="L215" s="29"/>
      <c r="M215" s="34"/>
    </row>
    <row r="216" spans="2:13" ht="30">
      <c r="B216" s="32" t="str">
        <f t="shared" si="21"/>
        <v>1</v>
      </c>
      <c r="C216" s="33" t="str">
        <f t="shared" si="22"/>
        <v>2</v>
      </c>
      <c r="D216" s="33" t="str">
        <f t="shared" si="23"/>
        <v>1</v>
      </c>
      <c r="E216" s="33" t="str">
        <f t="shared" si="24"/>
        <v>8</v>
      </c>
      <c r="F216" s="33" t="str">
        <f t="shared" si="25"/>
        <v>00</v>
      </c>
      <c r="G216" s="33" t="str">
        <f t="shared" si="26"/>
        <v>0</v>
      </c>
      <c r="H216" s="33" t="str">
        <f t="shared" si="27"/>
        <v>0</v>
      </c>
      <c r="I216" s="28">
        <v>12180000</v>
      </c>
      <c r="J216" s="29" t="s">
        <v>358</v>
      </c>
      <c r="K216" s="29" t="s">
        <v>359</v>
      </c>
      <c r="L216" s="29"/>
      <c r="M216" s="34"/>
    </row>
    <row r="217" spans="2:13" ht="45">
      <c r="B217" s="32" t="str">
        <f t="shared" si="21"/>
        <v>1</v>
      </c>
      <c r="C217" s="33" t="str">
        <f t="shared" si="22"/>
        <v>2</v>
      </c>
      <c r="D217" s="33" t="str">
        <f t="shared" si="23"/>
        <v>1</v>
      </c>
      <c r="E217" s="33" t="str">
        <f t="shared" si="24"/>
        <v>8</v>
      </c>
      <c r="F217" s="33" t="str">
        <f t="shared" si="25"/>
        <v>01</v>
      </c>
      <c r="G217" s="33" t="str">
        <f t="shared" si="26"/>
        <v>0</v>
      </c>
      <c r="H217" s="33" t="str">
        <f t="shared" si="27"/>
        <v>0</v>
      </c>
      <c r="I217" s="28">
        <v>12180100</v>
      </c>
      <c r="J217" s="29" t="s">
        <v>360</v>
      </c>
      <c r="K217" s="29" t="s">
        <v>361</v>
      </c>
      <c r="L217" s="29"/>
      <c r="M217" s="34"/>
    </row>
    <row r="218" spans="2:13" ht="30">
      <c r="B218" s="32" t="str">
        <f t="shared" si="21"/>
        <v>1</v>
      </c>
      <c r="C218" s="33" t="str">
        <f t="shared" si="22"/>
        <v>2</v>
      </c>
      <c r="D218" s="33" t="str">
        <f t="shared" si="23"/>
        <v>1</v>
      </c>
      <c r="E218" s="33" t="str">
        <f t="shared" si="24"/>
        <v>8</v>
      </c>
      <c r="F218" s="33" t="str">
        <f t="shared" si="25"/>
        <v>01</v>
      </c>
      <c r="G218" s="33" t="str">
        <f t="shared" si="26"/>
        <v>1</v>
      </c>
      <c r="H218" s="33" t="str">
        <f t="shared" si="27"/>
        <v>0</v>
      </c>
      <c r="I218" s="28">
        <v>12180110</v>
      </c>
      <c r="J218" s="29" t="s">
        <v>362</v>
      </c>
      <c r="K218" s="29" t="s">
        <v>363</v>
      </c>
      <c r="L218" s="29"/>
      <c r="M218" s="34"/>
    </row>
    <row r="219" spans="2:13" ht="30">
      <c r="B219" s="32" t="str">
        <f t="shared" si="21"/>
        <v>1</v>
      </c>
      <c r="C219" s="33" t="str">
        <f t="shared" si="22"/>
        <v>2</v>
      </c>
      <c r="D219" s="33" t="str">
        <f t="shared" si="23"/>
        <v>1</v>
      </c>
      <c r="E219" s="33" t="str">
        <f t="shared" si="24"/>
        <v>8</v>
      </c>
      <c r="F219" s="33" t="str">
        <f t="shared" si="25"/>
        <v>01</v>
      </c>
      <c r="G219" s="33" t="str">
        <f t="shared" si="26"/>
        <v>2</v>
      </c>
      <c r="H219" s="33" t="str">
        <f t="shared" si="27"/>
        <v>0</v>
      </c>
      <c r="I219" s="28">
        <v>12180120</v>
      </c>
      <c r="J219" s="29" t="s">
        <v>364</v>
      </c>
      <c r="K219" s="29" t="s">
        <v>365</v>
      </c>
      <c r="L219" s="29"/>
      <c r="M219" s="34"/>
    </row>
    <row r="220" spans="2:13" ht="30">
      <c r="B220" s="32" t="str">
        <f t="shared" si="21"/>
        <v>1</v>
      </c>
      <c r="C220" s="33" t="str">
        <f t="shared" si="22"/>
        <v>2</v>
      </c>
      <c r="D220" s="33" t="str">
        <f t="shared" si="23"/>
        <v>1</v>
      </c>
      <c r="E220" s="33" t="str">
        <f t="shared" si="24"/>
        <v>8</v>
      </c>
      <c r="F220" s="33" t="str">
        <f t="shared" si="25"/>
        <v>01</v>
      </c>
      <c r="G220" s="33" t="str">
        <f t="shared" si="26"/>
        <v>3</v>
      </c>
      <c r="H220" s="33" t="str">
        <f t="shared" si="27"/>
        <v>0</v>
      </c>
      <c r="I220" s="28">
        <v>12180130</v>
      </c>
      <c r="J220" s="29" t="s">
        <v>366</v>
      </c>
      <c r="K220" s="29" t="s">
        <v>367</v>
      </c>
      <c r="L220" s="29"/>
      <c r="M220" s="34"/>
    </row>
    <row r="221" spans="2:13" ht="45">
      <c r="B221" s="32" t="str">
        <f t="shared" si="21"/>
        <v>1</v>
      </c>
      <c r="C221" s="33" t="str">
        <f t="shared" si="22"/>
        <v>2</v>
      </c>
      <c r="D221" s="33" t="str">
        <f t="shared" si="23"/>
        <v>1</v>
      </c>
      <c r="E221" s="33" t="str">
        <f t="shared" si="24"/>
        <v>8</v>
      </c>
      <c r="F221" s="33" t="str">
        <f t="shared" si="25"/>
        <v>01</v>
      </c>
      <c r="G221" s="33" t="str">
        <f t="shared" si="26"/>
        <v>4</v>
      </c>
      <c r="H221" s="33" t="str">
        <f t="shared" si="27"/>
        <v>0</v>
      </c>
      <c r="I221" s="28">
        <v>12180140</v>
      </c>
      <c r="J221" s="29" t="s">
        <v>300</v>
      </c>
      <c r="K221" s="29" t="s">
        <v>368</v>
      </c>
      <c r="L221" s="29"/>
      <c r="M221" s="34"/>
    </row>
    <row r="222" spans="2:13" ht="45">
      <c r="B222" s="32" t="str">
        <f t="shared" si="21"/>
        <v>1</v>
      </c>
      <c r="C222" s="33" t="str">
        <f t="shared" si="22"/>
        <v>2</v>
      </c>
      <c r="D222" s="33" t="str">
        <f t="shared" si="23"/>
        <v>1</v>
      </c>
      <c r="E222" s="33" t="str">
        <f t="shared" si="24"/>
        <v>8</v>
      </c>
      <c r="F222" s="33" t="str">
        <f t="shared" si="25"/>
        <v>01</v>
      </c>
      <c r="G222" s="33" t="str">
        <f t="shared" si="26"/>
        <v>5</v>
      </c>
      <c r="H222" s="33" t="str">
        <f t="shared" si="27"/>
        <v>0</v>
      </c>
      <c r="I222" s="28">
        <v>12180150</v>
      </c>
      <c r="J222" s="29" t="s">
        <v>302</v>
      </c>
      <c r="K222" s="29" t="s">
        <v>369</v>
      </c>
      <c r="L222" s="29"/>
      <c r="M222" s="34"/>
    </row>
    <row r="223" spans="2:13" ht="45">
      <c r="B223" s="32" t="str">
        <f t="shared" si="21"/>
        <v>1</v>
      </c>
      <c r="C223" s="33" t="str">
        <f t="shared" si="22"/>
        <v>2</v>
      </c>
      <c r="D223" s="33" t="str">
        <f t="shared" si="23"/>
        <v>1</v>
      </c>
      <c r="E223" s="33" t="str">
        <f t="shared" si="24"/>
        <v>8</v>
      </c>
      <c r="F223" s="33" t="str">
        <f t="shared" si="25"/>
        <v>01</v>
      </c>
      <c r="G223" s="33" t="str">
        <f t="shared" si="26"/>
        <v>6</v>
      </c>
      <c r="H223" s="33" t="str">
        <f t="shared" si="27"/>
        <v>0</v>
      </c>
      <c r="I223" s="28">
        <v>12180160</v>
      </c>
      <c r="J223" s="29" t="s">
        <v>304</v>
      </c>
      <c r="K223" s="29" t="s">
        <v>370</v>
      </c>
      <c r="L223" s="29"/>
      <c r="M223" s="34"/>
    </row>
    <row r="224" spans="2:13" ht="45">
      <c r="B224" s="32" t="str">
        <f t="shared" si="21"/>
        <v>1</v>
      </c>
      <c r="C224" s="33" t="str">
        <f t="shared" si="22"/>
        <v>2</v>
      </c>
      <c r="D224" s="33" t="str">
        <f t="shared" si="23"/>
        <v>1</v>
      </c>
      <c r="E224" s="33" t="str">
        <f t="shared" si="24"/>
        <v>8</v>
      </c>
      <c r="F224" s="33" t="str">
        <f t="shared" si="25"/>
        <v>02</v>
      </c>
      <c r="G224" s="33" t="str">
        <f t="shared" si="26"/>
        <v>0</v>
      </c>
      <c r="H224" s="33" t="str">
        <f t="shared" si="27"/>
        <v>0</v>
      </c>
      <c r="I224" s="28">
        <v>12180200</v>
      </c>
      <c r="J224" s="29" t="s">
        <v>371</v>
      </c>
      <c r="K224" s="29" t="s">
        <v>372</v>
      </c>
      <c r="L224" s="29"/>
      <c r="M224" s="34"/>
    </row>
    <row r="225" spans="2:13" ht="45">
      <c r="B225" s="32" t="str">
        <f t="shared" si="21"/>
        <v>1</v>
      </c>
      <c r="C225" s="33" t="str">
        <f t="shared" si="22"/>
        <v>2</v>
      </c>
      <c r="D225" s="33" t="str">
        <f t="shared" si="23"/>
        <v>1</v>
      </c>
      <c r="E225" s="33" t="str">
        <f t="shared" si="24"/>
        <v>8</v>
      </c>
      <c r="F225" s="33" t="str">
        <f t="shared" si="25"/>
        <v>02</v>
      </c>
      <c r="G225" s="33" t="str">
        <f t="shared" si="26"/>
        <v>1</v>
      </c>
      <c r="H225" s="33" t="str">
        <f t="shared" si="27"/>
        <v>0</v>
      </c>
      <c r="I225" s="28">
        <v>12180210</v>
      </c>
      <c r="J225" s="29" t="s">
        <v>373</v>
      </c>
      <c r="K225" s="29" t="s">
        <v>374</v>
      </c>
      <c r="L225" s="29"/>
      <c r="M225" s="34"/>
    </row>
    <row r="226" spans="2:13" ht="45">
      <c r="B226" s="32" t="str">
        <f t="shared" si="21"/>
        <v>1</v>
      </c>
      <c r="C226" s="33" t="str">
        <f t="shared" si="22"/>
        <v>2</v>
      </c>
      <c r="D226" s="33" t="str">
        <f t="shared" si="23"/>
        <v>1</v>
      </c>
      <c r="E226" s="33" t="str">
        <f t="shared" si="24"/>
        <v>8</v>
      </c>
      <c r="F226" s="33" t="str">
        <f t="shared" si="25"/>
        <v>02</v>
      </c>
      <c r="G226" s="33" t="str">
        <f t="shared" si="26"/>
        <v>2</v>
      </c>
      <c r="H226" s="33" t="str">
        <f t="shared" si="27"/>
        <v>0</v>
      </c>
      <c r="I226" s="28">
        <v>12180220</v>
      </c>
      <c r="J226" s="29" t="s">
        <v>375</v>
      </c>
      <c r="K226" s="29" t="s">
        <v>376</v>
      </c>
      <c r="L226" s="29"/>
      <c r="M226" s="34"/>
    </row>
    <row r="227" spans="2:13" ht="45">
      <c r="B227" s="32" t="str">
        <f t="shared" si="21"/>
        <v>1</v>
      </c>
      <c r="C227" s="33" t="str">
        <f t="shared" si="22"/>
        <v>2</v>
      </c>
      <c r="D227" s="33" t="str">
        <f t="shared" si="23"/>
        <v>1</v>
      </c>
      <c r="E227" s="33" t="str">
        <f t="shared" si="24"/>
        <v>8</v>
      </c>
      <c r="F227" s="33" t="str">
        <f t="shared" si="25"/>
        <v>02</v>
      </c>
      <c r="G227" s="33" t="str">
        <f t="shared" si="26"/>
        <v>3</v>
      </c>
      <c r="H227" s="33" t="str">
        <f t="shared" si="27"/>
        <v>0</v>
      </c>
      <c r="I227" s="28">
        <v>12180230</v>
      </c>
      <c r="J227" s="29" t="s">
        <v>377</v>
      </c>
      <c r="K227" s="29" t="s">
        <v>378</v>
      </c>
      <c r="L227" s="29"/>
      <c r="M227" s="34"/>
    </row>
    <row r="228" spans="2:13" ht="45">
      <c r="B228" s="32" t="str">
        <f t="shared" si="21"/>
        <v>1</v>
      </c>
      <c r="C228" s="33" t="str">
        <f t="shared" si="22"/>
        <v>2</v>
      </c>
      <c r="D228" s="33" t="str">
        <f t="shared" si="23"/>
        <v>1</v>
      </c>
      <c r="E228" s="33" t="str">
        <f t="shared" si="24"/>
        <v>8</v>
      </c>
      <c r="F228" s="33" t="str">
        <f t="shared" si="25"/>
        <v>02</v>
      </c>
      <c r="G228" s="33" t="str">
        <f t="shared" si="26"/>
        <v>4</v>
      </c>
      <c r="H228" s="33" t="str">
        <f t="shared" si="27"/>
        <v>0</v>
      </c>
      <c r="I228" s="28">
        <v>12180240</v>
      </c>
      <c r="J228" s="29" t="s">
        <v>379</v>
      </c>
      <c r="K228" s="29" t="s">
        <v>380</v>
      </c>
      <c r="L228" s="29"/>
      <c r="M228" s="34"/>
    </row>
    <row r="229" spans="2:13" ht="45">
      <c r="B229" s="32" t="str">
        <f t="shared" si="21"/>
        <v>1</v>
      </c>
      <c r="C229" s="33" t="str">
        <f t="shared" si="22"/>
        <v>2</v>
      </c>
      <c r="D229" s="33" t="str">
        <f t="shared" si="23"/>
        <v>1</v>
      </c>
      <c r="E229" s="33" t="str">
        <f t="shared" si="24"/>
        <v>8</v>
      </c>
      <c r="F229" s="33" t="str">
        <f t="shared" si="25"/>
        <v>02</v>
      </c>
      <c r="G229" s="33" t="str">
        <f t="shared" si="26"/>
        <v>5</v>
      </c>
      <c r="H229" s="33" t="str">
        <f t="shared" si="27"/>
        <v>0</v>
      </c>
      <c r="I229" s="28">
        <v>12180250</v>
      </c>
      <c r="J229" s="29" t="s">
        <v>381</v>
      </c>
      <c r="K229" s="29" t="s">
        <v>382</v>
      </c>
      <c r="L229" s="29"/>
      <c r="M229" s="34"/>
    </row>
    <row r="230" spans="2:13" ht="45">
      <c r="B230" s="32" t="str">
        <f t="shared" si="21"/>
        <v>1</v>
      </c>
      <c r="C230" s="33" t="str">
        <f t="shared" si="22"/>
        <v>2</v>
      </c>
      <c r="D230" s="33" t="str">
        <f t="shared" si="23"/>
        <v>1</v>
      </c>
      <c r="E230" s="33" t="str">
        <f t="shared" si="24"/>
        <v>8</v>
      </c>
      <c r="F230" s="33" t="str">
        <f t="shared" si="25"/>
        <v>02</v>
      </c>
      <c r="G230" s="33" t="str">
        <f t="shared" si="26"/>
        <v>6</v>
      </c>
      <c r="H230" s="33" t="str">
        <f t="shared" si="27"/>
        <v>0</v>
      </c>
      <c r="I230" s="28">
        <v>12180260</v>
      </c>
      <c r="J230" s="29" t="s">
        <v>383</v>
      </c>
      <c r="K230" s="29" t="s">
        <v>384</v>
      </c>
      <c r="L230" s="29"/>
      <c r="M230" s="34"/>
    </row>
    <row r="231" spans="2:13" ht="45">
      <c r="B231" s="32" t="str">
        <f t="shared" si="21"/>
        <v>1</v>
      </c>
      <c r="C231" s="33" t="str">
        <f t="shared" si="22"/>
        <v>2</v>
      </c>
      <c r="D231" s="33" t="str">
        <f t="shared" si="23"/>
        <v>1</v>
      </c>
      <c r="E231" s="33" t="str">
        <f t="shared" si="24"/>
        <v>8</v>
      </c>
      <c r="F231" s="33" t="str">
        <f t="shared" si="25"/>
        <v>03</v>
      </c>
      <c r="G231" s="33" t="str">
        <f t="shared" si="26"/>
        <v>0</v>
      </c>
      <c r="H231" s="33" t="str">
        <f t="shared" si="27"/>
        <v>0</v>
      </c>
      <c r="I231" s="28">
        <v>12180300</v>
      </c>
      <c r="J231" s="29" t="s">
        <v>385</v>
      </c>
      <c r="K231" s="29" t="s">
        <v>386</v>
      </c>
      <c r="L231" s="29"/>
      <c r="M231" s="34"/>
    </row>
    <row r="232" spans="2:13" ht="30">
      <c r="B232" s="32" t="str">
        <f t="shared" si="21"/>
        <v>1</v>
      </c>
      <c r="C232" s="33" t="str">
        <f t="shared" si="22"/>
        <v>2</v>
      </c>
      <c r="D232" s="33" t="str">
        <f t="shared" si="23"/>
        <v>1</v>
      </c>
      <c r="E232" s="33" t="str">
        <f t="shared" si="24"/>
        <v>8</v>
      </c>
      <c r="F232" s="33" t="str">
        <f t="shared" si="25"/>
        <v>03</v>
      </c>
      <c r="G232" s="33" t="str">
        <f t="shared" si="26"/>
        <v>1</v>
      </c>
      <c r="H232" s="33" t="str">
        <f t="shared" si="27"/>
        <v>0</v>
      </c>
      <c r="I232" s="28">
        <v>12180310</v>
      </c>
      <c r="J232" s="29" t="s">
        <v>387</v>
      </c>
      <c r="K232" s="29" t="s">
        <v>388</v>
      </c>
      <c r="L232" s="29"/>
      <c r="M232" s="34"/>
    </row>
    <row r="233" spans="2:13" ht="30">
      <c r="B233" s="32" t="str">
        <f t="shared" si="21"/>
        <v>1</v>
      </c>
      <c r="C233" s="33" t="str">
        <f t="shared" si="22"/>
        <v>2</v>
      </c>
      <c r="D233" s="33" t="str">
        <f t="shared" si="23"/>
        <v>1</v>
      </c>
      <c r="E233" s="33" t="str">
        <f t="shared" si="24"/>
        <v>8</v>
      </c>
      <c r="F233" s="33" t="str">
        <f t="shared" si="25"/>
        <v>03</v>
      </c>
      <c r="G233" s="33" t="str">
        <f t="shared" si="26"/>
        <v>2</v>
      </c>
      <c r="H233" s="33" t="str">
        <f t="shared" si="27"/>
        <v>0</v>
      </c>
      <c r="I233" s="28">
        <v>12180320</v>
      </c>
      <c r="J233" s="29" t="s">
        <v>389</v>
      </c>
      <c r="K233" s="29" t="s">
        <v>390</v>
      </c>
      <c r="L233" s="29"/>
      <c r="M233" s="34"/>
    </row>
    <row r="234" spans="2:13" ht="30">
      <c r="B234" s="32" t="str">
        <f t="shared" si="21"/>
        <v>1</v>
      </c>
      <c r="C234" s="33" t="str">
        <f t="shared" si="22"/>
        <v>2</v>
      </c>
      <c r="D234" s="33" t="str">
        <f t="shared" si="23"/>
        <v>1</v>
      </c>
      <c r="E234" s="33" t="str">
        <f t="shared" si="24"/>
        <v>8</v>
      </c>
      <c r="F234" s="33" t="str">
        <f t="shared" si="25"/>
        <v>03</v>
      </c>
      <c r="G234" s="33" t="str">
        <f t="shared" si="26"/>
        <v>3</v>
      </c>
      <c r="H234" s="33" t="str">
        <f t="shared" si="27"/>
        <v>0</v>
      </c>
      <c r="I234" s="28">
        <v>12180330</v>
      </c>
      <c r="J234" s="29" t="s">
        <v>391</v>
      </c>
      <c r="K234" s="29" t="s">
        <v>392</v>
      </c>
      <c r="L234" s="29"/>
      <c r="M234" s="34"/>
    </row>
    <row r="235" spans="2:13" ht="45">
      <c r="B235" s="32" t="str">
        <f t="shared" si="21"/>
        <v>1</v>
      </c>
      <c r="C235" s="33" t="str">
        <f t="shared" si="22"/>
        <v>2</v>
      </c>
      <c r="D235" s="33" t="str">
        <f t="shared" si="23"/>
        <v>1</v>
      </c>
      <c r="E235" s="33" t="str">
        <f t="shared" si="24"/>
        <v>8</v>
      </c>
      <c r="F235" s="33" t="str">
        <f t="shared" si="25"/>
        <v>03</v>
      </c>
      <c r="G235" s="33" t="str">
        <f t="shared" si="26"/>
        <v>4</v>
      </c>
      <c r="H235" s="33" t="str">
        <f t="shared" si="27"/>
        <v>0</v>
      </c>
      <c r="I235" s="28">
        <v>12180340</v>
      </c>
      <c r="J235" s="29" t="s">
        <v>393</v>
      </c>
      <c r="K235" s="29" t="s">
        <v>394</v>
      </c>
      <c r="L235" s="29"/>
      <c r="M235" s="34"/>
    </row>
    <row r="236" spans="2:13" ht="45">
      <c r="B236" s="32" t="str">
        <f t="shared" si="21"/>
        <v>1</v>
      </c>
      <c r="C236" s="33" t="str">
        <f t="shared" si="22"/>
        <v>2</v>
      </c>
      <c r="D236" s="33" t="str">
        <f t="shared" si="23"/>
        <v>1</v>
      </c>
      <c r="E236" s="33" t="str">
        <f t="shared" si="24"/>
        <v>8</v>
      </c>
      <c r="F236" s="33" t="str">
        <f t="shared" si="25"/>
        <v>03</v>
      </c>
      <c r="G236" s="33" t="str">
        <f t="shared" si="26"/>
        <v>5</v>
      </c>
      <c r="H236" s="33" t="str">
        <f t="shared" si="27"/>
        <v>0</v>
      </c>
      <c r="I236" s="28">
        <v>12180350</v>
      </c>
      <c r="J236" s="29" t="s">
        <v>395</v>
      </c>
      <c r="K236" s="29" t="s">
        <v>396</v>
      </c>
      <c r="L236" s="29"/>
      <c r="M236" s="34"/>
    </row>
    <row r="237" spans="2:13" ht="45">
      <c r="B237" s="32" t="str">
        <f t="shared" si="21"/>
        <v>1</v>
      </c>
      <c r="C237" s="33" t="str">
        <f t="shared" si="22"/>
        <v>2</v>
      </c>
      <c r="D237" s="33" t="str">
        <f t="shared" si="23"/>
        <v>1</v>
      </c>
      <c r="E237" s="33" t="str">
        <f t="shared" si="24"/>
        <v>8</v>
      </c>
      <c r="F237" s="33" t="str">
        <f t="shared" si="25"/>
        <v>03</v>
      </c>
      <c r="G237" s="33" t="str">
        <f t="shared" si="26"/>
        <v>6</v>
      </c>
      <c r="H237" s="33" t="str">
        <f t="shared" si="27"/>
        <v>0</v>
      </c>
      <c r="I237" s="28">
        <v>12180360</v>
      </c>
      <c r="J237" s="29" t="s">
        <v>397</v>
      </c>
      <c r="K237" s="29" t="s">
        <v>398</v>
      </c>
      <c r="L237" s="29"/>
      <c r="M237" s="34"/>
    </row>
    <row r="238" spans="2:13" ht="45">
      <c r="B238" s="32" t="str">
        <f t="shared" si="21"/>
        <v>1</v>
      </c>
      <c r="C238" s="33" t="str">
        <f t="shared" si="22"/>
        <v>2</v>
      </c>
      <c r="D238" s="33" t="str">
        <f t="shared" si="23"/>
        <v>1</v>
      </c>
      <c r="E238" s="33" t="str">
        <f t="shared" si="24"/>
        <v>8</v>
      </c>
      <c r="F238" s="33" t="str">
        <f t="shared" si="25"/>
        <v>04</v>
      </c>
      <c r="G238" s="33" t="str">
        <f t="shared" si="26"/>
        <v>0</v>
      </c>
      <c r="H238" s="33" t="str">
        <f t="shared" si="27"/>
        <v>0</v>
      </c>
      <c r="I238" s="28">
        <v>12180400</v>
      </c>
      <c r="J238" s="29" t="s">
        <v>399</v>
      </c>
      <c r="K238" s="29" t="s">
        <v>400</v>
      </c>
      <c r="L238" s="29"/>
      <c r="M238" s="34"/>
    </row>
    <row r="239" spans="2:13" ht="45">
      <c r="B239" s="32" t="str">
        <f t="shared" si="21"/>
        <v>1</v>
      </c>
      <c r="C239" s="33" t="str">
        <f t="shared" si="22"/>
        <v>2</v>
      </c>
      <c r="D239" s="33" t="str">
        <f t="shared" si="23"/>
        <v>1</v>
      </c>
      <c r="E239" s="33" t="str">
        <f t="shared" si="24"/>
        <v>8</v>
      </c>
      <c r="F239" s="33" t="str">
        <f t="shared" si="25"/>
        <v>04</v>
      </c>
      <c r="G239" s="33" t="str">
        <f t="shared" si="26"/>
        <v>1</v>
      </c>
      <c r="H239" s="33" t="str">
        <f t="shared" si="27"/>
        <v>0</v>
      </c>
      <c r="I239" s="28">
        <v>12180410</v>
      </c>
      <c r="J239" s="29" t="s">
        <v>401</v>
      </c>
      <c r="K239" s="29" t="s">
        <v>402</v>
      </c>
      <c r="L239" s="29"/>
      <c r="M239" s="34"/>
    </row>
    <row r="240" spans="2:13" ht="45">
      <c r="B240" s="32" t="str">
        <f t="shared" si="21"/>
        <v>1</v>
      </c>
      <c r="C240" s="33" t="str">
        <f t="shared" si="22"/>
        <v>2</v>
      </c>
      <c r="D240" s="33" t="str">
        <f t="shared" si="23"/>
        <v>1</v>
      </c>
      <c r="E240" s="33" t="str">
        <f t="shared" si="24"/>
        <v>8</v>
      </c>
      <c r="F240" s="33" t="str">
        <f t="shared" si="25"/>
        <v>04</v>
      </c>
      <c r="G240" s="33" t="str">
        <f t="shared" si="26"/>
        <v>2</v>
      </c>
      <c r="H240" s="33" t="str">
        <f t="shared" si="27"/>
        <v>0</v>
      </c>
      <c r="I240" s="28">
        <v>12180420</v>
      </c>
      <c r="J240" s="29" t="s">
        <v>403</v>
      </c>
      <c r="K240" s="29" t="s">
        <v>404</v>
      </c>
      <c r="L240" s="29"/>
      <c r="M240" s="34"/>
    </row>
    <row r="241" spans="2:13" ht="45">
      <c r="B241" s="32" t="str">
        <f t="shared" si="21"/>
        <v>1</v>
      </c>
      <c r="C241" s="33" t="str">
        <f t="shared" si="22"/>
        <v>2</v>
      </c>
      <c r="D241" s="33" t="str">
        <f t="shared" si="23"/>
        <v>1</v>
      </c>
      <c r="E241" s="33" t="str">
        <f t="shared" si="24"/>
        <v>8</v>
      </c>
      <c r="F241" s="33" t="str">
        <f t="shared" si="25"/>
        <v>04</v>
      </c>
      <c r="G241" s="33" t="str">
        <f t="shared" si="26"/>
        <v>3</v>
      </c>
      <c r="H241" s="33" t="str">
        <f t="shared" si="27"/>
        <v>0</v>
      </c>
      <c r="I241" s="28">
        <v>12180430</v>
      </c>
      <c r="J241" s="29" t="s">
        <v>405</v>
      </c>
      <c r="K241" s="29" t="s">
        <v>406</v>
      </c>
      <c r="L241" s="29"/>
      <c r="M241" s="34"/>
    </row>
    <row r="242" spans="2:13" ht="45">
      <c r="B242" s="32" t="str">
        <f t="shared" si="21"/>
        <v>1</v>
      </c>
      <c r="C242" s="33" t="str">
        <f t="shared" si="22"/>
        <v>2</v>
      </c>
      <c r="D242" s="33" t="str">
        <f t="shared" si="23"/>
        <v>1</v>
      </c>
      <c r="E242" s="33" t="str">
        <f t="shared" si="24"/>
        <v>8</v>
      </c>
      <c r="F242" s="33" t="str">
        <f t="shared" si="25"/>
        <v>04</v>
      </c>
      <c r="G242" s="33" t="str">
        <f t="shared" si="26"/>
        <v>4</v>
      </c>
      <c r="H242" s="33" t="str">
        <f t="shared" si="27"/>
        <v>0</v>
      </c>
      <c r="I242" s="28">
        <v>12180440</v>
      </c>
      <c r="J242" s="29" t="s">
        <v>407</v>
      </c>
      <c r="K242" s="29" t="s">
        <v>408</v>
      </c>
      <c r="L242" s="29"/>
      <c r="M242" s="34"/>
    </row>
    <row r="243" spans="2:13" ht="45">
      <c r="B243" s="32" t="str">
        <f t="shared" si="21"/>
        <v>1</v>
      </c>
      <c r="C243" s="33" t="str">
        <f t="shared" si="22"/>
        <v>2</v>
      </c>
      <c r="D243" s="33" t="str">
        <f t="shared" si="23"/>
        <v>1</v>
      </c>
      <c r="E243" s="33" t="str">
        <f t="shared" si="24"/>
        <v>8</v>
      </c>
      <c r="F243" s="33" t="str">
        <f t="shared" si="25"/>
        <v>04</v>
      </c>
      <c r="G243" s="33" t="str">
        <f t="shared" si="26"/>
        <v>5</v>
      </c>
      <c r="H243" s="33" t="str">
        <f t="shared" si="27"/>
        <v>0</v>
      </c>
      <c r="I243" s="28">
        <v>12180450</v>
      </c>
      <c r="J243" s="29" t="s">
        <v>409</v>
      </c>
      <c r="K243" s="29" t="s">
        <v>410</v>
      </c>
      <c r="L243" s="29"/>
      <c r="M243" s="34"/>
    </row>
    <row r="244" spans="2:13" ht="45">
      <c r="B244" s="32" t="str">
        <f t="shared" si="21"/>
        <v>1</v>
      </c>
      <c r="C244" s="33" t="str">
        <f t="shared" si="22"/>
        <v>2</v>
      </c>
      <c r="D244" s="33" t="str">
        <f t="shared" si="23"/>
        <v>1</v>
      </c>
      <c r="E244" s="33" t="str">
        <f t="shared" si="24"/>
        <v>8</v>
      </c>
      <c r="F244" s="33" t="str">
        <f t="shared" si="25"/>
        <v>04</v>
      </c>
      <c r="G244" s="33" t="str">
        <f t="shared" si="26"/>
        <v>6</v>
      </c>
      <c r="H244" s="33" t="str">
        <f t="shared" si="27"/>
        <v>0</v>
      </c>
      <c r="I244" s="28">
        <v>12180460</v>
      </c>
      <c r="J244" s="29" t="s">
        <v>411</v>
      </c>
      <c r="K244" s="29" t="s">
        <v>412</v>
      </c>
      <c r="L244" s="29"/>
      <c r="M244" s="34"/>
    </row>
    <row r="245" spans="2:13" ht="30">
      <c r="B245" s="32" t="str">
        <f t="shared" si="21"/>
        <v>1</v>
      </c>
      <c r="C245" s="33" t="str">
        <f t="shared" si="22"/>
        <v>2</v>
      </c>
      <c r="D245" s="33" t="str">
        <f t="shared" si="23"/>
        <v>1</v>
      </c>
      <c r="E245" s="33" t="str">
        <f t="shared" si="24"/>
        <v>8</v>
      </c>
      <c r="F245" s="33" t="str">
        <f t="shared" si="25"/>
        <v>05</v>
      </c>
      <c r="G245" s="33" t="str">
        <f t="shared" si="26"/>
        <v>0</v>
      </c>
      <c r="H245" s="33" t="str">
        <f t="shared" si="27"/>
        <v>0</v>
      </c>
      <c r="I245" s="28">
        <v>12180500</v>
      </c>
      <c r="J245" s="29" t="s">
        <v>413</v>
      </c>
      <c r="K245" s="29" t="s">
        <v>414</v>
      </c>
      <c r="L245" s="29" t="s">
        <v>415</v>
      </c>
      <c r="M245" s="34" t="s">
        <v>10</v>
      </c>
    </row>
    <row r="246" spans="2:13" ht="30">
      <c r="B246" s="32" t="str">
        <f t="shared" si="21"/>
        <v>1</v>
      </c>
      <c r="C246" s="33" t="str">
        <f t="shared" si="22"/>
        <v>2</v>
      </c>
      <c r="D246" s="33" t="str">
        <f t="shared" si="23"/>
        <v>1</v>
      </c>
      <c r="E246" s="33" t="str">
        <f t="shared" si="24"/>
        <v>8</v>
      </c>
      <c r="F246" s="33" t="str">
        <f t="shared" si="25"/>
        <v>05</v>
      </c>
      <c r="G246" s="33" t="str">
        <f t="shared" si="26"/>
        <v>1</v>
      </c>
      <c r="H246" s="33" t="str">
        <f t="shared" si="27"/>
        <v>0</v>
      </c>
      <c r="I246" s="28">
        <v>12180510</v>
      </c>
      <c r="J246" s="29" t="s">
        <v>416</v>
      </c>
      <c r="K246" s="29" t="s">
        <v>417</v>
      </c>
      <c r="L246" s="29" t="s">
        <v>415</v>
      </c>
      <c r="M246" s="34" t="s">
        <v>10</v>
      </c>
    </row>
    <row r="247" spans="2:13" ht="30">
      <c r="B247" s="32" t="str">
        <f t="shared" si="21"/>
        <v>1</v>
      </c>
      <c r="C247" s="33" t="str">
        <f t="shared" si="22"/>
        <v>2</v>
      </c>
      <c r="D247" s="33" t="str">
        <f t="shared" si="23"/>
        <v>1</v>
      </c>
      <c r="E247" s="33" t="str">
        <f t="shared" si="24"/>
        <v>8</v>
      </c>
      <c r="F247" s="33" t="str">
        <f t="shared" si="25"/>
        <v>05</v>
      </c>
      <c r="G247" s="33" t="str">
        <f t="shared" si="26"/>
        <v>2</v>
      </c>
      <c r="H247" s="33" t="str">
        <f t="shared" si="27"/>
        <v>0</v>
      </c>
      <c r="I247" s="28">
        <v>12180520</v>
      </c>
      <c r="J247" s="29" t="s">
        <v>418</v>
      </c>
      <c r="K247" s="29" t="s">
        <v>419</v>
      </c>
      <c r="L247" s="29" t="s">
        <v>415</v>
      </c>
      <c r="M247" s="34" t="s">
        <v>10</v>
      </c>
    </row>
    <row r="248" spans="2:13" ht="30">
      <c r="B248" s="32" t="str">
        <f t="shared" si="21"/>
        <v>1</v>
      </c>
      <c r="C248" s="33" t="str">
        <f t="shared" si="22"/>
        <v>2</v>
      </c>
      <c r="D248" s="33" t="str">
        <f t="shared" si="23"/>
        <v>1</v>
      </c>
      <c r="E248" s="33" t="str">
        <f t="shared" si="24"/>
        <v>8</v>
      </c>
      <c r="F248" s="33" t="str">
        <f t="shared" si="25"/>
        <v>05</v>
      </c>
      <c r="G248" s="33" t="str">
        <f t="shared" si="26"/>
        <v>3</v>
      </c>
      <c r="H248" s="33" t="str">
        <f t="shared" si="27"/>
        <v>0</v>
      </c>
      <c r="I248" s="28">
        <v>12180530</v>
      </c>
      <c r="J248" s="29" t="s">
        <v>420</v>
      </c>
      <c r="K248" s="29" t="s">
        <v>421</v>
      </c>
      <c r="L248" s="29" t="s">
        <v>415</v>
      </c>
      <c r="M248" s="34" t="s">
        <v>10</v>
      </c>
    </row>
    <row r="249" spans="2:13" ht="45">
      <c r="B249" s="32" t="str">
        <f t="shared" si="21"/>
        <v>1</v>
      </c>
      <c r="C249" s="33" t="str">
        <f t="shared" si="22"/>
        <v>2</v>
      </c>
      <c r="D249" s="33" t="str">
        <f t="shared" si="23"/>
        <v>1</v>
      </c>
      <c r="E249" s="33" t="str">
        <f t="shared" si="24"/>
        <v>8</v>
      </c>
      <c r="F249" s="33" t="str">
        <f t="shared" si="25"/>
        <v>06</v>
      </c>
      <c r="G249" s="33" t="str">
        <f t="shared" si="26"/>
        <v>0</v>
      </c>
      <c r="H249" s="33" t="str">
        <f t="shared" si="27"/>
        <v>0</v>
      </c>
      <c r="I249" s="28">
        <v>12180600</v>
      </c>
      <c r="J249" s="29" t="s">
        <v>422</v>
      </c>
      <c r="K249" s="29" t="s">
        <v>423</v>
      </c>
      <c r="L249" s="29" t="s">
        <v>415</v>
      </c>
      <c r="M249" s="34" t="s">
        <v>10</v>
      </c>
    </row>
    <row r="250" spans="2:13" ht="45">
      <c r="B250" s="32" t="str">
        <f t="shared" si="21"/>
        <v>1</v>
      </c>
      <c r="C250" s="33" t="str">
        <f t="shared" si="22"/>
        <v>2</v>
      </c>
      <c r="D250" s="33" t="str">
        <f t="shared" si="23"/>
        <v>1</v>
      </c>
      <c r="E250" s="33" t="str">
        <f t="shared" si="24"/>
        <v>8</v>
      </c>
      <c r="F250" s="33" t="str">
        <f t="shared" si="25"/>
        <v>06</v>
      </c>
      <c r="G250" s="33" t="str">
        <f t="shared" si="26"/>
        <v>1</v>
      </c>
      <c r="H250" s="33" t="str">
        <f t="shared" si="27"/>
        <v>0</v>
      </c>
      <c r="I250" s="28">
        <v>12180610</v>
      </c>
      <c r="J250" s="29" t="s">
        <v>424</v>
      </c>
      <c r="K250" s="29" t="s">
        <v>425</v>
      </c>
      <c r="L250" s="29" t="s">
        <v>415</v>
      </c>
      <c r="M250" s="34" t="s">
        <v>10</v>
      </c>
    </row>
    <row r="251" spans="2:13" ht="45">
      <c r="B251" s="32" t="str">
        <f t="shared" si="21"/>
        <v>1</v>
      </c>
      <c r="C251" s="33" t="str">
        <f t="shared" si="22"/>
        <v>2</v>
      </c>
      <c r="D251" s="33" t="str">
        <f t="shared" si="23"/>
        <v>1</v>
      </c>
      <c r="E251" s="33" t="str">
        <f t="shared" si="24"/>
        <v>8</v>
      </c>
      <c r="F251" s="33" t="str">
        <f t="shared" si="25"/>
        <v>06</v>
      </c>
      <c r="G251" s="33" t="str">
        <f t="shared" si="26"/>
        <v>2</v>
      </c>
      <c r="H251" s="33" t="str">
        <f t="shared" si="27"/>
        <v>0</v>
      </c>
      <c r="I251" s="28">
        <v>12180620</v>
      </c>
      <c r="J251" s="29" t="s">
        <v>426</v>
      </c>
      <c r="K251" s="29" t="s">
        <v>427</v>
      </c>
      <c r="L251" s="29" t="s">
        <v>415</v>
      </c>
      <c r="M251" s="34" t="s">
        <v>10</v>
      </c>
    </row>
    <row r="252" spans="2:13" ht="45">
      <c r="B252" s="32" t="str">
        <f t="shared" si="21"/>
        <v>1</v>
      </c>
      <c r="C252" s="33" t="str">
        <f t="shared" si="22"/>
        <v>2</v>
      </c>
      <c r="D252" s="33" t="str">
        <f t="shared" si="23"/>
        <v>1</v>
      </c>
      <c r="E252" s="33" t="str">
        <f t="shared" si="24"/>
        <v>8</v>
      </c>
      <c r="F252" s="33" t="str">
        <f t="shared" si="25"/>
        <v>06</v>
      </c>
      <c r="G252" s="33" t="str">
        <f t="shared" si="26"/>
        <v>3</v>
      </c>
      <c r="H252" s="33" t="str">
        <f t="shared" si="27"/>
        <v>0</v>
      </c>
      <c r="I252" s="28">
        <v>12180630</v>
      </c>
      <c r="J252" s="29" t="s">
        <v>428</v>
      </c>
      <c r="K252" s="29" t="s">
        <v>429</v>
      </c>
      <c r="L252" s="29" t="s">
        <v>415</v>
      </c>
      <c r="M252" s="34" t="s">
        <v>10</v>
      </c>
    </row>
    <row r="253" spans="2:13" ht="30">
      <c r="B253" s="32" t="str">
        <f t="shared" si="21"/>
        <v>1</v>
      </c>
      <c r="C253" s="33" t="str">
        <f t="shared" si="22"/>
        <v>2</v>
      </c>
      <c r="D253" s="33" t="str">
        <f t="shared" si="23"/>
        <v>1</v>
      </c>
      <c r="E253" s="33" t="str">
        <f t="shared" si="24"/>
        <v>8</v>
      </c>
      <c r="F253" s="33" t="str">
        <f t="shared" si="25"/>
        <v>07</v>
      </c>
      <c r="G253" s="33" t="str">
        <f t="shared" si="26"/>
        <v>0</v>
      </c>
      <c r="H253" s="33" t="str">
        <f t="shared" si="27"/>
        <v>0</v>
      </c>
      <c r="I253" s="28">
        <v>12180700</v>
      </c>
      <c r="J253" s="29" t="s">
        <v>430</v>
      </c>
      <c r="K253" s="29" t="s">
        <v>431</v>
      </c>
      <c r="L253" s="29" t="s">
        <v>415</v>
      </c>
      <c r="M253" s="34" t="s">
        <v>10</v>
      </c>
    </row>
    <row r="254" spans="2:13" ht="30">
      <c r="B254" s="32" t="str">
        <f t="shared" si="21"/>
        <v>1</v>
      </c>
      <c r="C254" s="33" t="str">
        <f t="shared" si="22"/>
        <v>2</v>
      </c>
      <c r="D254" s="33" t="str">
        <f t="shared" si="23"/>
        <v>1</v>
      </c>
      <c r="E254" s="33" t="str">
        <f t="shared" si="24"/>
        <v>8</v>
      </c>
      <c r="F254" s="33" t="str">
        <f t="shared" si="25"/>
        <v>07</v>
      </c>
      <c r="G254" s="33" t="str">
        <f t="shared" si="26"/>
        <v>1</v>
      </c>
      <c r="H254" s="33" t="str">
        <f t="shared" si="27"/>
        <v>0</v>
      </c>
      <c r="I254" s="28">
        <v>12180710</v>
      </c>
      <c r="J254" s="29" t="s">
        <v>432</v>
      </c>
      <c r="K254" s="29" t="s">
        <v>433</v>
      </c>
      <c r="L254" s="29" t="s">
        <v>415</v>
      </c>
      <c r="M254" s="34" t="s">
        <v>10</v>
      </c>
    </row>
    <row r="255" spans="2:13" ht="30">
      <c r="B255" s="32" t="str">
        <f t="shared" si="21"/>
        <v>1</v>
      </c>
      <c r="C255" s="33" t="str">
        <f t="shared" si="22"/>
        <v>2</v>
      </c>
      <c r="D255" s="33" t="str">
        <f t="shared" si="23"/>
        <v>1</v>
      </c>
      <c r="E255" s="33" t="str">
        <f t="shared" si="24"/>
        <v>8</v>
      </c>
      <c r="F255" s="33" t="str">
        <f t="shared" si="25"/>
        <v>07</v>
      </c>
      <c r="G255" s="33" t="str">
        <f t="shared" si="26"/>
        <v>2</v>
      </c>
      <c r="H255" s="33" t="str">
        <f t="shared" si="27"/>
        <v>0</v>
      </c>
      <c r="I255" s="28">
        <v>12180720</v>
      </c>
      <c r="J255" s="29" t="s">
        <v>434</v>
      </c>
      <c r="K255" s="29" t="s">
        <v>435</v>
      </c>
      <c r="L255" s="29" t="s">
        <v>415</v>
      </c>
      <c r="M255" s="34" t="s">
        <v>10</v>
      </c>
    </row>
    <row r="256" spans="2:13" ht="30">
      <c r="B256" s="32" t="str">
        <f t="shared" si="21"/>
        <v>1</v>
      </c>
      <c r="C256" s="33" t="str">
        <f t="shared" si="22"/>
        <v>2</v>
      </c>
      <c r="D256" s="33" t="str">
        <f t="shared" si="23"/>
        <v>1</v>
      </c>
      <c r="E256" s="33" t="str">
        <f t="shared" si="24"/>
        <v>8</v>
      </c>
      <c r="F256" s="33" t="str">
        <f t="shared" si="25"/>
        <v>07</v>
      </c>
      <c r="G256" s="33" t="str">
        <f t="shared" si="26"/>
        <v>3</v>
      </c>
      <c r="H256" s="33" t="str">
        <f t="shared" si="27"/>
        <v>0</v>
      </c>
      <c r="I256" s="28">
        <v>12180730</v>
      </c>
      <c r="J256" s="29" t="s">
        <v>436</v>
      </c>
      <c r="K256" s="29" t="s">
        <v>437</v>
      </c>
      <c r="L256" s="29" t="s">
        <v>415</v>
      </c>
      <c r="M256" s="34" t="s">
        <v>10</v>
      </c>
    </row>
    <row r="257" spans="2:13" ht="30">
      <c r="B257" s="32" t="str">
        <f t="shared" si="21"/>
        <v>1</v>
      </c>
      <c r="C257" s="33" t="str">
        <f t="shared" si="22"/>
        <v>2</v>
      </c>
      <c r="D257" s="33" t="str">
        <f t="shared" si="23"/>
        <v>1</v>
      </c>
      <c r="E257" s="33" t="str">
        <f t="shared" si="24"/>
        <v>8</v>
      </c>
      <c r="F257" s="33" t="str">
        <f t="shared" si="25"/>
        <v>08</v>
      </c>
      <c r="G257" s="33" t="str">
        <f t="shared" si="26"/>
        <v>0</v>
      </c>
      <c r="H257" s="33" t="str">
        <f t="shared" si="27"/>
        <v>0</v>
      </c>
      <c r="I257" s="28">
        <v>12180800</v>
      </c>
      <c r="J257" s="29" t="s">
        <v>438</v>
      </c>
      <c r="K257" s="29" t="s">
        <v>439</v>
      </c>
      <c r="L257" s="29" t="s">
        <v>415</v>
      </c>
      <c r="M257" s="34" t="s">
        <v>10</v>
      </c>
    </row>
    <row r="258" spans="2:13" ht="45">
      <c r="B258" s="32" t="str">
        <f t="shared" si="21"/>
        <v>1</v>
      </c>
      <c r="C258" s="33" t="str">
        <f t="shared" si="22"/>
        <v>2</v>
      </c>
      <c r="D258" s="33" t="str">
        <f t="shared" si="23"/>
        <v>1</v>
      </c>
      <c r="E258" s="33" t="str">
        <f t="shared" si="24"/>
        <v>8</v>
      </c>
      <c r="F258" s="33" t="str">
        <f t="shared" si="25"/>
        <v>08</v>
      </c>
      <c r="G258" s="33" t="str">
        <f t="shared" si="26"/>
        <v>1</v>
      </c>
      <c r="H258" s="33" t="str">
        <f t="shared" si="27"/>
        <v>0</v>
      </c>
      <c r="I258" s="28">
        <v>12180810</v>
      </c>
      <c r="J258" s="29" t="s">
        <v>440</v>
      </c>
      <c r="K258" s="29" t="s">
        <v>441</v>
      </c>
      <c r="L258" s="29" t="s">
        <v>415</v>
      </c>
      <c r="M258" s="34" t="s">
        <v>10</v>
      </c>
    </row>
    <row r="259" spans="2:13" ht="45">
      <c r="B259" s="32" t="str">
        <f t="shared" ref="B259:B322" si="28">MID($I259,1,1)</f>
        <v>1</v>
      </c>
      <c r="C259" s="33" t="str">
        <f t="shared" ref="C259:C322" si="29">MID($I259,2,1)</f>
        <v>2</v>
      </c>
      <c r="D259" s="33" t="str">
        <f t="shared" ref="D259:D322" si="30">MID($I259,3,1)</f>
        <v>1</v>
      </c>
      <c r="E259" s="33" t="str">
        <f t="shared" ref="E259:E322" si="31">MID($I259,4,1)</f>
        <v>8</v>
      </c>
      <c r="F259" s="33" t="str">
        <f t="shared" ref="F259:F322" si="32">MID($I259,5,2)</f>
        <v>08</v>
      </c>
      <c r="G259" s="33" t="str">
        <f t="shared" ref="G259:G322" si="33">MID($I259,7,1)</f>
        <v>2</v>
      </c>
      <c r="H259" s="33" t="str">
        <f t="shared" ref="H259:H322" si="34">MID($I259,8,1)</f>
        <v>0</v>
      </c>
      <c r="I259" s="28">
        <v>12180820</v>
      </c>
      <c r="J259" s="29" t="s">
        <v>442</v>
      </c>
      <c r="K259" s="29" t="s">
        <v>443</v>
      </c>
      <c r="L259" s="29" t="s">
        <v>415</v>
      </c>
      <c r="M259" s="34" t="s">
        <v>10</v>
      </c>
    </row>
    <row r="260" spans="2:13" ht="45">
      <c r="B260" s="32" t="str">
        <f t="shared" si="28"/>
        <v>1</v>
      </c>
      <c r="C260" s="33" t="str">
        <f t="shared" si="29"/>
        <v>2</v>
      </c>
      <c r="D260" s="33" t="str">
        <f t="shared" si="30"/>
        <v>1</v>
      </c>
      <c r="E260" s="33" t="str">
        <f t="shared" si="31"/>
        <v>8</v>
      </c>
      <c r="F260" s="33" t="str">
        <f t="shared" si="32"/>
        <v>08</v>
      </c>
      <c r="G260" s="33" t="str">
        <f t="shared" si="33"/>
        <v>3</v>
      </c>
      <c r="H260" s="33" t="str">
        <f t="shared" si="34"/>
        <v>0</v>
      </c>
      <c r="I260" s="28">
        <v>12180830</v>
      </c>
      <c r="J260" s="29" t="s">
        <v>444</v>
      </c>
      <c r="K260" s="29" t="s">
        <v>445</v>
      </c>
      <c r="L260" s="29" t="s">
        <v>415</v>
      </c>
      <c r="M260" s="34" t="s">
        <v>10</v>
      </c>
    </row>
    <row r="261" spans="2:13" ht="30">
      <c r="B261" s="32" t="str">
        <f t="shared" si="28"/>
        <v>1</v>
      </c>
      <c r="C261" s="33" t="str">
        <f t="shared" si="29"/>
        <v>2</v>
      </c>
      <c r="D261" s="33" t="str">
        <f t="shared" si="30"/>
        <v>1</v>
      </c>
      <c r="E261" s="33" t="str">
        <f t="shared" si="31"/>
        <v>9</v>
      </c>
      <c r="F261" s="33" t="str">
        <f t="shared" si="32"/>
        <v>00</v>
      </c>
      <c r="G261" s="33" t="str">
        <f t="shared" si="33"/>
        <v>0</v>
      </c>
      <c r="H261" s="33" t="str">
        <f t="shared" si="34"/>
        <v>0</v>
      </c>
      <c r="I261" s="28">
        <v>12190000</v>
      </c>
      <c r="J261" s="29" t="s">
        <v>446</v>
      </c>
      <c r="K261" s="29" t="s">
        <v>447</v>
      </c>
      <c r="L261" s="29"/>
      <c r="M261" s="34"/>
    </row>
    <row r="262" spans="2:13" ht="45">
      <c r="B262" s="32" t="str">
        <f t="shared" si="28"/>
        <v>1</v>
      </c>
      <c r="C262" s="33" t="str">
        <f t="shared" si="29"/>
        <v>2</v>
      </c>
      <c r="D262" s="33" t="str">
        <f t="shared" si="30"/>
        <v>1</v>
      </c>
      <c r="E262" s="33" t="str">
        <f t="shared" si="31"/>
        <v>9</v>
      </c>
      <c r="F262" s="33" t="str">
        <f t="shared" si="32"/>
        <v>01</v>
      </c>
      <c r="G262" s="33" t="str">
        <f t="shared" si="33"/>
        <v>0</v>
      </c>
      <c r="H262" s="33" t="str">
        <f t="shared" si="34"/>
        <v>0</v>
      </c>
      <c r="I262" s="28">
        <v>12190100</v>
      </c>
      <c r="J262" s="29" t="s">
        <v>448</v>
      </c>
      <c r="K262" s="29" t="s">
        <v>449</v>
      </c>
      <c r="L262" s="29"/>
      <c r="M262" s="34"/>
    </row>
    <row r="263" spans="2:13" ht="45">
      <c r="B263" s="32" t="str">
        <f t="shared" si="28"/>
        <v>1</v>
      </c>
      <c r="C263" s="33" t="str">
        <f t="shared" si="29"/>
        <v>2</v>
      </c>
      <c r="D263" s="33" t="str">
        <f t="shared" si="30"/>
        <v>1</v>
      </c>
      <c r="E263" s="33" t="str">
        <f t="shared" si="31"/>
        <v>9</v>
      </c>
      <c r="F263" s="33" t="str">
        <f t="shared" si="32"/>
        <v>01</v>
      </c>
      <c r="G263" s="33" t="str">
        <f t="shared" si="33"/>
        <v>1</v>
      </c>
      <c r="H263" s="33" t="str">
        <f t="shared" si="34"/>
        <v>0</v>
      </c>
      <c r="I263" s="28">
        <v>12190110</v>
      </c>
      <c r="J263" s="29" t="s">
        <v>448</v>
      </c>
      <c r="K263" s="29" t="s">
        <v>449</v>
      </c>
      <c r="L263" s="29"/>
      <c r="M263" s="34"/>
    </row>
    <row r="264" spans="2:13" ht="30">
      <c r="B264" s="32" t="str">
        <f t="shared" si="28"/>
        <v>1</v>
      </c>
      <c r="C264" s="33" t="str">
        <f t="shared" si="29"/>
        <v>2</v>
      </c>
      <c r="D264" s="33" t="str">
        <f t="shared" si="30"/>
        <v>1</v>
      </c>
      <c r="E264" s="33" t="str">
        <f t="shared" si="31"/>
        <v>9</v>
      </c>
      <c r="F264" s="33" t="str">
        <f t="shared" si="32"/>
        <v>01</v>
      </c>
      <c r="G264" s="33" t="str">
        <f t="shared" si="33"/>
        <v>2</v>
      </c>
      <c r="H264" s="33" t="str">
        <f t="shared" si="34"/>
        <v>0</v>
      </c>
      <c r="I264" s="28">
        <v>12190120</v>
      </c>
      <c r="J264" s="29" t="s">
        <v>450</v>
      </c>
      <c r="K264" s="29" t="s">
        <v>451</v>
      </c>
      <c r="L264" s="29"/>
      <c r="M264" s="34"/>
    </row>
    <row r="265" spans="2:13" ht="60">
      <c r="B265" s="32" t="str">
        <f t="shared" si="28"/>
        <v>1</v>
      </c>
      <c r="C265" s="33" t="str">
        <f t="shared" si="29"/>
        <v>2</v>
      </c>
      <c r="D265" s="33" t="str">
        <f t="shared" si="30"/>
        <v>1</v>
      </c>
      <c r="E265" s="33" t="str">
        <f t="shared" si="31"/>
        <v>9</v>
      </c>
      <c r="F265" s="33" t="str">
        <f t="shared" si="32"/>
        <v>02</v>
      </c>
      <c r="G265" s="33" t="str">
        <f t="shared" si="33"/>
        <v>0</v>
      </c>
      <c r="H265" s="33" t="str">
        <f t="shared" si="34"/>
        <v>0</v>
      </c>
      <c r="I265" s="28">
        <v>12190200</v>
      </c>
      <c r="J265" s="29" t="s">
        <v>452</v>
      </c>
      <c r="K265" s="29" t="s">
        <v>453</v>
      </c>
      <c r="L265" s="29"/>
      <c r="M265" s="34"/>
    </row>
    <row r="266" spans="2:13" ht="60">
      <c r="B266" s="32" t="str">
        <f t="shared" si="28"/>
        <v>1</v>
      </c>
      <c r="C266" s="33" t="str">
        <f t="shared" si="29"/>
        <v>2</v>
      </c>
      <c r="D266" s="33" t="str">
        <f t="shared" si="30"/>
        <v>1</v>
      </c>
      <c r="E266" s="33" t="str">
        <f t="shared" si="31"/>
        <v>9</v>
      </c>
      <c r="F266" s="33" t="str">
        <f t="shared" si="32"/>
        <v>02</v>
      </c>
      <c r="G266" s="33" t="str">
        <f t="shared" si="33"/>
        <v>1</v>
      </c>
      <c r="H266" s="33" t="str">
        <f t="shared" si="34"/>
        <v>0</v>
      </c>
      <c r="I266" s="28">
        <v>12190210</v>
      </c>
      <c r="J266" s="29" t="s">
        <v>452</v>
      </c>
      <c r="K266" s="29" t="s">
        <v>453</v>
      </c>
      <c r="L266" s="29"/>
      <c r="M266" s="34"/>
    </row>
    <row r="267" spans="2:13" ht="75">
      <c r="B267" s="32" t="str">
        <f t="shared" si="28"/>
        <v>1</v>
      </c>
      <c r="C267" s="33" t="str">
        <f t="shared" si="29"/>
        <v>2</v>
      </c>
      <c r="D267" s="33" t="str">
        <f t="shared" si="30"/>
        <v>1</v>
      </c>
      <c r="E267" s="33" t="str">
        <f t="shared" si="31"/>
        <v>9</v>
      </c>
      <c r="F267" s="33" t="str">
        <f t="shared" si="32"/>
        <v>02</v>
      </c>
      <c r="G267" s="33" t="str">
        <f t="shared" si="33"/>
        <v>2</v>
      </c>
      <c r="H267" s="33" t="str">
        <f t="shared" si="34"/>
        <v>0</v>
      </c>
      <c r="I267" s="28">
        <v>12190220</v>
      </c>
      <c r="J267" s="29" t="s">
        <v>454</v>
      </c>
      <c r="K267" s="29" t="s">
        <v>455</v>
      </c>
      <c r="L267" s="29"/>
      <c r="M267" s="34"/>
    </row>
    <row r="268" spans="2:13" ht="60">
      <c r="B268" s="32" t="str">
        <f t="shared" si="28"/>
        <v>1</v>
      </c>
      <c r="C268" s="33" t="str">
        <f t="shared" si="29"/>
        <v>2</v>
      </c>
      <c r="D268" s="33" t="str">
        <f t="shared" si="30"/>
        <v>1</v>
      </c>
      <c r="E268" s="33" t="str">
        <f t="shared" si="31"/>
        <v>9</v>
      </c>
      <c r="F268" s="33" t="str">
        <f t="shared" si="32"/>
        <v>03</v>
      </c>
      <c r="G268" s="33" t="str">
        <f t="shared" si="33"/>
        <v>0</v>
      </c>
      <c r="H268" s="33" t="str">
        <f t="shared" si="34"/>
        <v>0</v>
      </c>
      <c r="I268" s="28">
        <v>12190300</v>
      </c>
      <c r="J268" s="29" t="s">
        <v>456</v>
      </c>
      <c r="K268" s="29" t="s">
        <v>457</v>
      </c>
      <c r="L268" s="29"/>
      <c r="M268" s="34"/>
    </row>
    <row r="269" spans="2:13" ht="30">
      <c r="B269" s="32" t="str">
        <f t="shared" si="28"/>
        <v>1</v>
      </c>
      <c r="C269" s="33" t="str">
        <f t="shared" si="29"/>
        <v>2</v>
      </c>
      <c r="D269" s="33" t="str">
        <f t="shared" si="30"/>
        <v>1</v>
      </c>
      <c r="E269" s="33" t="str">
        <f t="shared" si="31"/>
        <v>9</v>
      </c>
      <c r="F269" s="33" t="str">
        <f t="shared" si="32"/>
        <v>03</v>
      </c>
      <c r="G269" s="33" t="str">
        <f t="shared" si="33"/>
        <v>1</v>
      </c>
      <c r="H269" s="33" t="str">
        <f t="shared" si="34"/>
        <v>0</v>
      </c>
      <c r="I269" s="28">
        <v>12190310</v>
      </c>
      <c r="J269" s="29" t="s">
        <v>458</v>
      </c>
      <c r="K269" s="29" t="s">
        <v>459</v>
      </c>
      <c r="L269" s="29"/>
      <c r="M269" s="34"/>
    </row>
    <row r="270" spans="2:13" ht="120">
      <c r="B270" s="32" t="str">
        <f t="shared" si="28"/>
        <v>1</v>
      </c>
      <c r="C270" s="33" t="str">
        <f t="shared" si="29"/>
        <v>2</v>
      </c>
      <c r="D270" s="33" t="str">
        <f t="shared" si="30"/>
        <v>1</v>
      </c>
      <c r="E270" s="33" t="str">
        <f t="shared" si="31"/>
        <v>9</v>
      </c>
      <c r="F270" s="33" t="str">
        <f t="shared" si="32"/>
        <v>03</v>
      </c>
      <c r="G270" s="33" t="str">
        <f t="shared" si="33"/>
        <v>2</v>
      </c>
      <c r="H270" s="33" t="str">
        <f t="shared" si="34"/>
        <v>0</v>
      </c>
      <c r="I270" s="28">
        <v>12190320</v>
      </c>
      <c r="J270" s="29" t="s">
        <v>460</v>
      </c>
      <c r="K270" s="29" t="s">
        <v>461</v>
      </c>
      <c r="L270" s="29"/>
      <c r="M270" s="34"/>
    </row>
    <row r="271" spans="2:13" ht="60">
      <c r="B271" s="32" t="str">
        <f t="shared" si="28"/>
        <v>1</v>
      </c>
      <c r="C271" s="33" t="str">
        <f t="shared" si="29"/>
        <v>2</v>
      </c>
      <c r="D271" s="33" t="str">
        <f t="shared" si="30"/>
        <v>1</v>
      </c>
      <c r="E271" s="33" t="str">
        <f t="shared" si="31"/>
        <v>9</v>
      </c>
      <c r="F271" s="33" t="str">
        <f t="shared" si="32"/>
        <v>03</v>
      </c>
      <c r="G271" s="33" t="str">
        <f t="shared" si="33"/>
        <v>3</v>
      </c>
      <c r="H271" s="33" t="str">
        <f t="shared" si="34"/>
        <v>0</v>
      </c>
      <c r="I271" s="28">
        <v>12190330</v>
      </c>
      <c r="J271" s="29" t="s">
        <v>462</v>
      </c>
      <c r="K271" s="29" t="s">
        <v>463</v>
      </c>
      <c r="L271" s="29"/>
      <c r="M271" s="34"/>
    </row>
    <row r="272" spans="2:13" ht="45">
      <c r="B272" s="32" t="str">
        <f t="shared" si="28"/>
        <v>1</v>
      </c>
      <c r="C272" s="33" t="str">
        <f t="shared" si="29"/>
        <v>2</v>
      </c>
      <c r="D272" s="33" t="str">
        <f t="shared" si="30"/>
        <v>1</v>
      </c>
      <c r="E272" s="33" t="str">
        <f t="shared" si="31"/>
        <v>9</v>
      </c>
      <c r="F272" s="33" t="str">
        <f t="shared" si="32"/>
        <v>04</v>
      </c>
      <c r="G272" s="33" t="str">
        <f t="shared" si="33"/>
        <v>0</v>
      </c>
      <c r="H272" s="33" t="str">
        <f t="shared" si="34"/>
        <v>0</v>
      </c>
      <c r="I272" s="28">
        <v>12190400</v>
      </c>
      <c r="J272" s="29" t="s">
        <v>464</v>
      </c>
      <c r="K272" s="29" t="s">
        <v>465</v>
      </c>
      <c r="L272" s="29"/>
      <c r="M272" s="34"/>
    </row>
    <row r="273" spans="2:13" ht="45">
      <c r="B273" s="32" t="str">
        <f t="shared" si="28"/>
        <v>1</v>
      </c>
      <c r="C273" s="33" t="str">
        <f t="shared" si="29"/>
        <v>2</v>
      </c>
      <c r="D273" s="33" t="str">
        <f t="shared" si="30"/>
        <v>1</v>
      </c>
      <c r="E273" s="33" t="str">
        <f t="shared" si="31"/>
        <v>9</v>
      </c>
      <c r="F273" s="33" t="str">
        <f t="shared" si="32"/>
        <v>04</v>
      </c>
      <c r="G273" s="33" t="str">
        <f t="shared" si="33"/>
        <v>1</v>
      </c>
      <c r="H273" s="33" t="str">
        <f t="shared" si="34"/>
        <v>0</v>
      </c>
      <c r="I273" s="28">
        <v>12190410</v>
      </c>
      <c r="J273" s="29" t="s">
        <v>464</v>
      </c>
      <c r="K273" s="29" t="s">
        <v>465</v>
      </c>
      <c r="L273" s="29"/>
      <c r="M273" s="34"/>
    </row>
    <row r="274" spans="2:13" ht="75">
      <c r="B274" s="32" t="str">
        <f t="shared" si="28"/>
        <v>1</v>
      </c>
      <c r="C274" s="33" t="str">
        <f t="shared" si="29"/>
        <v>2</v>
      </c>
      <c r="D274" s="33" t="str">
        <f t="shared" si="30"/>
        <v>1</v>
      </c>
      <c r="E274" s="33" t="str">
        <f t="shared" si="31"/>
        <v>9</v>
      </c>
      <c r="F274" s="33" t="str">
        <f t="shared" si="32"/>
        <v>04</v>
      </c>
      <c r="G274" s="33" t="str">
        <f t="shared" si="33"/>
        <v>2</v>
      </c>
      <c r="H274" s="33" t="str">
        <f t="shared" si="34"/>
        <v>0</v>
      </c>
      <c r="I274" s="28">
        <v>12190420</v>
      </c>
      <c r="J274" s="29" t="s">
        <v>466</v>
      </c>
      <c r="K274" s="29" t="s">
        <v>467</v>
      </c>
      <c r="L274" s="29"/>
      <c r="M274" s="34"/>
    </row>
    <row r="275" spans="2:13" ht="120">
      <c r="B275" s="32" t="str">
        <f t="shared" si="28"/>
        <v>1</v>
      </c>
      <c r="C275" s="33" t="str">
        <f t="shared" si="29"/>
        <v>2</v>
      </c>
      <c r="D275" s="33" t="str">
        <f t="shared" si="30"/>
        <v>1</v>
      </c>
      <c r="E275" s="33" t="str">
        <f t="shared" si="31"/>
        <v>9</v>
      </c>
      <c r="F275" s="33" t="str">
        <f t="shared" si="32"/>
        <v>05</v>
      </c>
      <c r="G275" s="33" t="str">
        <f t="shared" si="33"/>
        <v>0</v>
      </c>
      <c r="H275" s="33" t="str">
        <f t="shared" si="34"/>
        <v>0</v>
      </c>
      <c r="I275" s="28">
        <v>12190500</v>
      </c>
      <c r="J275" s="29" t="s">
        <v>468</v>
      </c>
      <c r="K275" s="29" t="s">
        <v>469</v>
      </c>
      <c r="L275" s="29"/>
      <c r="M275" s="34"/>
    </row>
    <row r="276" spans="2:13" ht="120">
      <c r="B276" s="32" t="str">
        <f t="shared" si="28"/>
        <v>1</v>
      </c>
      <c r="C276" s="33" t="str">
        <f t="shared" si="29"/>
        <v>2</v>
      </c>
      <c r="D276" s="33" t="str">
        <f t="shared" si="30"/>
        <v>1</v>
      </c>
      <c r="E276" s="33" t="str">
        <f t="shared" si="31"/>
        <v>9</v>
      </c>
      <c r="F276" s="33" t="str">
        <f t="shared" si="32"/>
        <v>05</v>
      </c>
      <c r="G276" s="33" t="str">
        <f t="shared" si="33"/>
        <v>1</v>
      </c>
      <c r="H276" s="33" t="str">
        <f t="shared" si="34"/>
        <v>0</v>
      </c>
      <c r="I276" s="28">
        <v>12190510</v>
      </c>
      <c r="J276" s="29" t="s">
        <v>468</v>
      </c>
      <c r="K276" s="29" t="s">
        <v>470</v>
      </c>
      <c r="L276" s="29"/>
      <c r="M276" s="34"/>
    </row>
    <row r="277" spans="2:13" ht="105">
      <c r="B277" s="32" t="str">
        <f t="shared" si="28"/>
        <v>1</v>
      </c>
      <c r="C277" s="33" t="str">
        <f t="shared" si="29"/>
        <v>2</v>
      </c>
      <c r="D277" s="33" t="str">
        <f t="shared" si="30"/>
        <v>1</v>
      </c>
      <c r="E277" s="33" t="str">
        <f t="shared" si="31"/>
        <v>9</v>
      </c>
      <c r="F277" s="33" t="str">
        <f t="shared" si="32"/>
        <v>05</v>
      </c>
      <c r="G277" s="33" t="str">
        <f t="shared" si="33"/>
        <v>2</v>
      </c>
      <c r="H277" s="33" t="str">
        <f t="shared" si="34"/>
        <v>0</v>
      </c>
      <c r="I277" s="28">
        <v>12190520</v>
      </c>
      <c r="J277" s="29" t="s">
        <v>471</v>
      </c>
      <c r="K277" s="29" t="s">
        <v>472</v>
      </c>
      <c r="L277" s="29"/>
      <c r="M277" s="34"/>
    </row>
    <row r="278" spans="2:13" ht="105">
      <c r="B278" s="32" t="str">
        <f t="shared" si="28"/>
        <v>1</v>
      </c>
      <c r="C278" s="33" t="str">
        <f t="shared" si="29"/>
        <v>2</v>
      </c>
      <c r="D278" s="33" t="str">
        <f t="shared" si="30"/>
        <v>1</v>
      </c>
      <c r="E278" s="33" t="str">
        <f t="shared" si="31"/>
        <v>9</v>
      </c>
      <c r="F278" s="33" t="str">
        <f t="shared" si="32"/>
        <v>06</v>
      </c>
      <c r="G278" s="33" t="str">
        <f t="shared" si="33"/>
        <v>0</v>
      </c>
      <c r="H278" s="33" t="str">
        <f t="shared" si="34"/>
        <v>0</v>
      </c>
      <c r="I278" s="28">
        <v>12190600</v>
      </c>
      <c r="J278" s="29" t="s">
        <v>473</v>
      </c>
      <c r="K278" s="29" t="s">
        <v>474</v>
      </c>
      <c r="L278" s="29"/>
      <c r="M278" s="34"/>
    </row>
    <row r="279" spans="2:13" ht="105">
      <c r="B279" s="32" t="str">
        <f t="shared" si="28"/>
        <v>1</v>
      </c>
      <c r="C279" s="33" t="str">
        <f t="shared" si="29"/>
        <v>2</v>
      </c>
      <c r="D279" s="33" t="str">
        <f t="shared" si="30"/>
        <v>1</v>
      </c>
      <c r="E279" s="33" t="str">
        <f t="shared" si="31"/>
        <v>9</v>
      </c>
      <c r="F279" s="33" t="str">
        <f t="shared" si="32"/>
        <v>06</v>
      </c>
      <c r="G279" s="33" t="str">
        <f t="shared" si="33"/>
        <v>1</v>
      </c>
      <c r="H279" s="33" t="str">
        <f t="shared" si="34"/>
        <v>0</v>
      </c>
      <c r="I279" s="28">
        <v>12190610</v>
      </c>
      <c r="J279" s="29" t="s">
        <v>473</v>
      </c>
      <c r="K279" s="29" t="s">
        <v>474</v>
      </c>
      <c r="L279" s="29"/>
      <c r="M279" s="34"/>
    </row>
    <row r="280" spans="2:13" ht="120">
      <c r="B280" s="32" t="str">
        <f t="shared" si="28"/>
        <v>1</v>
      </c>
      <c r="C280" s="33" t="str">
        <f t="shared" si="29"/>
        <v>2</v>
      </c>
      <c r="D280" s="33" t="str">
        <f t="shared" si="30"/>
        <v>1</v>
      </c>
      <c r="E280" s="33" t="str">
        <f t="shared" si="31"/>
        <v>9</v>
      </c>
      <c r="F280" s="33" t="str">
        <f t="shared" si="32"/>
        <v>06</v>
      </c>
      <c r="G280" s="33" t="str">
        <f t="shared" si="33"/>
        <v>2</v>
      </c>
      <c r="H280" s="33" t="str">
        <f t="shared" si="34"/>
        <v>0</v>
      </c>
      <c r="I280" s="28">
        <v>12190620</v>
      </c>
      <c r="J280" s="29" t="s">
        <v>475</v>
      </c>
      <c r="K280" s="29" t="s">
        <v>476</v>
      </c>
      <c r="L280" s="29"/>
      <c r="M280" s="34"/>
    </row>
    <row r="281" spans="2:13" ht="60">
      <c r="B281" s="32" t="str">
        <f t="shared" si="28"/>
        <v>1</v>
      </c>
      <c r="C281" s="33" t="str">
        <f t="shared" si="29"/>
        <v>2</v>
      </c>
      <c r="D281" s="33" t="str">
        <f t="shared" si="30"/>
        <v>1</v>
      </c>
      <c r="E281" s="33" t="str">
        <f t="shared" si="31"/>
        <v>9</v>
      </c>
      <c r="F281" s="33" t="str">
        <f t="shared" si="32"/>
        <v>07</v>
      </c>
      <c r="G281" s="33" t="str">
        <f t="shared" si="33"/>
        <v>0</v>
      </c>
      <c r="H281" s="33" t="str">
        <f t="shared" si="34"/>
        <v>0</v>
      </c>
      <c r="I281" s="28">
        <v>12190700</v>
      </c>
      <c r="J281" s="29" t="s">
        <v>477</v>
      </c>
      <c r="K281" s="29" t="s">
        <v>478</v>
      </c>
      <c r="L281" s="29"/>
      <c r="M281" s="34"/>
    </row>
    <row r="282" spans="2:13" ht="60">
      <c r="B282" s="32" t="str">
        <f t="shared" si="28"/>
        <v>1</v>
      </c>
      <c r="C282" s="33" t="str">
        <f t="shared" si="29"/>
        <v>2</v>
      </c>
      <c r="D282" s="33" t="str">
        <f t="shared" si="30"/>
        <v>1</v>
      </c>
      <c r="E282" s="33" t="str">
        <f t="shared" si="31"/>
        <v>9</v>
      </c>
      <c r="F282" s="33" t="str">
        <f t="shared" si="32"/>
        <v>07</v>
      </c>
      <c r="G282" s="33" t="str">
        <f t="shared" si="33"/>
        <v>1</v>
      </c>
      <c r="H282" s="33" t="str">
        <f t="shared" si="34"/>
        <v>0</v>
      </c>
      <c r="I282" s="28">
        <v>12190710</v>
      </c>
      <c r="J282" s="29" t="s">
        <v>477</v>
      </c>
      <c r="K282" s="29" t="s">
        <v>478</v>
      </c>
      <c r="L282" s="29"/>
      <c r="M282" s="34"/>
    </row>
    <row r="283" spans="2:13" ht="75">
      <c r="B283" s="32" t="str">
        <f t="shared" si="28"/>
        <v>1</v>
      </c>
      <c r="C283" s="33" t="str">
        <f t="shared" si="29"/>
        <v>2</v>
      </c>
      <c r="D283" s="33" t="str">
        <f t="shared" si="30"/>
        <v>1</v>
      </c>
      <c r="E283" s="33" t="str">
        <f t="shared" si="31"/>
        <v>9</v>
      </c>
      <c r="F283" s="33" t="str">
        <f t="shared" si="32"/>
        <v>07</v>
      </c>
      <c r="G283" s="33" t="str">
        <f t="shared" si="33"/>
        <v>2</v>
      </c>
      <c r="H283" s="33" t="str">
        <f t="shared" si="34"/>
        <v>0</v>
      </c>
      <c r="I283" s="28">
        <v>12190720</v>
      </c>
      <c r="J283" s="29" t="s">
        <v>479</v>
      </c>
      <c r="K283" s="29" t="s">
        <v>480</v>
      </c>
      <c r="L283" s="29"/>
      <c r="M283" s="34"/>
    </row>
    <row r="284" spans="2:13">
      <c r="B284" s="32" t="str">
        <f t="shared" si="28"/>
        <v>1</v>
      </c>
      <c r="C284" s="33" t="str">
        <f t="shared" si="29"/>
        <v>2</v>
      </c>
      <c r="D284" s="33" t="str">
        <f t="shared" si="30"/>
        <v>1</v>
      </c>
      <c r="E284" s="33" t="str">
        <f t="shared" si="31"/>
        <v>9</v>
      </c>
      <c r="F284" s="33" t="str">
        <f t="shared" si="32"/>
        <v>08</v>
      </c>
      <c r="G284" s="33" t="str">
        <f t="shared" si="33"/>
        <v>0</v>
      </c>
      <c r="H284" s="33" t="str">
        <f t="shared" si="34"/>
        <v>0</v>
      </c>
      <c r="I284" s="28">
        <v>12190800</v>
      </c>
      <c r="J284" s="29" t="s">
        <v>481</v>
      </c>
      <c r="K284" s="29" t="s">
        <v>482</v>
      </c>
      <c r="L284" s="29"/>
      <c r="M284" s="34"/>
    </row>
    <row r="285" spans="2:13">
      <c r="B285" s="32" t="str">
        <f t="shared" si="28"/>
        <v>1</v>
      </c>
      <c r="C285" s="33" t="str">
        <f t="shared" si="29"/>
        <v>2</v>
      </c>
      <c r="D285" s="33" t="str">
        <f t="shared" si="30"/>
        <v>1</v>
      </c>
      <c r="E285" s="33" t="str">
        <f t="shared" si="31"/>
        <v>9</v>
      </c>
      <c r="F285" s="33" t="str">
        <f t="shared" si="32"/>
        <v>08</v>
      </c>
      <c r="G285" s="33" t="str">
        <f t="shared" si="33"/>
        <v>1</v>
      </c>
      <c r="H285" s="33" t="str">
        <f t="shared" si="34"/>
        <v>0</v>
      </c>
      <c r="I285" s="28">
        <v>12190810</v>
      </c>
      <c r="J285" s="29" t="s">
        <v>481</v>
      </c>
      <c r="K285" s="29" t="s">
        <v>482</v>
      </c>
      <c r="L285" s="29"/>
      <c r="M285" s="34"/>
    </row>
    <row r="286" spans="2:13" ht="30">
      <c r="B286" s="32" t="str">
        <f t="shared" si="28"/>
        <v>1</v>
      </c>
      <c r="C286" s="33" t="str">
        <f t="shared" si="29"/>
        <v>2</v>
      </c>
      <c r="D286" s="33" t="str">
        <f t="shared" si="30"/>
        <v>1</v>
      </c>
      <c r="E286" s="33" t="str">
        <f t="shared" si="31"/>
        <v>9</v>
      </c>
      <c r="F286" s="33" t="str">
        <f t="shared" si="32"/>
        <v>08</v>
      </c>
      <c r="G286" s="33" t="str">
        <f t="shared" si="33"/>
        <v>2</v>
      </c>
      <c r="H286" s="33" t="str">
        <f t="shared" si="34"/>
        <v>0</v>
      </c>
      <c r="I286" s="28">
        <v>12190820</v>
      </c>
      <c r="J286" s="29" t="s">
        <v>483</v>
      </c>
      <c r="K286" s="29" t="s">
        <v>484</v>
      </c>
      <c r="L286" s="29"/>
      <c r="M286" s="34"/>
    </row>
    <row r="287" spans="2:13" ht="30" customHeight="1">
      <c r="B287" s="32" t="str">
        <f t="shared" si="28"/>
        <v>1</v>
      </c>
      <c r="C287" s="33" t="str">
        <f t="shared" si="29"/>
        <v>2</v>
      </c>
      <c r="D287" s="33" t="str">
        <f t="shared" si="30"/>
        <v>1</v>
      </c>
      <c r="E287" s="33" t="str">
        <f t="shared" si="31"/>
        <v>9</v>
      </c>
      <c r="F287" s="33" t="str">
        <f t="shared" si="32"/>
        <v>09</v>
      </c>
      <c r="G287" s="33" t="str">
        <f t="shared" si="33"/>
        <v>0</v>
      </c>
      <c r="H287" s="33" t="str">
        <f t="shared" si="34"/>
        <v>0</v>
      </c>
      <c r="I287" s="28">
        <v>12190900</v>
      </c>
      <c r="J287" s="29" t="s">
        <v>485</v>
      </c>
      <c r="K287" s="29" t="s">
        <v>486</v>
      </c>
      <c r="L287" s="29"/>
      <c r="M287" s="34"/>
    </row>
    <row r="288" spans="2:13" ht="30">
      <c r="B288" s="32" t="str">
        <f t="shared" si="28"/>
        <v>1</v>
      </c>
      <c r="C288" s="33" t="str">
        <f t="shared" si="29"/>
        <v>2</v>
      </c>
      <c r="D288" s="33" t="str">
        <f t="shared" si="30"/>
        <v>1</v>
      </c>
      <c r="E288" s="33" t="str">
        <f t="shared" si="31"/>
        <v>9</v>
      </c>
      <c r="F288" s="33" t="str">
        <f t="shared" si="32"/>
        <v>09</v>
      </c>
      <c r="G288" s="33" t="str">
        <f t="shared" si="33"/>
        <v>1</v>
      </c>
      <c r="H288" s="33" t="str">
        <f t="shared" si="34"/>
        <v>0</v>
      </c>
      <c r="I288" s="28">
        <v>12190910</v>
      </c>
      <c r="J288" s="29" t="s">
        <v>485</v>
      </c>
      <c r="K288" s="29" t="s">
        <v>486</v>
      </c>
      <c r="L288" s="29"/>
      <c r="M288" s="34"/>
    </row>
    <row r="289" spans="2:13" ht="45">
      <c r="B289" s="32" t="str">
        <f t="shared" si="28"/>
        <v>1</v>
      </c>
      <c r="C289" s="33" t="str">
        <f t="shared" si="29"/>
        <v>2</v>
      </c>
      <c r="D289" s="33" t="str">
        <f t="shared" si="30"/>
        <v>1</v>
      </c>
      <c r="E289" s="33" t="str">
        <f t="shared" si="31"/>
        <v>9</v>
      </c>
      <c r="F289" s="33" t="str">
        <f t="shared" si="32"/>
        <v>09</v>
      </c>
      <c r="G289" s="33" t="str">
        <f t="shared" si="33"/>
        <v>2</v>
      </c>
      <c r="H289" s="33" t="str">
        <f t="shared" si="34"/>
        <v>0</v>
      </c>
      <c r="I289" s="28">
        <v>12190920</v>
      </c>
      <c r="J289" s="29" t="s">
        <v>487</v>
      </c>
      <c r="K289" s="29" t="s">
        <v>488</v>
      </c>
      <c r="L289" s="29"/>
      <c r="M289" s="34"/>
    </row>
    <row r="290" spans="2:13" ht="60">
      <c r="B290" s="32" t="str">
        <f t="shared" si="28"/>
        <v>1</v>
      </c>
      <c r="C290" s="33" t="str">
        <f t="shared" si="29"/>
        <v>2</v>
      </c>
      <c r="D290" s="33" t="str">
        <f t="shared" si="30"/>
        <v>1</v>
      </c>
      <c r="E290" s="33" t="str">
        <f t="shared" si="31"/>
        <v>9</v>
      </c>
      <c r="F290" s="33" t="str">
        <f t="shared" si="32"/>
        <v>10</v>
      </c>
      <c r="G290" s="33" t="str">
        <f t="shared" si="33"/>
        <v>0</v>
      </c>
      <c r="H290" s="33" t="str">
        <f t="shared" si="34"/>
        <v>0</v>
      </c>
      <c r="I290" s="28">
        <v>12191000</v>
      </c>
      <c r="J290" s="29" t="s">
        <v>489</v>
      </c>
      <c r="K290" s="29" t="s">
        <v>490</v>
      </c>
      <c r="L290" s="29"/>
      <c r="M290" s="34"/>
    </row>
    <row r="291" spans="2:13" ht="60">
      <c r="B291" s="32" t="str">
        <f t="shared" si="28"/>
        <v>1</v>
      </c>
      <c r="C291" s="33" t="str">
        <f t="shared" si="29"/>
        <v>2</v>
      </c>
      <c r="D291" s="33" t="str">
        <f t="shared" si="30"/>
        <v>1</v>
      </c>
      <c r="E291" s="33" t="str">
        <f t="shared" si="31"/>
        <v>9</v>
      </c>
      <c r="F291" s="33" t="str">
        <f t="shared" si="32"/>
        <v>10</v>
      </c>
      <c r="G291" s="33" t="str">
        <f t="shared" si="33"/>
        <v>1</v>
      </c>
      <c r="H291" s="33" t="str">
        <f t="shared" si="34"/>
        <v>0</v>
      </c>
      <c r="I291" s="28">
        <v>12191010</v>
      </c>
      <c r="J291" s="29" t="s">
        <v>489</v>
      </c>
      <c r="K291" s="29" t="s">
        <v>491</v>
      </c>
      <c r="L291" s="29"/>
      <c r="M291" s="34"/>
    </row>
    <row r="292" spans="2:13" ht="75">
      <c r="B292" s="32" t="str">
        <f t="shared" si="28"/>
        <v>1</v>
      </c>
      <c r="C292" s="33" t="str">
        <f t="shared" si="29"/>
        <v>2</v>
      </c>
      <c r="D292" s="33" t="str">
        <f t="shared" si="30"/>
        <v>1</v>
      </c>
      <c r="E292" s="33" t="str">
        <f t="shared" si="31"/>
        <v>9</v>
      </c>
      <c r="F292" s="33" t="str">
        <f t="shared" si="32"/>
        <v>10</v>
      </c>
      <c r="G292" s="33" t="str">
        <f t="shared" si="33"/>
        <v>2</v>
      </c>
      <c r="H292" s="33" t="str">
        <f t="shared" si="34"/>
        <v>0</v>
      </c>
      <c r="I292" s="28">
        <v>12191020</v>
      </c>
      <c r="J292" s="29" t="s">
        <v>492</v>
      </c>
      <c r="K292" s="29" t="s">
        <v>493</v>
      </c>
      <c r="L292" s="29"/>
      <c r="M292" s="34"/>
    </row>
    <row r="293" spans="2:13" ht="30">
      <c r="B293" s="32" t="str">
        <f t="shared" si="28"/>
        <v>1</v>
      </c>
      <c r="C293" s="33" t="str">
        <f t="shared" si="29"/>
        <v>2</v>
      </c>
      <c r="D293" s="33" t="str">
        <f t="shared" si="30"/>
        <v>1</v>
      </c>
      <c r="E293" s="33" t="str">
        <f t="shared" si="31"/>
        <v>9</v>
      </c>
      <c r="F293" s="33" t="str">
        <f t="shared" si="32"/>
        <v>11</v>
      </c>
      <c r="G293" s="33" t="str">
        <f t="shared" si="33"/>
        <v>0</v>
      </c>
      <c r="H293" s="33" t="str">
        <f t="shared" si="34"/>
        <v>0</v>
      </c>
      <c r="I293" s="28">
        <v>12191100</v>
      </c>
      <c r="J293" s="29" t="s">
        <v>494</v>
      </c>
      <c r="K293" s="29" t="s">
        <v>495</v>
      </c>
      <c r="L293" s="29"/>
      <c r="M293" s="34"/>
    </row>
    <row r="294" spans="2:13" ht="30">
      <c r="B294" s="32" t="str">
        <f t="shared" si="28"/>
        <v>1</v>
      </c>
      <c r="C294" s="33" t="str">
        <f t="shared" si="29"/>
        <v>2</v>
      </c>
      <c r="D294" s="33" t="str">
        <f t="shared" si="30"/>
        <v>1</v>
      </c>
      <c r="E294" s="33" t="str">
        <f t="shared" si="31"/>
        <v>9</v>
      </c>
      <c r="F294" s="33" t="str">
        <f t="shared" si="32"/>
        <v>11</v>
      </c>
      <c r="G294" s="33" t="str">
        <f t="shared" si="33"/>
        <v>1</v>
      </c>
      <c r="H294" s="33" t="str">
        <f t="shared" si="34"/>
        <v>0</v>
      </c>
      <c r="I294" s="28">
        <v>12191110</v>
      </c>
      <c r="J294" s="29" t="s">
        <v>494</v>
      </c>
      <c r="K294" s="29" t="s">
        <v>495</v>
      </c>
      <c r="L294" s="29"/>
      <c r="M294" s="34"/>
    </row>
    <row r="295" spans="2:13" ht="30">
      <c r="B295" s="32" t="str">
        <f t="shared" si="28"/>
        <v>1</v>
      </c>
      <c r="C295" s="33" t="str">
        <f t="shared" si="29"/>
        <v>2</v>
      </c>
      <c r="D295" s="33" t="str">
        <f t="shared" si="30"/>
        <v>1</v>
      </c>
      <c r="E295" s="33" t="str">
        <f t="shared" si="31"/>
        <v>9</v>
      </c>
      <c r="F295" s="33" t="str">
        <f t="shared" si="32"/>
        <v>11</v>
      </c>
      <c r="G295" s="33" t="str">
        <f t="shared" si="33"/>
        <v>2</v>
      </c>
      <c r="H295" s="33" t="str">
        <f t="shared" si="34"/>
        <v>0</v>
      </c>
      <c r="I295" s="28">
        <v>12191120</v>
      </c>
      <c r="J295" s="29" t="s">
        <v>496</v>
      </c>
      <c r="K295" s="29" t="s">
        <v>497</v>
      </c>
      <c r="L295" s="29"/>
      <c r="M295" s="34"/>
    </row>
    <row r="296" spans="2:13" ht="30">
      <c r="B296" s="32" t="str">
        <f t="shared" si="28"/>
        <v>1</v>
      </c>
      <c r="C296" s="33" t="str">
        <f t="shared" si="29"/>
        <v>2</v>
      </c>
      <c r="D296" s="33" t="str">
        <f t="shared" si="30"/>
        <v>1</v>
      </c>
      <c r="E296" s="33" t="str">
        <f t="shared" si="31"/>
        <v>9</v>
      </c>
      <c r="F296" s="33" t="str">
        <f t="shared" si="32"/>
        <v>99</v>
      </c>
      <c r="G296" s="33" t="str">
        <f t="shared" si="33"/>
        <v>0</v>
      </c>
      <c r="H296" s="33" t="str">
        <f t="shared" si="34"/>
        <v>0</v>
      </c>
      <c r="I296" s="28">
        <v>12199900</v>
      </c>
      <c r="J296" s="29" t="s">
        <v>498</v>
      </c>
      <c r="K296" s="29" t="s">
        <v>499</v>
      </c>
      <c r="L296" s="29"/>
      <c r="M296" s="34"/>
    </row>
    <row r="297" spans="2:13" ht="30">
      <c r="B297" s="32" t="str">
        <f t="shared" si="28"/>
        <v>1</v>
      </c>
      <c r="C297" s="33" t="str">
        <f t="shared" si="29"/>
        <v>2</v>
      </c>
      <c r="D297" s="33" t="str">
        <f t="shared" si="30"/>
        <v>1</v>
      </c>
      <c r="E297" s="33" t="str">
        <f t="shared" si="31"/>
        <v>9</v>
      </c>
      <c r="F297" s="33" t="str">
        <f t="shared" si="32"/>
        <v>99</v>
      </c>
      <c r="G297" s="33" t="str">
        <f t="shared" si="33"/>
        <v>1</v>
      </c>
      <c r="H297" s="33" t="str">
        <f t="shared" si="34"/>
        <v>0</v>
      </c>
      <c r="I297" s="28">
        <v>12199910</v>
      </c>
      <c r="J297" s="29" t="s">
        <v>498</v>
      </c>
      <c r="K297" s="29" t="s">
        <v>499</v>
      </c>
      <c r="L297" s="29"/>
      <c r="M297" s="34"/>
    </row>
    <row r="298" spans="2:13" ht="30">
      <c r="B298" s="32" t="str">
        <f t="shared" si="28"/>
        <v>1</v>
      </c>
      <c r="C298" s="33" t="str">
        <f t="shared" si="29"/>
        <v>2</v>
      </c>
      <c r="D298" s="33" t="str">
        <f t="shared" si="30"/>
        <v>1</v>
      </c>
      <c r="E298" s="33" t="str">
        <f t="shared" si="31"/>
        <v>9</v>
      </c>
      <c r="F298" s="33" t="str">
        <f t="shared" si="32"/>
        <v>99</v>
      </c>
      <c r="G298" s="33" t="str">
        <f t="shared" si="33"/>
        <v>2</v>
      </c>
      <c r="H298" s="33" t="str">
        <f t="shared" si="34"/>
        <v>0</v>
      </c>
      <c r="I298" s="28">
        <v>12199920</v>
      </c>
      <c r="J298" s="29" t="s">
        <v>500</v>
      </c>
      <c r="K298" s="29" t="s">
        <v>501</v>
      </c>
      <c r="L298" s="29"/>
      <c r="M298" s="34"/>
    </row>
    <row r="299" spans="2:13" ht="75">
      <c r="B299" s="32" t="str">
        <f t="shared" si="28"/>
        <v>1</v>
      </c>
      <c r="C299" s="33" t="str">
        <f t="shared" si="29"/>
        <v>2</v>
      </c>
      <c r="D299" s="33" t="str">
        <f t="shared" si="30"/>
        <v>2</v>
      </c>
      <c r="E299" s="33" t="str">
        <f t="shared" si="31"/>
        <v>0</v>
      </c>
      <c r="F299" s="33" t="str">
        <f t="shared" si="32"/>
        <v>00</v>
      </c>
      <c r="G299" s="33" t="str">
        <f t="shared" si="33"/>
        <v>0</v>
      </c>
      <c r="H299" s="33" t="str">
        <f t="shared" si="34"/>
        <v>0</v>
      </c>
      <c r="I299" s="28">
        <v>12200000</v>
      </c>
      <c r="J299" s="29" t="s">
        <v>502</v>
      </c>
      <c r="K299" s="29" t="s">
        <v>503</v>
      </c>
      <c r="L299" s="29"/>
      <c r="M299" s="34"/>
    </row>
    <row r="300" spans="2:13" ht="45">
      <c r="B300" s="32" t="str">
        <f t="shared" si="28"/>
        <v>1</v>
      </c>
      <c r="C300" s="33" t="str">
        <f t="shared" si="29"/>
        <v>2</v>
      </c>
      <c r="D300" s="33" t="str">
        <f t="shared" si="30"/>
        <v>2</v>
      </c>
      <c r="E300" s="33" t="str">
        <f t="shared" si="31"/>
        <v>0</v>
      </c>
      <c r="F300" s="33" t="str">
        <f t="shared" si="32"/>
        <v>01</v>
      </c>
      <c r="G300" s="33" t="str">
        <f t="shared" si="33"/>
        <v>0</v>
      </c>
      <c r="H300" s="33" t="str">
        <f t="shared" si="34"/>
        <v>0</v>
      </c>
      <c r="I300" s="28">
        <v>12200100</v>
      </c>
      <c r="J300" s="29" t="s">
        <v>504</v>
      </c>
      <c r="K300" s="29" t="s">
        <v>505</v>
      </c>
      <c r="L300" s="29"/>
      <c r="M300" s="34"/>
    </row>
    <row r="301" spans="2:13" ht="30">
      <c r="B301" s="32" t="str">
        <f t="shared" si="28"/>
        <v>1</v>
      </c>
      <c r="C301" s="33" t="str">
        <f t="shared" si="29"/>
        <v>2</v>
      </c>
      <c r="D301" s="33" t="str">
        <f t="shared" si="30"/>
        <v>2</v>
      </c>
      <c r="E301" s="33" t="str">
        <f t="shared" si="31"/>
        <v>0</v>
      </c>
      <c r="F301" s="33" t="str">
        <f t="shared" si="32"/>
        <v>01</v>
      </c>
      <c r="G301" s="33" t="str">
        <f t="shared" si="33"/>
        <v>1</v>
      </c>
      <c r="H301" s="33" t="str">
        <f t="shared" si="34"/>
        <v>0</v>
      </c>
      <c r="I301" s="28">
        <v>12200110</v>
      </c>
      <c r="J301" s="29" t="s">
        <v>506</v>
      </c>
      <c r="K301" s="29" t="s">
        <v>507</v>
      </c>
      <c r="L301" s="29"/>
      <c r="M301" s="34"/>
    </row>
    <row r="302" spans="2:13" ht="45">
      <c r="B302" s="32" t="str">
        <f t="shared" si="28"/>
        <v>1</v>
      </c>
      <c r="C302" s="33" t="str">
        <f t="shared" si="29"/>
        <v>2</v>
      </c>
      <c r="D302" s="33" t="str">
        <f t="shared" si="30"/>
        <v>2</v>
      </c>
      <c r="E302" s="33" t="str">
        <f t="shared" si="31"/>
        <v>0</v>
      </c>
      <c r="F302" s="33" t="str">
        <f t="shared" si="32"/>
        <v>01</v>
      </c>
      <c r="G302" s="33" t="str">
        <f t="shared" si="33"/>
        <v>2</v>
      </c>
      <c r="H302" s="33" t="str">
        <f t="shared" si="34"/>
        <v>0</v>
      </c>
      <c r="I302" s="28">
        <v>12200120</v>
      </c>
      <c r="J302" s="29" t="s">
        <v>508</v>
      </c>
      <c r="K302" s="29" t="s">
        <v>509</v>
      </c>
      <c r="L302" s="29"/>
      <c r="M302" s="34"/>
    </row>
    <row r="303" spans="2:13" ht="30">
      <c r="B303" s="32" t="str">
        <f t="shared" si="28"/>
        <v>1</v>
      </c>
      <c r="C303" s="33" t="str">
        <f t="shared" si="29"/>
        <v>2</v>
      </c>
      <c r="D303" s="33" t="str">
        <f t="shared" si="30"/>
        <v>2</v>
      </c>
      <c r="E303" s="33" t="str">
        <f t="shared" si="31"/>
        <v>0</v>
      </c>
      <c r="F303" s="33" t="str">
        <f t="shared" si="32"/>
        <v>02</v>
      </c>
      <c r="G303" s="33" t="str">
        <f t="shared" si="33"/>
        <v>0</v>
      </c>
      <c r="H303" s="33" t="str">
        <f t="shared" si="34"/>
        <v>0</v>
      </c>
      <c r="I303" s="28">
        <v>12200200</v>
      </c>
      <c r="J303" s="29" t="s">
        <v>510</v>
      </c>
      <c r="K303" s="29" t="s">
        <v>511</v>
      </c>
      <c r="L303" s="29"/>
      <c r="M303" s="34"/>
    </row>
    <row r="304" spans="2:13" ht="120">
      <c r="B304" s="32" t="str">
        <f t="shared" si="28"/>
        <v>1</v>
      </c>
      <c r="C304" s="33" t="str">
        <f t="shared" si="29"/>
        <v>2</v>
      </c>
      <c r="D304" s="33" t="str">
        <f t="shared" si="30"/>
        <v>2</v>
      </c>
      <c r="E304" s="33" t="str">
        <f t="shared" si="31"/>
        <v>0</v>
      </c>
      <c r="F304" s="33" t="str">
        <f t="shared" si="32"/>
        <v>02</v>
      </c>
      <c r="G304" s="33" t="str">
        <f t="shared" si="33"/>
        <v>1</v>
      </c>
      <c r="H304" s="33" t="str">
        <f t="shared" si="34"/>
        <v>0</v>
      </c>
      <c r="I304" s="28">
        <v>12200210</v>
      </c>
      <c r="J304" s="29" t="s">
        <v>510</v>
      </c>
      <c r="K304" s="29" t="s">
        <v>512</v>
      </c>
      <c r="L304" s="29"/>
      <c r="M304" s="34"/>
    </row>
    <row r="305" spans="2:13" ht="75">
      <c r="B305" s="32" t="str">
        <f t="shared" si="28"/>
        <v>1</v>
      </c>
      <c r="C305" s="33" t="str">
        <f t="shared" si="29"/>
        <v>2</v>
      </c>
      <c r="D305" s="33" t="str">
        <f t="shared" si="30"/>
        <v>2</v>
      </c>
      <c r="E305" s="33" t="str">
        <f t="shared" si="31"/>
        <v>0</v>
      </c>
      <c r="F305" s="33" t="str">
        <f t="shared" si="32"/>
        <v>03</v>
      </c>
      <c r="G305" s="33" t="str">
        <f t="shared" si="33"/>
        <v>0</v>
      </c>
      <c r="H305" s="33" t="str">
        <f t="shared" si="34"/>
        <v>0</v>
      </c>
      <c r="I305" s="28">
        <v>12200300</v>
      </c>
      <c r="J305" s="29" t="s">
        <v>513</v>
      </c>
      <c r="K305" s="29" t="s">
        <v>514</v>
      </c>
      <c r="L305" s="29"/>
      <c r="M305" s="34"/>
    </row>
    <row r="306" spans="2:13" ht="75">
      <c r="B306" s="32" t="str">
        <f t="shared" si="28"/>
        <v>1</v>
      </c>
      <c r="C306" s="33" t="str">
        <f t="shared" si="29"/>
        <v>2</v>
      </c>
      <c r="D306" s="33" t="str">
        <f t="shared" si="30"/>
        <v>2</v>
      </c>
      <c r="E306" s="33" t="str">
        <f t="shared" si="31"/>
        <v>0</v>
      </c>
      <c r="F306" s="33" t="str">
        <f t="shared" si="32"/>
        <v>03</v>
      </c>
      <c r="G306" s="33" t="str">
        <f t="shared" si="33"/>
        <v>1</v>
      </c>
      <c r="H306" s="33" t="str">
        <f t="shared" si="34"/>
        <v>0</v>
      </c>
      <c r="I306" s="28">
        <v>12200310</v>
      </c>
      <c r="J306" s="29" t="s">
        <v>513</v>
      </c>
      <c r="K306" s="29" t="s">
        <v>514</v>
      </c>
      <c r="L306" s="29"/>
      <c r="M306" s="34"/>
    </row>
    <row r="307" spans="2:13" ht="150">
      <c r="B307" s="32" t="str">
        <f t="shared" si="28"/>
        <v>1</v>
      </c>
      <c r="C307" s="33" t="str">
        <f t="shared" si="29"/>
        <v>2</v>
      </c>
      <c r="D307" s="33" t="str">
        <f t="shared" si="30"/>
        <v>2</v>
      </c>
      <c r="E307" s="33" t="str">
        <f t="shared" si="31"/>
        <v>0</v>
      </c>
      <c r="F307" s="33" t="str">
        <f t="shared" si="32"/>
        <v>04</v>
      </c>
      <c r="G307" s="33" t="str">
        <f t="shared" si="33"/>
        <v>0</v>
      </c>
      <c r="H307" s="33" t="str">
        <f t="shared" si="34"/>
        <v>0</v>
      </c>
      <c r="I307" s="28">
        <v>12200400</v>
      </c>
      <c r="J307" s="29" t="s">
        <v>515</v>
      </c>
      <c r="K307" s="29" t="s">
        <v>516</v>
      </c>
      <c r="L307" s="29"/>
      <c r="M307" s="34"/>
    </row>
    <row r="308" spans="2:13" ht="150">
      <c r="B308" s="32" t="str">
        <f t="shared" si="28"/>
        <v>1</v>
      </c>
      <c r="C308" s="33" t="str">
        <f t="shared" si="29"/>
        <v>2</v>
      </c>
      <c r="D308" s="33" t="str">
        <f t="shared" si="30"/>
        <v>2</v>
      </c>
      <c r="E308" s="33" t="str">
        <f t="shared" si="31"/>
        <v>0</v>
      </c>
      <c r="F308" s="33" t="str">
        <f t="shared" si="32"/>
        <v>04</v>
      </c>
      <c r="G308" s="33" t="str">
        <f t="shared" si="33"/>
        <v>1</v>
      </c>
      <c r="H308" s="33" t="str">
        <f t="shared" si="34"/>
        <v>0</v>
      </c>
      <c r="I308" s="28">
        <v>12200410</v>
      </c>
      <c r="J308" s="29" t="s">
        <v>515</v>
      </c>
      <c r="K308" s="29" t="s">
        <v>516</v>
      </c>
      <c r="L308" s="29"/>
      <c r="M308" s="34"/>
    </row>
    <row r="309" spans="2:13" ht="78" customHeight="1">
      <c r="B309" s="32" t="str">
        <f t="shared" si="28"/>
        <v>1</v>
      </c>
      <c r="C309" s="33" t="str">
        <f t="shared" si="29"/>
        <v>2</v>
      </c>
      <c r="D309" s="33" t="str">
        <f t="shared" si="30"/>
        <v>2</v>
      </c>
      <c r="E309" s="33" t="str">
        <f t="shared" si="31"/>
        <v>0</v>
      </c>
      <c r="F309" s="33" t="str">
        <f t="shared" si="32"/>
        <v>05</v>
      </c>
      <c r="G309" s="33" t="str">
        <f t="shared" si="33"/>
        <v>0</v>
      </c>
      <c r="H309" s="33" t="str">
        <f t="shared" si="34"/>
        <v>0</v>
      </c>
      <c r="I309" s="28">
        <v>12200500</v>
      </c>
      <c r="J309" s="29" t="s">
        <v>517</v>
      </c>
      <c r="K309" s="29" t="s">
        <v>518</v>
      </c>
      <c r="L309" s="29"/>
      <c r="M309" s="34"/>
    </row>
    <row r="310" spans="2:13" ht="59.25" customHeight="1">
      <c r="B310" s="32" t="str">
        <f t="shared" si="28"/>
        <v>1</v>
      </c>
      <c r="C310" s="33" t="str">
        <f t="shared" si="29"/>
        <v>2</v>
      </c>
      <c r="D310" s="33" t="str">
        <f t="shared" si="30"/>
        <v>2</v>
      </c>
      <c r="E310" s="33" t="str">
        <f t="shared" si="31"/>
        <v>0</v>
      </c>
      <c r="F310" s="33" t="str">
        <f t="shared" si="32"/>
        <v>05</v>
      </c>
      <c r="G310" s="33" t="str">
        <f t="shared" si="33"/>
        <v>1</v>
      </c>
      <c r="H310" s="33" t="str">
        <f t="shared" si="34"/>
        <v>0</v>
      </c>
      <c r="I310" s="28">
        <v>12200510</v>
      </c>
      <c r="J310" s="29" t="s">
        <v>517</v>
      </c>
      <c r="K310" s="29" t="s">
        <v>518</v>
      </c>
      <c r="L310" s="29"/>
      <c r="M310" s="34"/>
    </row>
    <row r="311" spans="2:13" ht="54" customHeight="1">
      <c r="B311" s="32" t="str">
        <f t="shared" si="28"/>
        <v>1</v>
      </c>
      <c r="C311" s="33" t="str">
        <f t="shared" si="29"/>
        <v>2</v>
      </c>
      <c r="D311" s="33" t="str">
        <f t="shared" si="30"/>
        <v>2</v>
      </c>
      <c r="E311" s="33" t="str">
        <f t="shared" si="31"/>
        <v>0</v>
      </c>
      <c r="F311" s="33" t="str">
        <f t="shared" si="32"/>
        <v>06</v>
      </c>
      <c r="G311" s="33" t="str">
        <f t="shared" si="33"/>
        <v>0</v>
      </c>
      <c r="H311" s="33" t="str">
        <f t="shared" si="34"/>
        <v>0</v>
      </c>
      <c r="I311" s="28">
        <v>12200600</v>
      </c>
      <c r="J311" s="29" t="s">
        <v>519</v>
      </c>
      <c r="K311" s="29" t="s">
        <v>520</v>
      </c>
      <c r="L311" s="29"/>
      <c r="M311" s="34"/>
    </row>
    <row r="312" spans="2:13" ht="47.25" customHeight="1">
      <c r="B312" s="32" t="str">
        <f t="shared" si="28"/>
        <v>1</v>
      </c>
      <c r="C312" s="33" t="str">
        <f t="shared" si="29"/>
        <v>2</v>
      </c>
      <c r="D312" s="33" t="str">
        <f t="shared" si="30"/>
        <v>2</v>
      </c>
      <c r="E312" s="33" t="str">
        <f t="shared" si="31"/>
        <v>0</v>
      </c>
      <c r="F312" s="33" t="str">
        <f t="shared" si="32"/>
        <v>06</v>
      </c>
      <c r="G312" s="33" t="str">
        <f t="shared" si="33"/>
        <v>1</v>
      </c>
      <c r="H312" s="33" t="str">
        <f t="shared" si="34"/>
        <v>0</v>
      </c>
      <c r="I312" s="28">
        <v>12200610</v>
      </c>
      <c r="J312" s="29" t="s">
        <v>519</v>
      </c>
      <c r="K312" s="29" t="s">
        <v>520</v>
      </c>
      <c r="L312" s="29"/>
      <c r="M312" s="34"/>
    </row>
    <row r="313" spans="2:13" ht="105">
      <c r="B313" s="32" t="str">
        <f t="shared" si="28"/>
        <v>1</v>
      </c>
      <c r="C313" s="33" t="str">
        <f t="shared" si="29"/>
        <v>2</v>
      </c>
      <c r="D313" s="33" t="str">
        <f t="shared" si="30"/>
        <v>2</v>
      </c>
      <c r="E313" s="33" t="str">
        <f t="shared" si="31"/>
        <v>0</v>
      </c>
      <c r="F313" s="33" t="str">
        <f t="shared" si="32"/>
        <v>07</v>
      </c>
      <c r="G313" s="33" t="str">
        <f t="shared" si="33"/>
        <v>0</v>
      </c>
      <c r="H313" s="33" t="str">
        <f t="shared" si="34"/>
        <v>0</v>
      </c>
      <c r="I313" s="28">
        <v>12200700</v>
      </c>
      <c r="J313" s="29" t="s">
        <v>521</v>
      </c>
      <c r="K313" s="29" t="s">
        <v>522</v>
      </c>
      <c r="L313" s="29"/>
      <c r="M313" s="34"/>
    </row>
    <row r="314" spans="2:13" ht="105">
      <c r="B314" s="32" t="str">
        <f t="shared" si="28"/>
        <v>1</v>
      </c>
      <c r="C314" s="33" t="str">
        <f t="shared" si="29"/>
        <v>2</v>
      </c>
      <c r="D314" s="33" t="str">
        <f t="shared" si="30"/>
        <v>2</v>
      </c>
      <c r="E314" s="33" t="str">
        <f t="shared" si="31"/>
        <v>0</v>
      </c>
      <c r="F314" s="33" t="str">
        <f t="shared" si="32"/>
        <v>07</v>
      </c>
      <c r="G314" s="33" t="str">
        <f t="shared" si="33"/>
        <v>1</v>
      </c>
      <c r="H314" s="33" t="str">
        <f t="shared" si="34"/>
        <v>0</v>
      </c>
      <c r="I314" s="28">
        <v>12200710</v>
      </c>
      <c r="J314" s="29" t="s">
        <v>521</v>
      </c>
      <c r="K314" s="29" t="s">
        <v>522</v>
      </c>
      <c r="L314" s="29"/>
      <c r="M314" s="34"/>
    </row>
    <row r="315" spans="2:13" ht="45">
      <c r="B315" s="32" t="str">
        <f t="shared" si="28"/>
        <v>1</v>
      </c>
      <c r="C315" s="33" t="str">
        <f t="shared" si="29"/>
        <v>2</v>
      </c>
      <c r="D315" s="33" t="str">
        <f t="shared" si="30"/>
        <v>2</v>
      </c>
      <c r="E315" s="33" t="str">
        <f t="shared" si="31"/>
        <v>0</v>
      </c>
      <c r="F315" s="33" t="str">
        <f t="shared" si="32"/>
        <v>08</v>
      </c>
      <c r="G315" s="33" t="str">
        <f t="shared" si="33"/>
        <v>0</v>
      </c>
      <c r="H315" s="33" t="str">
        <f t="shared" si="34"/>
        <v>0</v>
      </c>
      <c r="I315" s="28">
        <v>12200800</v>
      </c>
      <c r="J315" s="29" t="s">
        <v>523</v>
      </c>
      <c r="K315" s="29" t="s">
        <v>524</v>
      </c>
      <c r="L315" s="29"/>
      <c r="M315" s="34"/>
    </row>
    <row r="316" spans="2:13" ht="45">
      <c r="B316" s="32" t="str">
        <f t="shared" si="28"/>
        <v>1</v>
      </c>
      <c r="C316" s="33" t="str">
        <f t="shared" si="29"/>
        <v>2</v>
      </c>
      <c r="D316" s="33" t="str">
        <f t="shared" si="30"/>
        <v>2</v>
      </c>
      <c r="E316" s="33" t="str">
        <f t="shared" si="31"/>
        <v>0</v>
      </c>
      <c r="F316" s="33" t="str">
        <f t="shared" si="32"/>
        <v>08</v>
      </c>
      <c r="G316" s="33" t="str">
        <f t="shared" si="33"/>
        <v>1</v>
      </c>
      <c r="H316" s="33" t="str">
        <f t="shared" si="34"/>
        <v>0</v>
      </c>
      <c r="I316" s="28">
        <v>12200810</v>
      </c>
      <c r="J316" s="29" t="s">
        <v>525</v>
      </c>
      <c r="K316" s="29" t="s">
        <v>526</v>
      </c>
      <c r="L316" s="29"/>
      <c r="M316" s="34"/>
    </row>
    <row r="317" spans="2:13" ht="45">
      <c r="B317" s="32" t="str">
        <f t="shared" si="28"/>
        <v>1</v>
      </c>
      <c r="C317" s="33" t="str">
        <f t="shared" si="29"/>
        <v>2</v>
      </c>
      <c r="D317" s="33" t="str">
        <f t="shared" si="30"/>
        <v>2</v>
      </c>
      <c r="E317" s="33" t="str">
        <f t="shared" si="31"/>
        <v>0</v>
      </c>
      <c r="F317" s="33" t="str">
        <f t="shared" si="32"/>
        <v>08</v>
      </c>
      <c r="G317" s="33" t="str">
        <f t="shared" si="33"/>
        <v>2</v>
      </c>
      <c r="H317" s="33" t="str">
        <f t="shared" si="34"/>
        <v>0</v>
      </c>
      <c r="I317" s="28">
        <v>12200820</v>
      </c>
      <c r="J317" s="29" t="s">
        <v>527</v>
      </c>
      <c r="K317" s="29" t="s">
        <v>528</v>
      </c>
      <c r="L317" s="29"/>
      <c r="M317" s="34"/>
    </row>
    <row r="318" spans="2:13" ht="75">
      <c r="B318" s="32" t="str">
        <f t="shared" si="28"/>
        <v>1</v>
      </c>
      <c r="C318" s="33" t="str">
        <f t="shared" si="29"/>
        <v>2</v>
      </c>
      <c r="D318" s="33" t="str">
        <f t="shared" si="30"/>
        <v>2</v>
      </c>
      <c r="E318" s="33" t="str">
        <f t="shared" si="31"/>
        <v>0</v>
      </c>
      <c r="F318" s="33" t="str">
        <f t="shared" si="32"/>
        <v>09</v>
      </c>
      <c r="G318" s="33" t="str">
        <f t="shared" si="33"/>
        <v>0</v>
      </c>
      <c r="H318" s="33" t="str">
        <f t="shared" si="34"/>
        <v>0</v>
      </c>
      <c r="I318" s="28">
        <v>12200900</v>
      </c>
      <c r="J318" s="29" t="s">
        <v>529</v>
      </c>
      <c r="K318" s="29" t="s">
        <v>530</v>
      </c>
      <c r="L318" s="29"/>
      <c r="M318" s="34"/>
    </row>
    <row r="319" spans="2:13" ht="135">
      <c r="B319" s="32" t="str">
        <f t="shared" si="28"/>
        <v>1</v>
      </c>
      <c r="C319" s="33" t="str">
        <f t="shared" si="29"/>
        <v>2</v>
      </c>
      <c r="D319" s="33" t="str">
        <f t="shared" si="30"/>
        <v>2</v>
      </c>
      <c r="E319" s="33" t="str">
        <f t="shared" si="31"/>
        <v>0</v>
      </c>
      <c r="F319" s="33" t="str">
        <f t="shared" si="32"/>
        <v>09</v>
      </c>
      <c r="G319" s="33" t="str">
        <f t="shared" si="33"/>
        <v>1</v>
      </c>
      <c r="H319" s="33" t="str">
        <f t="shared" si="34"/>
        <v>0</v>
      </c>
      <c r="I319" s="28">
        <v>12200910</v>
      </c>
      <c r="J319" s="29" t="s">
        <v>531</v>
      </c>
      <c r="K319" s="29" t="s">
        <v>532</v>
      </c>
      <c r="L319" s="29"/>
      <c r="M319" s="34"/>
    </row>
    <row r="320" spans="2:13" ht="135">
      <c r="B320" s="32" t="str">
        <f t="shared" si="28"/>
        <v>1</v>
      </c>
      <c r="C320" s="33" t="str">
        <f t="shared" si="29"/>
        <v>2</v>
      </c>
      <c r="D320" s="33" t="str">
        <f t="shared" si="30"/>
        <v>2</v>
      </c>
      <c r="E320" s="33" t="str">
        <f t="shared" si="31"/>
        <v>0</v>
      </c>
      <c r="F320" s="33" t="str">
        <f t="shared" si="32"/>
        <v>09</v>
      </c>
      <c r="G320" s="33" t="str">
        <f t="shared" si="33"/>
        <v>2</v>
      </c>
      <c r="H320" s="33" t="str">
        <f t="shared" si="34"/>
        <v>0</v>
      </c>
      <c r="I320" s="28">
        <v>12200920</v>
      </c>
      <c r="J320" s="29" t="s">
        <v>533</v>
      </c>
      <c r="K320" s="29" t="s">
        <v>534</v>
      </c>
      <c r="L320" s="29"/>
      <c r="M320" s="34"/>
    </row>
    <row r="321" spans="2:13" ht="30">
      <c r="B321" s="32" t="str">
        <f t="shared" si="28"/>
        <v>1</v>
      </c>
      <c r="C321" s="33" t="str">
        <f t="shared" si="29"/>
        <v>2</v>
      </c>
      <c r="D321" s="33" t="str">
        <f t="shared" si="30"/>
        <v>2</v>
      </c>
      <c r="E321" s="33" t="str">
        <f t="shared" si="31"/>
        <v>0</v>
      </c>
      <c r="F321" s="33" t="str">
        <f t="shared" si="32"/>
        <v>10</v>
      </c>
      <c r="G321" s="33" t="str">
        <f t="shared" si="33"/>
        <v>0</v>
      </c>
      <c r="H321" s="33" t="str">
        <f t="shared" si="34"/>
        <v>0</v>
      </c>
      <c r="I321" s="28">
        <v>12201000</v>
      </c>
      <c r="J321" s="29" t="s">
        <v>535</v>
      </c>
      <c r="K321" s="29" t="s">
        <v>536</v>
      </c>
      <c r="L321" s="29"/>
      <c r="M321" s="34"/>
    </row>
    <row r="322" spans="2:13" ht="30">
      <c r="B322" s="32" t="str">
        <f t="shared" si="28"/>
        <v>1</v>
      </c>
      <c r="C322" s="33" t="str">
        <f t="shared" si="29"/>
        <v>2</v>
      </c>
      <c r="D322" s="33" t="str">
        <f t="shared" si="30"/>
        <v>2</v>
      </c>
      <c r="E322" s="33" t="str">
        <f t="shared" si="31"/>
        <v>0</v>
      </c>
      <c r="F322" s="33" t="str">
        <f t="shared" si="32"/>
        <v>10</v>
      </c>
      <c r="G322" s="33" t="str">
        <f t="shared" si="33"/>
        <v>1</v>
      </c>
      <c r="H322" s="33" t="str">
        <f t="shared" si="34"/>
        <v>0</v>
      </c>
      <c r="I322" s="28">
        <v>12201010</v>
      </c>
      <c r="J322" s="29" t="s">
        <v>535</v>
      </c>
      <c r="K322" s="29" t="s">
        <v>536</v>
      </c>
      <c r="L322" s="29"/>
      <c r="M322" s="34"/>
    </row>
    <row r="323" spans="2:13" ht="30">
      <c r="B323" s="32" t="str">
        <f t="shared" ref="B323:B386" si="35">MID($I323,1,1)</f>
        <v>1</v>
      </c>
      <c r="C323" s="33" t="str">
        <f t="shared" ref="C323:C386" si="36">MID($I323,2,1)</f>
        <v>2</v>
      </c>
      <c r="D323" s="33" t="str">
        <f t="shared" ref="D323:D386" si="37">MID($I323,3,1)</f>
        <v>2</v>
      </c>
      <c r="E323" s="33" t="str">
        <f t="shared" ref="E323:E386" si="38">MID($I323,4,1)</f>
        <v>0</v>
      </c>
      <c r="F323" s="33" t="str">
        <f t="shared" ref="F323:F386" si="39">MID($I323,5,2)</f>
        <v>11</v>
      </c>
      <c r="G323" s="33" t="str">
        <f t="shared" ref="G323:G386" si="40">MID($I323,7,1)</f>
        <v>0</v>
      </c>
      <c r="H323" s="33" t="str">
        <f t="shared" ref="H323:H386" si="41">MID($I323,8,1)</f>
        <v>0</v>
      </c>
      <c r="I323" s="28">
        <v>12201100</v>
      </c>
      <c r="J323" s="29" t="s">
        <v>537</v>
      </c>
      <c r="K323" s="29"/>
      <c r="L323" s="29"/>
      <c r="M323" s="34"/>
    </row>
    <row r="324" spans="2:13" ht="30">
      <c r="B324" s="32" t="str">
        <f t="shared" si="35"/>
        <v>1</v>
      </c>
      <c r="C324" s="33" t="str">
        <f t="shared" si="36"/>
        <v>2</v>
      </c>
      <c r="D324" s="33" t="str">
        <f t="shared" si="37"/>
        <v>2</v>
      </c>
      <c r="E324" s="33" t="str">
        <f t="shared" si="38"/>
        <v>0</v>
      </c>
      <c r="F324" s="33" t="str">
        <f t="shared" si="39"/>
        <v>11</v>
      </c>
      <c r="G324" s="33" t="str">
        <f t="shared" si="40"/>
        <v>1</v>
      </c>
      <c r="H324" s="33" t="str">
        <f t="shared" si="41"/>
        <v>0</v>
      </c>
      <c r="I324" s="28">
        <v>12201110</v>
      </c>
      <c r="J324" s="29" t="s">
        <v>538</v>
      </c>
      <c r="K324" s="29"/>
      <c r="L324" s="29"/>
      <c r="M324" s="34"/>
    </row>
    <row r="325" spans="2:13" ht="30">
      <c r="B325" s="32" t="str">
        <f t="shared" si="35"/>
        <v>1</v>
      </c>
      <c r="C325" s="33" t="str">
        <f t="shared" si="36"/>
        <v>2</v>
      </c>
      <c r="D325" s="33" t="str">
        <f t="shared" si="37"/>
        <v>2</v>
      </c>
      <c r="E325" s="33" t="str">
        <f t="shared" si="38"/>
        <v>0</v>
      </c>
      <c r="F325" s="33" t="str">
        <f t="shared" si="39"/>
        <v>11</v>
      </c>
      <c r="G325" s="33" t="str">
        <f t="shared" si="40"/>
        <v>2</v>
      </c>
      <c r="H325" s="33" t="str">
        <f t="shared" si="41"/>
        <v>0</v>
      </c>
      <c r="I325" s="28">
        <v>12201120</v>
      </c>
      <c r="J325" s="29" t="s">
        <v>539</v>
      </c>
      <c r="K325" s="29"/>
      <c r="L325" s="29"/>
      <c r="M325" s="34"/>
    </row>
    <row r="326" spans="2:13" ht="30">
      <c r="B326" s="32" t="str">
        <f t="shared" si="35"/>
        <v>1</v>
      </c>
      <c r="C326" s="33" t="str">
        <f t="shared" si="36"/>
        <v>2</v>
      </c>
      <c r="D326" s="33" t="str">
        <f t="shared" si="37"/>
        <v>2</v>
      </c>
      <c r="E326" s="33" t="str">
        <f t="shared" si="38"/>
        <v>0</v>
      </c>
      <c r="F326" s="33" t="str">
        <f t="shared" si="39"/>
        <v>99</v>
      </c>
      <c r="G326" s="33" t="str">
        <f t="shared" si="40"/>
        <v>0</v>
      </c>
      <c r="H326" s="33" t="str">
        <f t="shared" si="41"/>
        <v>0</v>
      </c>
      <c r="I326" s="28">
        <v>12209900</v>
      </c>
      <c r="J326" s="29" t="s">
        <v>540</v>
      </c>
      <c r="K326" s="29" t="s">
        <v>541</v>
      </c>
      <c r="L326" s="29"/>
      <c r="M326" s="34"/>
    </row>
    <row r="327" spans="2:13" ht="30">
      <c r="B327" s="32" t="str">
        <f t="shared" si="35"/>
        <v>1</v>
      </c>
      <c r="C327" s="33" t="str">
        <f t="shared" si="36"/>
        <v>2</v>
      </c>
      <c r="D327" s="33" t="str">
        <f t="shared" si="37"/>
        <v>2</v>
      </c>
      <c r="E327" s="33" t="str">
        <f t="shared" si="38"/>
        <v>0</v>
      </c>
      <c r="F327" s="33" t="str">
        <f t="shared" si="39"/>
        <v>99</v>
      </c>
      <c r="G327" s="33" t="str">
        <f t="shared" si="40"/>
        <v>1</v>
      </c>
      <c r="H327" s="33" t="str">
        <f t="shared" si="41"/>
        <v>0</v>
      </c>
      <c r="I327" s="28">
        <v>12209910</v>
      </c>
      <c r="J327" s="29" t="s">
        <v>540</v>
      </c>
      <c r="K327" s="29" t="s">
        <v>541</v>
      </c>
      <c r="L327" s="29"/>
      <c r="M327" s="34"/>
    </row>
    <row r="328" spans="2:13" ht="30">
      <c r="B328" s="32" t="str">
        <f t="shared" si="35"/>
        <v>1</v>
      </c>
      <c r="C328" s="33" t="str">
        <f t="shared" si="36"/>
        <v>2</v>
      </c>
      <c r="D328" s="33" t="str">
        <f t="shared" si="37"/>
        <v>2</v>
      </c>
      <c r="E328" s="33" t="str">
        <f t="shared" si="38"/>
        <v>8</v>
      </c>
      <c r="F328" s="33" t="str">
        <f t="shared" si="39"/>
        <v>00</v>
      </c>
      <c r="G328" s="33" t="str">
        <f t="shared" si="40"/>
        <v>0</v>
      </c>
      <c r="H328" s="33" t="str">
        <f t="shared" si="41"/>
        <v>0</v>
      </c>
      <c r="I328" s="28">
        <v>12280000</v>
      </c>
      <c r="J328" s="29" t="s">
        <v>542</v>
      </c>
      <c r="K328" s="29" t="s">
        <v>543</v>
      </c>
      <c r="L328" s="29"/>
      <c r="M328" s="34"/>
    </row>
    <row r="329" spans="2:13" ht="30">
      <c r="B329" s="32" t="str">
        <f t="shared" si="35"/>
        <v>1</v>
      </c>
      <c r="C329" s="33" t="str">
        <f t="shared" si="36"/>
        <v>2</v>
      </c>
      <c r="D329" s="33" t="str">
        <f t="shared" si="37"/>
        <v>2</v>
      </c>
      <c r="E329" s="33" t="str">
        <f t="shared" si="38"/>
        <v>8</v>
      </c>
      <c r="F329" s="33" t="str">
        <f t="shared" si="39"/>
        <v>01</v>
      </c>
      <c r="G329" s="33" t="str">
        <f t="shared" si="40"/>
        <v>0</v>
      </c>
      <c r="H329" s="33" t="str">
        <f t="shared" si="41"/>
        <v>0</v>
      </c>
      <c r="I329" s="28">
        <v>12280100</v>
      </c>
      <c r="J329" s="29" t="s">
        <v>544</v>
      </c>
      <c r="K329" s="29" t="s">
        <v>545</v>
      </c>
      <c r="L329" s="29"/>
      <c r="M329" s="34"/>
    </row>
    <row r="330" spans="2:13" ht="30">
      <c r="B330" s="32" t="str">
        <f t="shared" si="35"/>
        <v>1</v>
      </c>
      <c r="C330" s="33" t="str">
        <f t="shared" si="36"/>
        <v>2</v>
      </c>
      <c r="D330" s="33" t="str">
        <f t="shared" si="37"/>
        <v>2</v>
      </c>
      <c r="E330" s="33" t="str">
        <f t="shared" si="38"/>
        <v>8</v>
      </c>
      <c r="F330" s="33" t="str">
        <f t="shared" si="39"/>
        <v>01</v>
      </c>
      <c r="G330" s="33" t="str">
        <f t="shared" si="40"/>
        <v>1</v>
      </c>
      <c r="H330" s="33" t="str">
        <f t="shared" si="41"/>
        <v>0</v>
      </c>
      <c r="I330" s="28">
        <v>12280110</v>
      </c>
      <c r="J330" s="29" t="s">
        <v>546</v>
      </c>
      <c r="K330" s="29" t="s">
        <v>547</v>
      </c>
      <c r="L330" s="29"/>
      <c r="M330" s="34"/>
    </row>
    <row r="331" spans="2:13" ht="45">
      <c r="B331" s="32" t="str">
        <f t="shared" si="35"/>
        <v>1</v>
      </c>
      <c r="C331" s="33" t="str">
        <f t="shared" si="36"/>
        <v>2</v>
      </c>
      <c r="D331" s="33" t="str">
        <f t="shared" si="37"/>
        <v>3</v>
      </c>
      <c r="E331" s="33" t="str">
        <f t="shared" si="38"/>
        <v>0</v>
      </c>
      <c r="F331" s="33" t="str">
        <f t="shared" si="39"/>
        <v>00</v>
      </c>
      <c r="G331" s="33" t="str">
        <f t="shared" si="40"/>
        <v>0</v>
      </c>
      <c r="H331" s="33" t="str">
        <f t="shared" si="41"/>
        <v>0</v>
      </c>
      <c r="I331" s="28">
        <v>12300000</v>
      </c>
      <c r="J331" s="29" t="s">
        <v>548</v>
      </c>
      <c r="K331" s="29" t="s">
        <v>549</v>
      </c>
      <c r="L331" s="29"/>
      <c r="M331" s="34"/>
    </row>
    <row r="332" spans="2:13" ht="45">
      <c r="B332" s="32" t="str">
        <f t="shared" si="35"/>
        <v>1</v>
      </c>
      <c r="C332" s="33" t="str">
        <f t="shared" si="36"/>
        <v>2</v>
      </c>
      <c r="D332" s="33" t="str">
        <f t="shared" si="37"/>
        <v>3</v>
      </c>
      <c r="E332" s="33" t="str">
        <f t="shared" si="38"/>
        <v>0</v>
      </c>
      <c r="F332" s="33" t="str">
        <f t="shared" si="39"/>
        <v>01</v>
      </c>
      <c r="G332" s="33" t="str">
        <f t="shared" si="40"/>
        <v>0</v>
      </c>
      <c r="H332" s="33" t="str">
        <f t="shared" si="41"/>
        <v>0</v>
      </c>
      <c r="I332" s="28">
        <v>12300100</v>
      </c>
      <c r="J332" s="29" t="s">
        <v>548</v>
      </c>
      <c r="K332" s="29" t="s">
        <v>549</v>
      </c>
      <c r="L332" s="29"/>
      <c r="M332" s="34"/>
    </row>
    <row r="333" spans="2:13" ht="45">
      <c r="B333" s="32" t="str">
        <f t="shared" si="35"/>
        <v>1</v>
      </c>
      <c r="C333" s="33" t="str">
        <f t="shared" si="36"/>
        <v>2</v>
      </c>
      <c r="D333" s="33" t="str">
        <f t="shared" si="37"/>
        <v>3</v>
      </c>
      <c r="E333" s="33" t="str">
        <f t="shared" si="38"/>
        <v>0</v>
      </c>
      <c r="F333" s="33" t="str">
        <f t="shared" si="39"/>
        <v>01</v>
      </c>
      <c r="G333" s="33" t="str">
        <f t="shared" si="40"/>
        <v>1</v>
      </c>
      <c r="H333" s="33" t="str">
        <f t="shared" si="41"/>
        <v>0</v>
      </c>
      <c r="I333" s="28">
        <v>12300110</v>
      </c>
      <c r="J333" s="29" t="s">
        <v>548</v>
      </c>
      <c r="K333" s="29" t="s">
        <v>549</v>
      </c>
      <c r="L333" s="29"/>
      <c r="M333" s="34"/>
    </row>
    <row r="334" spans="2:13" ht="30">
      <c r="B334" s="32" t="str">
        <f t="shared" si="35"/>
        <v>1</v>
      </c>
      <c r="C334" s="33" t="str">
        <f t="shared" si="36"/>
        <v>2</v>
      </c>
      <c r="D334" s="33" t="str">
        <f t="shared" si="37"/>
        <v>4</v>
      </c>
      <c r="E334" s="33" t="str">
        <f t="shared" si="38"/>
        <v>0</v>
      </c>
      <c r="F334" s="33" t="str">
        <f t="shared" si="39"/>
        <v>00</v>
      </c>
      <c r="G334" s="33" t="str">
        <f t="shared" si="40"/>
        <v>0</v>
      </c>
      <c r="H334" s="33" t="str">
        <f t="shared" si="41"/>
        <v>0</v>
      </c>
      <c r="I334" s="28">
        <v>12400000</v>
      </c>
      <c r="J334" s="29" t="s">
        <v>550</v>
      </c>
      <c r="K334" s="29" t="s">
        <v>551</v>
      </c>
      <c r="L334" s="29"/>
      <c r="M334" s="34"/>
    </row>
    <row r="335" spans="2:13" ht="30">
      <c r="B335" s="32" t="str">
        <f t="shared" si="35"/>
        <v>1</v>
      </c>
      <c r="C335" s="33" t="str">
        <f t="shared" si="36"/>
        <v>2</v>
      </c>
      <c r="D335" s="33" t="str">
        <f t="shared" si="37"/>
        <v>4</v>
      </c>
      <c r="E335" s="33" t="str">
        <f t="shared" si="38"/>
        <v>0</v>
      </c>
      <c r="F335" s="33" t="str">
        <f t="shared" si="39"/>
        <v>00</v>
      </c>
      <c r="G335" s="33" t="str">
        <f t="shared" si="40"/>
        <v>1</v>
      </c>
      <c r="H335" s="33" t="str">
        <f t="shared" si="41"/>
        <v>0</v>
      </c>
      <c r="I335" s="28">
        <v>12400010</v>
      </c>
      <c r="J335" s="29" t="s">
        <v>550</v>
      </c>
      <c r="K335" s="29" t="s">
        <v>551</v>
      </c>
      <c r="L335" s="29"/>
      <c r="M335" s="34"/>
    </row>
    <row r="336" spans="2:13" ht="30">
      <c r="B336" s="32" t="str">
        <f t="shared" si="35"/>
        <v>1</v>
      </c>
      <c r="C336" s="33" t="str">
        <f t="shared" si="36"/>
        <v>3</v>
      </c>
      <c r="D336" s="33" t="str">
        <f t="shared" si="37"/>
        <v>0</v>
      </c>
      <c r="E336" s="33" t="str">
        <f t="shared" si="38"/>
        <v>0</v>
      </c>
      <c r="F336" s="33" t="str">
        <f t="shared" si="39"/>
        <v>00</v>
      </c>
      <c r="G336" s="33" t="str">
        <f t="shared" si="40"/>
        <v>0</v>
      </c>
      <c r="H336" s="33" t="str">
        <f t="shared" si="41"/>
        <v>0</v>
      </c>
      <c r="I336" s="28">
        <v>13000000</v>
      </c>
      <c r="J336" s="29" t="s">
        <v>552</v>
      </c>
      <c r="K336" s="29" t="s">
        <v>553</v>
      </c>
      <c r="L336" s="29"/>
      <c r="M336" s="34"/>
    </row>
    <row r="337" spans="2:13" ht="30">
      <c r="B337" s="32" t="str">
        <f t="shared" si="35"/>
        <v>1</v>
      </c>
      <c r="C337" s="33" t="str">
        <f t="shared" si="36"/>
        <v>3</v>
      </c>
      <c r="D337" s="33" t="str">
        <f t="shared" si="37"/>
        <v>1</v>
      </c>
      <c r="E337" s="33" t="str">
        <f t="shared" si="38"/>
        <v>0</v>
      </c>
      <c r="F337" s="33" t="str">
        <f t="shared" si="39"/>
        <v>00</v>
      </c>
      <c r="G337" s="33" t="str">
        <f t="shared" si="40"/>
        <v>0</v>
      </c>
      <c r="H337" s="33" t="str">
        <f t="shared" si="41"/>
        <v>0</v>
      </c>
      <c r="I337" s="28">
        <v>13100000</v>
      </c>
      <c r="J337" s="29" t="s">
        <v>554</v>
      </c>
      <c r="K337" s="29" t="s">
        <v>555</v>
      </c>
      <c r="L337" s="29"/>
      <c r="M337" s="34"/>
    </row>
    <row r="338" spans="2:13" ht="60">
      <c r="B338" s="32" t="str">
        <f t="shared" si="35"/>
        <v>1</v>
      </c>
      <c r="C338" s="33" t="str">
        <f t="shared" si="36"/>
        <v>3</v>
      </c>
      <c r="D338" s="33" t="str">
        <f t="shared" si="37"/>
        <v>1</v>
      </c>
      <c r="E338" s="33" t="str">
        <f t="shared" si="38"/>
        <v>0</v>
      </c>
      <c r="F338" s="33" t="str">
        <f t="shared" si="39"/>
        <v>01</v>
      </c>
      <c r="G338" s="33" t="str">
        <f t="shared" si="40"/>
        <v>0</v>
      </c>
      <c r="H338" s="33" t="str">
        <f t="shared" si="41"/>
        <v>0</v>
      </c>
      <c r="I338" s="28">
        <v>13100100</v>
      </c>
      <c r="J338" s="29" t="s">
        <v>556</v>
      </c>
      <c r="K338" s="29" t="s">
        <v>557</v>
      </c>
      <c r="L338" s="29"/>
      <c r="M338" s="34"/>
    </row>
    <row r="339" spans="2:13" ht="45">
      <c r="B339" s="32" t="str">
        <f t="shared" si="35"/>
        <v>1</v>
      </c>
      <c r="C339" s="33" t="str">
        <f t="shared" si="36"/>
        <v>3</v>
      </c>
      <c r="D339" s="33" t="str">
        <f t="shared" si="37"/>
        <v>1</v>
      </c>
      <c r="E339" s="33" t="str">
        <f t="shared" si="38"/>
        <v>0</v>
      </c>
      <c r="F339" s="33" t="str">
        <f t="shared" si="39"/>
        <v>01</v>
      </c>
      <c r="G339" s="33" t="str">
        <f t="shared" si="40"/>
        <v>1</v>
      </c>
      <c r="H339" s="33" t="str">
        <f t="shared" si="41"/>
        <v>0</v>
      </c>
      <c r="I339" s="28">
        <v>13100110</v>
      </c>
      <c r="J339" s="29" t="s">
        <v>558</v>
      </c>
      <c r="K339" s="29" t="s">
        <v>559</v>
      </c>
      <c r="L339" s="29"/>
      <c r="M339" s="34"/>
    </row>
    <row r="340" spans="2:13" ht="45">
      <c r="B340" s="32" t="str">
        <f t="shared" si="35"/>
        <v>1</v>
      </c>
      <c r="C340" s="33" t="str">
        <f t="shared" si="36"/>
        <v>3</v>
      </c>
      <c r="D340" s="33" t="str">
        <f t="shared" si="37"/>
        <v>1</v>
      </c>
      <c r="E340" s="33" t="str">
        <f t="shared" si="38"/>
        <v>0</v>
      </c>
      <c r="F340" s="33" t="str">
        <f t="shared" si="39"/>
        <v>01</v>
      </c>
      <c r="G340" s="33" t="str">
        <f t="shared" si="40"/>
        <v>2</v>
      </c>
      <c r="H340" s="33" t="str">
        <f t="shared" si="41"/>
        <v>0</v>
      </c>
      <c r="I340" s="28">
        <v>13100120</v>
      </c>
      <c r="J340" s="29" t="s">
        <v>560</v>
      </c>
      <c r="K340" s="29" t="s">
        <v>561</v>
      </c>
      <c r="L340" s="29"/>
      <c r="M340" s="34"/>
    </row>
    <row r="341" spans="2:13" ht="60">
      <c r="B341" s="32" t="str">
        <f t="shared" si="35"/>
        <v>1</v>
      </c>
      <c r="C341" s="33" t="str">
        <f t="shared" si="36"/>
        <v>3</v>
      </c>
      <c r="D341" s="33" t="str">
        <f t="shared" si="37"/>
        <v>1</v>
      </c>
      <c r="E341" s="33" t="str">
        <f t="shared" si="38"/>
        <v>0</v>
      </c>
      <c r="F341" s="33" t="str">
        <f t="shared" si="39"/>
        <v>02</v>
      </c>
      <c r="G341" s="33" t="str">
        <f t="shared" si="40"/>
        <v>0</v>
      </c>
      <c r="H341" s="33" t="str">
        <f t="shared" si="41"/>
        <v>0</v>
      </c>
      <c r="I341" s="28">
        <v>13100200</v>
      </c>
      <c r="J341" s="29" t="s">
        <v>562</v>
      </c>
      <c r="K341" s="29" t="s">
        <v>563</v>
      </c>
      <c r="L341" s="29"/>
      <c r="M341" s="34"/>
    </row>
    <row r="342" spans="2:13" ht="60">
      <c r="B342" s="32" t="str">
        <f t="shared" si="35"/>
        <v>1</v>
      </c>
      <c r="C342" s="33" t="str">
        <f t="shared" si="36"/>
        <v>3</v>
      </c>
      <c r="D342" s="33" t="str">
        <f t="shared" si="37"/>
        <v>1</v>
      </c>
      <c r="E342" s="33" t="str">
        <f t="shared" si="38"/>
        <v>0</v>
      </c>
      <c r="F342" s="33" t="str">
        <f t="shared" si="39"/>
        <v>02</v>
      </c>
      <c r="G342" s="33" t="str">
        <f t="shared" si="40"/>
        <v>1</v>
      </c>
      <c r="H342" s="33" t="str">
        <f t="shared" si="41"/>
        <v>0</v>
      </c>
      <c r="I342" s="28">
        <v>13100210</v>
      </c>
      <c r="J342" s="29" t="s">
        <v>562</v>
      </c>
      <c r="K342" s="29" t="s">
        <v>563</v>
      </c>
      <c r="L342" s="29"/>
      <c r="M342" s="34"/>
    </row>
    <row r="343" spans="2:13" ht="30">
      <c r="B343" s="32" t="str">
        <f t="shared" si="35"/>
        <v>1</v>
      </c>
      <c r="C343" s="33" t="str">
        <f t="shared" si="36"/>
        <v>3</v>
      </c>
      <c r="D343" s="33" t="str">
        <f t="shared" si="37"/>
        <v>1</v>
      </c>
      <c r="E343" s="33" t="str">
        <f t="shared" si="38"/>
        <v>0</v>
      </c>
      <c r="F343" s="33" t="str">
        <f t="shared" si="39"/>
        <v>99</v>
      </c>
      <c r="G343" s="33" t="str">
        <f t="shared" si="40"/>
        <v>0</v>
      </c>
      <c r="H343" s="33" t="str">
        <f t="shared" si="41"/>
        <v>0</v>
      </c>
      <c r="I343" s="28">
        <v>13109900</v>
      </c>
      <c r="J343" s="29" t="s">
        <v>564</v>
      </c>
      <c r="K343" s="29" t="s">
        <v>565</v>
      </c>
      <c r="L343" s="29"/>
      <c r="M343" s="34"/>
    </row>
    <row r="344" spans="2:13" ht="30">
      <c r="B344" s="32" t="str">
        <f t="shared" si="35"/>
        <v>1</v>
      </c>
      <c r="C344" s="33" t="str">
        <f t="shared" si="36"/>
        <v>3</v>
      </c>
      <c r="D344" s="33" t="str">
        <f t="shared" si="37"/>
        <v>1</v>
      </c>
      <c r="E344" s="33" t="str">
        <f t="shared" si="38"/>
        <v>0</v>
      </c>
      <c r="F344" s="33" t="str">
        <f t="shared" si="39"/>
        <v>99</v>
      </c>
      <c r="G344" s="33" t="str">
        <f t="shared" si="40"/>
        <v>1</v>
      </c>
      <c r="H344" s="33" t="str">
        <f t="shared" si="41"/>
        <v>0</v>
      </c>
      <c r="I344" s="28">
        <v>13109910</v>
      </c>
      <c r="J344" s="29" t="s">
        <v>564</v>
      </c>
      <c r="K344" s="29" t="s">
        <v>565</v>
      </c>
      <c r="L344" s="29"/>
      <c r="M344" s="34"/>
    </row>
    <row r="345" spans="2:13">
      <c r="B345" s="32" t="str">
        <f t="shared" si="35"/>
        <v>1</v>
      </c>
      <c r="C345" s="33" t="str">
        <f t="shared" si="36"/>
        <v>3</v>
      </c>
      <c r="D345" s="33" t="str">
        <f t="shared" si="37"/>
        <v>2</v>
      </c>
      <c r="E345" s="33" t="str">
        <f t="shared" si="38"/>
        <v>0</v>
      </c>
      <c r="F345" s="33" t="str">
        <f t="shared" si="39"/>
        <v>00</v>
      </c>
      <c r="G345" s="33" t="str">
        <f t="shared" si="40"/>
        <v>0</v>
      </c>
      <c r="H345" s="33" t="str">
        <f t="shared" si="41"/>
        <v>0</v>
      </c>
      <c r="I345" s="28">
        <v>13200000</v>
      </c>
      <c r="J345" s="29" t="s">
        <v>566</v>
      </c>
      <c r="K345" s="29" t="s">
        <v>567</v>
      </c>
      <c r="L345" s="29"/>
      <c r="M345" s="34"/>
    </row>
    <row r="346" spans="2:13">
      <c r="B346" s="32" t="str">
        <f t="shared" si="35"/>
        <v>1</v>
      </c>
      <c r="C346" s="33" t="str">
        <f t="shared" si="36"/>
        <v>3</v>
      </c>
      <c r="D346" s="33" t="str">
        <f t="shared" si="37"/>
        <v>2</v>
      </c>
      <c r="E346" s="33" t="str">
        <f t="shared" si="38"/>
        <v>1</v>
      </c>
      <c r="F346" s="33" t="str">
        <f t="shared" si="39"/>
        <v>00</v>
      </c>
      <c r="G346" s="33" t="str">
        <f t="shared" si="40"/>
        <v>0</v>
      </c>
      <c r="H346" s="33" t="str">
        <f t="shared" si="41"/>
        <v>0</v>
      </c>
      <c r="I346" s="28">
        <v>13210000</v>
      </c>
      <c r="J346" s="29" t="s">
        <v>568</v>
      </c>
      <c r="K346" s="29" t="s">
        <v>569</v>
      </c>
      <c r="L346" s="29"/>
      <c r="M346" s="34"/>
    </row>
    <row r="347" spans="2:13" ht="30">
      <c r="B347" s="32" t="str">
        <f t="shared" si="35"/>
        <v>1</v>
      </c>
      <c r="C347" s="33" t="str">
        <f t="shared" si="36"/>
        <v>3</v>
      </c>
      <c r="D347" s="33" t="str">
        <f t="shared" si="37"/>
        <v>2</v>
      </c>
      <c r="E347" s="33" t="str">
        <f t="shared" si="38"/>
        <v>1</v>
      </c>
      <c r="F347" s="33" t="str">
        <f t="shared" si="39"/>
        <v>00</v>
      </c>
      <c r="G347" s="33" t="str">
        <f t="shared" si="40"/>
        <v>1</v>
      </c>
      <c r="H347" s="33" t="str">
        <f t="shared" si="41"/>
        <v>0</v>
      </c>
      <c r="I347" s="28">
        <v>13210010</v>
      </c>
      <c r="J347" s="29" t="s">
        <v>570</v>
      </c>
      <c r="K347" s="29" t="s">
        <v>571</v>
      </c>
      <c r="L347" s="29"/>
      <c r="M347" s="34"/>
    </row>
    <row r="348" spans="2:13" ht="30">
      <c r="B348" s="32" t="str">
        <f t="shared" si="35"/>
        <v>1</v>
      </c>
      <c r="C348" s="33" t="str">
        <f t="shared" si="36"/>
        <v>3</v>
      </c>
      <c r="D348" s="33" t="str">
        <f t="shared" si="37"/>
        <v>2</v>
      </c>
      <c r="E348" s="33" t="str">
        <f t="shared" si="38"/>
        <v>1</v>
      </c>
      <c r="F348" s="33" t="str">
        <f t="shared" si="39"/>
        <v>00</v>
      </c>
      <c r="G348" s="33" t="str">
        <f t="shared" si="40"/>
        <v>2</v>
      </c>
      <c r="H348" s="33" t="str">
        <f t="shared" si="41"/>
        <v>0</v>
      </c>
      <c r="I348" s="28">
        <v>13210020</v>
      </c>
      <c r="J348" s="29" t="s">
        <v>572</v>
      </c>
      <c r="K348" s="29" t="s">
        <v>573</v>
      </c>
      <c r="L348" s="29"/>
      <c r="M348" s="34"/>
    </row>
    <row r="349" spans="2:13" ht="30">
      <c r="B349" s="32" t="str">
        <f t="shared" si="35"/>
        <v>1</v>
      </c>
      <c r="C349" s="33" t="str">
        <f t="shared" si="36"/>
        <v>3</v>
      </c>
      <c r="D349" s="33" t="str">
        <f t="shared" si="37"/>
        <v>2</v>
      </c>
      <c r="E349" s="33" t="str">
        <f t="shared" si="38"/>
        <v>1</v>
      </c>
      <c r="F349" s="33" t="str">
        <f t="shared" si="39"/>
        <v>00</v>
      </c>
      <c r="G349" s="33" t="str">
        <f t="shared" si="40"/>
        <v>3</v>
      </c>
      <c r="H349" s="33" t="str">
        <f t="shared" si="41"/>
        <v>0</v>
      </c>
      <c r="I349" s="28">
        <v>13210030</v>
      </c>
      <c r="J349" s="29" t="s">
        <v>574</v>
      </c>
      <c r="K349" s="29" t="s">
        <v>575</v>
      </c>
      <c r="L349" s="29"/>
      <c r="M349" s="34"/>
    </row>
    <row r="350" spans="2:13" ht="45">
      <c r="B350" s="32" t="str">
        <f t="shared" si="35"/>
        <v>1</v>
      </c>
      <c r="C350" s="33" t="str">
        <f t="shared" si="36"/>
        <v>3</v>
      </c>
      <c r="D350" s="33" t="str">
        <f t="shared" si="37"/>
        <v>2</v>
      </c>
      <c r="E350" s="33" t="str">
        <f t="shared" si="38"/>
        <v>1</v>
      </c>
      <c r="F350" s="33" t="str">
        <f t="shared" si="39"/>
        <v>00</v>
      </c>
      <c r="G350" s="33" t="str">
        <f t="shared" si="40"/>
        <v>4</v>
      </c>
      <c r="H350" s="33" t="str">
        <f t="shared" si="41"/>
        <v>0</v>
      </c>
      <c r="I350" s="28">
        <v>13210040</v>
      </c>
      <c r="J350" s="29" t="s">
        <v>576</v>
      </c>
      <c r="K350" s="29" t="s">
        <v>577</v>
      </c>
      <c r="L350" s="29"/>
      <c r="M350" s="34"/>
    </row>
    <row r="351" spans="2:13" ht="30">
      <c r="B351" s="32" t="str">
        <f t="shared" si="35"/>
        <v>1</v>
      </c>
      <c r="C351" s="33" t="str">
        <f t="shared" si="36"/>
        <v>3</v>
      </c>
      <c r="D351" s="33" t="str">
        <f t="shared" si="37"/>
        <v>2</v>
      </c>
      <c r="E351" s="33" t="str">
        <f t="shared" si="38"/>
        <v>1</v>
      </c>
      <c r="F351" s="33" t="str">
        <f t="shared" si="39"/>
        <v>00</v>
      </c>
      <c r="G351" s="33" t="str">
        <f t="shared" si="40"/>
        <v>5</v>
      </c>
      <c r="H351" s="33" t="str">
        <f t="shared" si="41"/>
        <v>0</v>
      </c>
      <c r="I351" s="28">
        <v>13210050</v>
      </c>
      <c r="J351" s="29" t="s">
        <v>578</v>
      </c>
      <c r="K351" s="29" t="s">
        <v>579</v>
      </c>
      <c r="L351" s="29"/>
      <c r="M351" s="34"/>
    </row>
    <row r="352" spans="2:13" ht="75">
      <c r="B352" s="32" t="str">
        <f t="shared" si="35"/>
        <v>1</v>
      </c>
      <c r="C352" s="33" t="str">
        <f t="shared" si="36"/>
        <v>3</v>
      </c>
      <c r="D352" s="33" t="str">
        <f t="shared" si="37"/>
        <v>2</v>
      </c>
      <c r="E352" s="33" t="str">
        <f t="shared" si="38"/>
        <v>1</v>
      </c>
      <c r="F352" s="33" t="str">
        <f t="shared" si="39"/>
        <v>00</v>
      </c>
      <c r="G352" s="33" t="str">
        <f t="shared" si="40"/>
        <v>6</v>
      </c>
      <c r="H352" s="33" t="str">
        <f t="shared" si="41"/>
        <v>0</v>
      </c>
      <c r="I352" s="28">
        <v>13210060</v>
      </c>
      <c r="J352" s="29" t="s">
        <v>580</v>
      </c>
      <c r="K352" s="29" t="s">
        <v>581</v>
      </c>
      <c r="L352" s="29"/>
      <c r="M352" s="34" t="s">
        <v>10</v>
      </c>
    </row>
    <row r="353" spans="2:13">
      <c r="B353" s="32" t="str">
        <f t="shared" si="35"/>
        <v>1</v>
      </c>
      <c r="C353" s="33" t="str">
        <f t="shared" si="36"/>
        <v>3</v>
      </c>
      <c r="D353" s="33" t="str">
        <f t="shared" si="37"/>
        <v>2</v>
      </c>
      <c r="E353" s="33" t="str">
        <f t="shared" si="38"/>
        <v>2</v>
      </c>
      <c r="F353" s="33" t="str">
        <f t="shared" si="39"/>
        <v>00</v>
      </c>
      <c r="G353" s="33" t="str">
        <f t="shared" si="40"/>
        <v>0</v>
      </c>
      <c r="H353" s="33" t="str">
        <f t="shared" si="41"/>
        <v>0</v>
      </c>
      <c r="I353" s="28">
        <v>13220000</v>
      </c>
      <c r="J353" s="29" t="s">
        <v>582</v>
      </c>
      <c r="K353" s="29" t="s">
        <v>583</v>
      </c>
      <c r="L353" s="29"/>
      <c r="M353" s="34"/>
    </row>
    <row r="354" spans="2:13">
      <c r="B354" s="32" t="str">
        <f t="shared" si="35"/>
        <v>1</v>
      </c>
      <c r="C354" s="33" t="str">
        <f t="shared" si="36"/>
        <v>3</v>
      </c>
      <c r="D354" s="33" t="str">
        <f t="shared" si="37"/>
        <v>2</v>
      </c>
      <c r="E354" s="33" t="str">
        <f t="shared" si="38"/>
        <v>2</v>
      </c>
      <c r="F354" s="33" t="str">
        <f t="shared" si="39"/>
        <v>00</v>
      </c>
      <c r="G354" s="33" t="str">
        <f t="shared" si="40"/>
        <v>1</v>
      </c>
      <c r="H354" s="33" t="str">
        <f t="shared" si="41"/>
        <v>0</v>
      </c>
      <c r="I354" s="28">
        <v>13220010</v>
      </c>
      <c r="J354" s="29" t="s">
        <v>582</v>
      </c>
      <c r="K354" s="29" t="s">
        <v>583</v>
      </c>
      <c r="L354" s="29"/>
      <c r="M354" s="34"/>
    </row>
    <row r="355" spans="2:13" ht="30">
      <c r="B355" s="32" t="str">
        <f t="shared" si="35"/>
        <v>1</v>
      </c>
      <c r="C355" s="33" t="str">
        <f t="shared" si="36"/>
        <v>3</v>
      </c>
      <c r="D355" s="33" t="str">
        <f t="shared" si="37"/>
        <v>2</v>
      </c>
      <c r="E355" s="33" t="str">
        <f t="shared" si="38"/>
        <v>3</v>
      </c>
      <c r="F355" s="33" t="str">
        <f t="shared" si="39"/>
        <v>00</v>
      </c>
      <c r="G355" s="33" t="str">
        <f t="shared" si="40"/>
        <v>0</v>
      </c>
      <c r="H355" s="33" t="str">
        <f t="shared" si="41"/>
        <v>0</v>
      </c>
      <c r="I355" s="28">
        <v>13230000</v>
      </c>
      <c r="J355" s="29" t="s">
        <v>584</v>
      </c>
      <c r="K355" s="29" t="s">
        <v>585</v>
      </c>
      <c r="L355" s="29"/>
      <c r="M355" s="34"/>
    </row>
    <row r="356" spans="2:13" ht="30">
      <c r="B356" s="32" t="str">
        <f t="shared" si="35"/>
        <v>1</v>
      </c>
      <c r="C356" s="33" t="str">
        <f t="shared" si="36"/>
        <v>3</v>
      </c>
      <c r="D356" s="33" t="str">
        <f t="shared" si="37"/>
        <v>2</v>
      </c>
      <c r="E356" s="33" t="str">
        <f t="shared" si="38"/>
        <v>3</v>
      </c>
      <c r="F356" s="33" t="str">
        <f t="shared" si="39"/>
        <v>00</v>
      </c>
      <c r="G356" s="33" t="str">
        <f t="shared" si="40"/>
        <v>1</v>
      </c>
      <c r="H356" s="33" t="str">
        <f t="shared" si="41"/>
        <v>0</v>
      </c>
      <c r="I356" s="28">
        <v>13230010</v>
      </c>
      <c r="J356" s="29" t="s">
        <v>584</v>
      </c>
      <c r="K356" s="29" t="s">
        <v>585</v>
      </c>
      <c r="L356" s="29"/>
      <c r="M356" s="34"/>
    </row>
    <row r="357" spans="2:13">
      <c r="B357" s="32" t="str">
        <f t="shared" si="35"/>
        <v>1</v>
      </c>
      <c r="C357" s="33" t="str">
        <f t="shared" si="36"/>
        <v>3</v>
      </c>
      <c r="D357" s="33" t="str">
        <f t="shared" si="37"/>
        <v>2</v>
      </c>
      <c r="E357" s="33" t="str">
        <f t="shared" si="38"/>
        <v>9</v>
      </c>
      <c r="F357" s="33" t="str">
        <f t="shared" si="39"/>
        <v>00</v>
      </c>
      <c r="G357" s="33" t="str">
        <f t="shared" si="40"/>
        <v>0</v>
      </c>
      <c r="H357" s="33" t="str">
        <f t="shared" si="41"/>
        <v>0</v>
      </c>
      <c r="I357" s="28">
        <v>13290000</v>
      </c>
      <c r="J357" s="29" t="s">
        <v>586</v>
      </c>
      <c r="K357" s="29" t="s">
        <v>587</v>
      </c>
      <c r="L357" s="29"/>
      <c r="M357" s="34"/>
    </row>
    <row r="358" spans="2:13">
      <c r="B358" s="32" t="str">
        <f t="shared" si="35"/>
        <v>1</v>
      </c>
      <c r="C358" s="33" t="str">
        <f t="shared" si="36"/>
        <v>3</v>
      </c>
      <c r="D358" s="33" t="str">
        <f t="shared" si="37"/>
        <v>2</v>
      </c>
      <c r="E358" s="33" t="str">
        <f t="shared" si="38"/>
        <v>9</v>
      </c>
      <c r="F358" s="33" t="str">
        <f t="shared" si="39"/>
        <v>00</v>
      </c>
      <c r="G358" s="33" t="str">
        <f t="shared" si="40"/>
        <v>1</v>
      </c>
      <c r="H358" s="33" t="str">
        <f t="shared" si="41"/>
        <v>0</v>
      </c>
      <c r="I358" s="28">
        <v>13290010</v>
      </c>
      <c r="J358" s="29" t="s">
        <v>586</v>
      </c>
      <c r="K358" s="29" t="s">
        <v>587</v>
      </c>
      <c r="L358" s="29"/>
      <c r="M358" s="34"/>
    </row>
    <row r="359" spans="2:13" ht="45">
      <c r="B359" s="32" t="str">
        <f t="shared" si="35"/>
        <v>1</v>
      </c>
      <c r="C359" s="33" t="str">
        <f t="shared" si="36"/>
        <v>3</v>
      </c>
      <c r="D359" s="33" t="str">
        <f t="shared" si="37"/>
        <v>3</v>
      </c>
      <c r="E359" s="33" t="str">
        <f t="shared" si="38"/>
        <v>0</v>
      </c>
      <c r="F359" s="33" t="str">
        <f t="shared" si="39"/>
        <v>00</v>
      </c>
      <c r="G359" s="33" t="str">
        <f t="shared" si="40"/>
        <v>0</v>
      </c>
      <c r="H359" s="33" t="str">
        <f t="shared" si="41"/>
        <v>0</v>
      </c>
      <c r="I359" s="28">
        <v>13300000</v>
      </c>
      <c r="J359" s="29" t="s">
        <v>588</v>
      </c>
      <c r="K359" s="29" t="s">
        <v>589</v>
      </c>
      <c r="L359" s="29"/>
      <c r="M359" s="34"/>
    </row>
    <row r="360" spans="2:13" ht="45">
      <c r="B360" s="32" t="str">
        <f t="shared" si="35"/>
        <v>1</v>
      </c>
      <c r="C360" s="33" t="str">
        <f t="shared" si="36"/>
        <v>3</v>
      </c>
      <c r="D360" s="33" t="str">
        <f t="shared" si="37"/>
        <v>3</v>
      </c>
      <c r="E360" s="33" t="str">
        <f t="shared" si="38"/>
        <v>1</v>
      </c>
      <c r="F360" s="33" t="str">
        <f t="shared" si="39"/>
        <v>00</v>
      </c>
      <c r="G360" s="33" t="str">
        <f t="shared" si="40"/>
        <v>0</v>
      </c>
      <c r="H360" s="33" t="str">
        <f t="shared" si="41"/>
        <v>0</v>
      </c>
      <c r="I360" s="28">
        <v>13310000</v>
      </c>
      <c r="J360" s="29" t="s">
        <v>590</v>
      </c>
      <c r="K360" s="29" t="s">
        <v>591</v>
      </c>
      <c r="L360" s="29"/>
      <c r="M360" s="34"/>
    </row>
    <row r="361" spans="2:13" ht="45">
      <c r="B361" s="32" t="str">
        <f t="shared" si="35"/>
        <v>1</v>
      </c>
      <c r="C361" s="33" t="str">
        <f t="shared" si="36"/>
        <v>3</v>
      </c>
      <c r="D361" s="33" t="str">
        <f t="shared" si="37"/>
        <v>3</v>
      </c>
      <c r="E361" s="33" t="str">
        <f t="shared" si="38"/>
        <v>1</v>
      </c>
      <c r="F361" s="33" t="str">
        <f t="shared" si="39"/>
        <v>01</v>
      </c>
      <c r="G361" s="33" t="str">
        <f t="shared" si="40"/>
        <v>0</v>
      </c>
      <c r="H361" s="33" t="str">
        <f t="shared" si="41"/>
        <v>0</v>
      </c>
      <c r="I361" s="28">
        <v>13310100</v>
      </c>
      <c r="J361" s="29" t="s">
        <v>592</v>
      </c>
      <c r="K361" s="29" t="s">
        <v>593</v>
      </c>
      <c r="L361" s="29"/>
      <c r="M361" s="34"/>
    </row>
    <row r="362" spans="2:13" ht="45">
      <c r="B362" s="32" t="str">
        <f t="shared" si="35"/>
        <v>1</v>
      </c>
      <c r="C362" s="33" t="str">
        <f t="shared" si="36"/>
        <v>3</v>
      </c>
      <c r="D362" s="33" t="str">
        <f t="shared" si="37"/>
        <v>3</v>
      </c>
      <c r="E362" s="33" t="str">
        <f t="shared" si="38"/>
        <v>1</v>
      </c>
      <c r="F362" s="33" t="str">
        <f t="shared" si="39"/>
        <v>01</v>
      </c>
      <c r="G362" s="33" t="str">
        <f t="shared" si="40"/>
        <v>1</v>
      </c>
      <c r="H362" s="33" t="str">
        <f t="shared" si="41"/>
        <v>0</v>
      </c>
      <c r="I362" s="28">
        <v>13310110</v>
      </c>
      <c r="J362" s="29" t="s">
        <v>592</v>
      </c>
      <c r="K362" s="29" t="s">
        <v>593</v>
      </c>
      <c r="L362" s="29"/>
      <c r="M362" s="34"/>
    </row>
    <row r="363" spans="2:13" ht="45">
      <c r="B363" s="32" t="str">
        <f t="shared" si="35"/>
        <v>1</v>
      </c>
      <c r="C363" s="33" t="str">
        <f t="shared" si="36"/>
        <v>3</v>
      </c>
      <c r="D363" s="33" t="str">
        <f t="shared" si="37"/>
        <v>3</v>
      </c>
      <c r="E363" s="33" t="str">
        <f t="shared" si="38"/>
        <v>1</v>
      </c>
      <c r="F363" s="33" t="str">
        <f t="shared" si="39"/>
        <v>02</v>
      </c>
      <c r="G363" s="33" t="str">
        <f t="shared" si="40"/>
        <v>0</v>
      </c>
      <c r="H363" s="33" t="str">
        <f t="shared" si="41"/>
        <v>0</v>
      </c>
      <c r="I363" s="28">
        <v>13310200</v>
      </c>
      <c r="J363" s="29" t="s">
        <v>594</v>
      </c>
      <c r="K363" s="29" t="s">
        <v>595</v>
      </c>
      <c r="L363" s="29"/>
      <c r="M363" s="34"/>
    </row>
    <row r="364" spans="2:13" ht="45">
      <c r="B364" s="32" t="str">
        <f t="shared" si="35"/>
        <v>1</v>
      </c>
      <c r="C364" s="33" t="str">
        <f t="shared" si="36"/>
        <v>3</v>
      </c>
      <c r="D364" s="33" t="str">
        <f t="shared" si="37"/>
        <v>3</v>
      </c>
      <c r="E364" s="33" t="str">
        <f t="shared" si="38"/>
        <v>1</v>
      </c>
      <c r="F364" s="33" t="str">
        <f t="shared" si="39"/>
        <v>02</v>
      </c>
      <c r="G364" s="33" t="str">
        <f t="shared" si="40"/>
        <v>1</v>
      </c>
      <c r="H364" s="33" t="str">
        <f t="shared" si="41"/>
        <v>0</v>
      </c>
      <c r="I364" s="28">
        <v>13310210</v>
      </c>
      <c r="J364" s="29" t="s">
        <v>594</v>
      </c>
      <c r="K364" s="29" t="s">
        <v>595</v>
      </c>
      <c r="L364" s="29"/>
      <c r="M364" s="34"/>
    </row>
    <row r="365" spans="2:13" ht="45">
      <c r="B365" s="32" t="str">
        <f t="shared" si="35"/>
        <v>1</v>
      </c>
      <c r="C365" s="33" t="str">
        <f t="shared" si="36"/>
        <v>3</v>
      </c>
      <c r="D365" s="33" t="str">
        <f t="shared" si="37"/>
        <v>3</v>
      </c>
      <c r="E365" s="33" t="str">
        <f t="shared" si="38"/>
        <v>1</v>
      </c>
      <c r="F365" s="33" t="str">
        <f t="shared" si="39"/>
        <v>03</v>
      </c>
      <c r="G365" s="33" t="str">
        <f t="shared" si="40"/>
        <v>0</v>
      </c>
      <c r="H365" s="33" t="str">
        <f t="shared" si="41"/>
        <v>0</v>
      </c>
      <c r="I365" s="28">
        <v>13310300</v>
      </c>
      <c r="J365" s="29" t="s">
        <v>596</v>
      </c>
      <c r="K365" s="29" t="s">
        <v>597</v>
      </c>
      <c r="L365" s="29"/>
      <c r="M365" s="34"/>
    </row>
    <row r="366" spans="2:13" ht="45">
      <c r="B366" s="32" t="str">
        <f t="shared" si="35"/>
        <v>1</v>
      </c>
      <c r="C366" s="33" t="str">
        <f t="shared" si="36"/>
        <v>3</v>
      </c>
      <c r="D366" s="33" t="str">
        <f t="shared" si="37"/>
        <v>3</v>
      </c>
      <c r="E366" s="33" t="str">
        <f t="shared" si="38"/>
        <v>1</v>
      </c>
      <c r="F366" s="33" t="str">
        <f t="shared" si="39"/>
        <v>03</v>
      </c>
      <c r="G366" s="33" t="str">
        <f t="shared" si="40"/>
        <v>1</v>
      </c>
      <c r="H366" s="33" t="str">
        <f t="shared" si="41"/>
        <v>0</v>
      </c>
      <c r="I366" s="28">
        <v>13310310</v>
      </c>
      <c r="J366" s="29" t="s">
        <v>596</v>
      </c>
      <c r="K366" s="29" t="s">
        <v>597</v>
      </c>
      <c r="L366" s="29"/>
      <c r="M366" s="34"/>
    </row>
    <row r="367" spans="2:13" ht="45">
      <c r="B367" s="32" t="str">
        <f t="shared" si="35"/>
        <v>1</v>
      </c>
      <c r="C367" s="33" t="str">
        <f t="shared" si="36"/>
        <v>3</v>
      </c>
      <c r="D367" s="33" t="str">
        <f t="shared" si="37"/>
        <v>3</v>
      </c>
      <c r="E367" s="33" t="str">
        <f t="shared" si="38"/>
        <v>1</v>
      </c>
      <c r="F367" s="33" t="str">
        <f t="shared" si="39"/>
        <v>04</v>
      </c>
      <c r="G367" s="33" t="str">
        <f t="shared" si="40"/>
        <v>0</v>
      </c>
      <c r="H367" s="33" t="str">
        <f t="shared" si="41"/>
        <v>0</v>
      </c>
      <c r="I367" s="28">
        <v>13310400</v>
      </c>
      <c r="J367" s="29" t="s">
        <v>598</v>
      </c>
      <c r="K367" s="29" t="s">
        <v>599</v>
      </c>
      <c r="L367" s="29"/>
      <c r="M367" s="34"/>
    </row>
    <row r="368" spans="2:13" ht="45">
      <c r="B368" s="32" t="str">
        <f t="shared" si="35"/>
        <v>1</v>
      </c>
      <c r="C368" s="33" t="str">
        <f t="shared" si="36"/>
        <v>3</v>
      </c>
      <c r="D368" s="33" t="str">
        <f t="shared" si="37"/>
        <v>3</v>
      </c>
      <c r="E368" s="33" t="str">
        <f t="shared" si="38"/>
        <v>1</v>
      </c>
      <c r="F368" s="33" t="str">
        <f t="shared" si="39"/>
        <v>04</v>
      </c>
      <c r="G368" s="33" t="str">
        <f t="shared" si="40"/>
        <v>1</v>
      </c>
      <c r="H368" s="33" t="str">
        <f t="shared" si="41"/>
        <v>0</v>
      </c>
      <c r="I368" s="28">
        <v>13310410</v>
      </c>
      <c r="J368" s="29" t="s">
        <v>598</v>
      </c>
      <c r="K368" s="29" t="s">
        <v>599</v>
      </c>
      <c r="L368" s="29"/>
      <c r="M368" s="34"/>
    </row>
    <row r="369" spans="2:13" ht="45">
      <c r="B369" s="32" t="str">
        <f t="shared" si="35"/>
        <v>1</v>
      </c>
      <c r="C369" s="33" t="str">
        <f t="shared" si="36"/>
        <v>3</v>
      </c>
      <c r="D369" s="33" t="str">
        <f t="shared" si="37"/>
        <v>3</v>
      </c>
      <c r="E369" s="33" t="str">
        <f t="shared" si="38"/>
        <v>1</v>
      </c>
      <c r="F369" s="33" t="str">
        <f t="shared" si="39"/>
        <v>05</v>
      </c>
      <c r="G369" s="33" t="str">
        <f t="shared" si="40"/>
        <v>0</v>
      </c>
      <c r="H369" s="33" t="str">
        <f t="shared" si="41"/>
        <v>0</v>
      </c>
      <c r="I369" s="28">
        <v>13310500</v>
      </c>
      <c r="J369" s="29" t="s">
        <v>600</v>
      </c>
      <c r="K369" s="29" t="s">
        <v>601</v>
      </c>
      <c r="L369" s="29"/>
      <c r="M369" s="34"/>
    </row>
    <row r="370" spans="2:13" ht="45">
      <c r="B370" s="32" t="str">
        <f t="shared" si="35"/>
        <v>1</v>
      </c>
      <c r="C370" s="33" t="str">
        <f t="shared" si="36"/>
        <v>3</v>
      </c>
      <c r="D370" s="33" t="str">
        <f t="shared" si="37"/>
        <v>3</v>
      </c>
      <c r="E370" s="33" t="str">
        <f t="shared" si="38"/>
        <v>1</v>
      </c>
      <c r="F370" s="33" t="str">
        <f t="shared" si="39"/>
        <v>05</v>
      </c>
      <c r="G370" s="33" t="str">
        <f t="shared" si="40"/>
        <v>1</v>
      </c>
      <c r="H370" s="33" t="str">
        <f t="shared" si="41"/>
        <v>0</v>
      </c>
      <c r="I370" s="28">
        <v>13310510</v>
      </c>
      <c r="J370" s="29" t="s">
        <v>600</v>
      </c>
      <c r="K370" s="29" t="s">
        <v>601</v>
      </c>
      <c r="L370" s="29"/>
      <c r="M370" s="34"/>
    </row>
    <row r="371" spans="2:13" ht="45">
      <c r="B371" s="32" t="str">
        <f t="shared" si="35"/>
        <v>1</v>
      </c>
      <c r="C371" s="33" t="str">
        <f t="shared" si="36"/>
        <v>3</v>
      </c>
      <c r="D371" s="33" t="str">
        <f t="shared" si="37"/>
        <v>3</v>
      </c>
      <c r="E371" s="33" t="str">
        <f t="shared" si="38"/>
        <v>2</v>
      </c>
      <c r="F371" s="33" t="str">
        <f t="shared" si="39"/>
        <v>00</v>
      </c>
      <c r="G371" s="33" t="str">
        <f t="shared" si="40"/>
        <v>0</v>
      </c>
      <c r="H371" s="33" t="str">
        <f t="shared" si="41"/>
        <v>0</v>
      </c>
      <c r="I371" s="28">
        <v>13320000</v>
      </c>
      <c r="J371" s="29" t="s">
        <v>602</v>
      </c>
      <c r="K371" s="29" t="s">
        <v>603</v>
      </c>
      <c r="L371" s="29"/>
      <c r="M371" s="34"/>
    </row>
    <row r="372" spans="2:13" ht="45">
      <c r="B372" s="32" t="str">
        <f t="shared" si="35"/>
        <v>1</v>
      </c>
      <c r="C372" s="33" t="str">
        <f t="shared" si="36"/>
        <v>3</v>
      </c>
      <c r="D372" s="33" t="str">
        <f t="shared" si="37"/>
        <v>3</v>
      </c>
      <c r="E372" s="33" t="str">
        <f t="shared" si="38"/>
        <v>2</v>
      </c>
      <c r="F372" s="33" t="str">
        <f t="shared" si="39"/>
        <v>01</v>
      </c>
      <c r="G372" s="33" t="str">
        <f t="shared" si="40"/>
        <v>0</v>
      </c>
      <c r="H372" s="33" t="str">
        <f t="shared" si="41"/>
        <v>0</v>
      </c>
      <c r="I372" s="28">
        <v>13320100</v>
      </c>
      <c r="J372" s="29" t="s">
        <v>604</v>
      </c>
      <c r="K372" s="29" t="s">
        <v>605</v>
      </c>
      <c r="L372" s="29"/>
      <c r="M372" s="34"/>
    </row>
    <row r="373" spans="2:13" ht="45">
      <c r="B373" s="32" t="str">
        <f t="shared" si="35"/>
        <v>1</v>
      </c>
      <c r="C373" s="33" t="str">
        <f t="shared" si="36"/>
        <v>3</v>
      </c>
      <c r="D373" s="33" t="str">
        <f t="shared" si="37"/>
        <v>3</v>
      </c>
      <c r="E373" s="33" t="str">
        <f t="shared" si="38"/>
        <v>2</v>
      </c>
      <c r="F373" s="33" t="str">
        <f t="shared" si="39"/>
        <v>01</v>
      </c>
      <c r="G373" s="33" t="str">
        <f t="shared" si="40"/>
        <v>1</v>
      </c>
      <c r="H373" s="33" t="str">
        <f t="shared" si="41"/>
        <v>0</v>
      </c>
      <c r="I373" s="28">
        <v>13320110</v>
      </c>
      <c r="J373" s="29" t="s">
        <v>606</v>
      </c>
      <c r="K373" s="29" t="s">
        <v>605</v>
      </c>
      <c r="L373" s="29"/>
      <c r="M373" s="34"/>
    </row>
    <row r="374" spans="2:13" ht="75">
      <c r="B374" s="32" t="str">
        <f t="shared" si="35"/>
        <v>1</v>
      </c>
      <c r="C374" s="33" t="str">
        <f t="shared" si="36"/>
        <v>3</v>
      </c>
      <c r="D374" s="33" t="str">
        <f t="shared" si="37"/>
        <v>3</v>
      </c>
      <c r="E374" s="33" t="str">
        <f t="shared" si="38"/>
        <v>2</v>
      </c>
      <c r="F374" s="33" t="str">
        <f t="shared" si="39"/>
        <v>01</v>
      </c>
      <c r="G374" s="33" t="str">
        <f t="shared" si="40"/>
        <v>2</v>
      </c>
      <c r="H374" s="33" t="str">
        <f t="shared" si="41"/>
        <v>0</v>
      </c>
      <c r="I374" s="28">
        <v>13320120</v>
      </c>
      <c r="J374" s="29" t="s">
        <v>607</v>
      </c>
      <c r="K374" s="29" t="s">
        <v>608</v>
      </c>
      <c r="L374" s="29"/>
      <c r="M374" s="34"/>
    </row>
    <row r="375" spans="2:13" ht="45">
      <c r="B375" s="32" t="str">
        <f t="shared" si="35"/>
        <v>1</v>
      </c>
      <c r="C375" s="33" t="str">
        <f t="shared" si="36"/>
        <v>3</v>
      </c>
      <c r="D375" s="33" t="str">
        <f t="shared" si="37"/>
        <v>3</v>
      </c>
      <c r="E375" s="33" t="str">
        <f t="shared" si="38"/>
        <v>2</v>
      </c>
      <c r="F375" s="33" t="str">
        <f t="shared" si="39"/>
        <v>02</v>
      </c>
      <c r="G375" s="33" t="str">
        <f t="shared" si="40"/>
        <v>0</v>
      </c>
      <c r="H375" s="33" t="str">
        <f t="shared" si="41"/>
        <v>0</v>
      </c>
      <c r="I375" s="28">
        <v>13320200</v>
      </c>
      <c r="J375" s="29" t="s">
        <v>609</v>
      </c>
      <c r="K375" s="29" t="s">
        <v>610</v>
      </c>
      <c r="L375" s="29"/>
      <c r="M375" s="34"/>
    </row>
    <row r="376" spans="2:13" ht="45">
      <c r="B376" s="32" t="str">
        <f t="shared" si="35"/>
        <v>1</v>
      </c>
      <c r="C376" s="33" t="str">
        <f t="shared" si="36"/>
        <v>3</v>
      </c>
      <c r="D376" s="33" t="str">
        <f t="shared" si="37"/>
        <v>3</v>
      </c>
      <c r="E376" s="33" t="str">
        <f t="shared" si="38"/>
        <v>2</v>
      </c>
      <c r="F376" s="33" t="str">
        <f t="shared" si="39"/>
        <v>02</v>
      </c>
      <c r="G376" s="33" t="str">
        <f t="shared" si="40"/>
        <v>1</v>
      </c>
      <c r="H376" s="33" t="str">
        <f t="shared" si="41"/>
        <v>0</v>
      </c>
      <c r="I376" s="28">
        <v>13320210</v>
      </c>
      <c r="J376" s="29" t="s">
        <v>609</v>
      </c>
      <c r="K376" s="29" t="s">
        <v>610</v>
      </c>
      <c r="L376" s="29"/>
      <c r="M376" s="34"/>
    </row>
    <row r="377" spans="2:13" ht="45">
      <c r="B377" s="32" t="str">
        <f t="shared" si="35"/>
        <v>1</v>
      </c>
      <c r="C377" s="33" t="str">
        <f t="shared" si="36"/>
        <v>3</v>
      </c>
      <c r="D377" s="33" t="str">
        <f t="shared" si="37"/>
        <v>3</v>
      </c>
      <c r="E377" s="33" t="str">
        <f t="shared" si="38"/>
        <v>2</v>
      </c>
      <c r="F377" s="33" t="str">
        <f t="shared" si="39"/>
        <v>03</v>
      </c>
      <c r="G377" s="33" t="str">
        <f t="shared" si="40"/>
        <v>0</v>
      </c>
      <c r="H377" s="33" t="str">
        <f t="shared" si="41"/>
        <v>0</v>
      </c>
      <c r="I377" s="28">
        <v>13320300</v>
      </c>
      <c r="J377" s="29" t="s">
        <v>611</v>
      </c>
      <c r="K377" s="29" t="s">
        <v>612</v>
      </c>
      <c r="L377" s="29"/>
      <c r="M377" s="34"/>
    </row>
    <row r="378" spans="2:13" ht="45">
      <c r="B378" s="32" t="str">
        <f t="shared" si="35"/>
        <v>1</v>
      </c>
      <c r="C378" s="33" t="str">
        <f t="shared" si="36"/>
        <v>3</v>
      </c>
      <c r="D378" s="33" t="str">
        <f t="shared" si="37"/>
        <v>3</v>
      </c>
      <c r="E378" s="33" t="str">
        <f t="shared" si="38"/>
        <v>2</v>
      </c>
      <c r="F378" s="33" t="str">
        <f t="shared" si="39"/>
        <v>03</v>
      </c>
      <c r="G378" s="33" t="str">
        <f t="shared" si="40"/>
        <v>1</v>
      </c>
      <c r="H378" s="33" t="str">
        <f t="shared" si="41"/>
        <v>0</v>
      </c>
      <c r="I378" s="28">
        <v>13320310</v>
      </c>
      <c r="J378" s="29" t="s">
        <v>611</v>
      </c>
      <c r="K378" s="29" t="s">
        <v>612</v>
      </c>
      <c r="L378" s="29"/>
      <c r="M378" s="34"/>
    </row>
    <row r="379" spans="2:13" ht="26.25" customHeight="1">
      <c r="B379" s="32" t="str">
        <f t="shared" si="35"/>
        <v>1</v>
      </c>
      <c r="C379" s="33" t="str">
        <f t="shared" si="36"/>
        <v>3</v>
      </c>
      <c r="D379" s="33" t="str">
        <f t="shared" si="37"/>
        <v>3</v>
      </c>
      <c r="E379" s="33" t="str">
        <f t="shared" si="38"/>
        <v>2</v>
      </c>
      <c r="F379" s="33" t="str">
        <f t="shared" si="39"/>
        <v>04</v>
      </c>
      <c r="G379" s="33" t="str">
        <f t="shared" si="40"/>
        <v>0</v>
      </c>
      <c r="H379" s="33" t="str">
        <f t="shared" si="41"/>
        <v>0</v>
      </c>
      <c r="I379" s="28">
        <v>13320400</v>
      </c>
      <c r="J379" s="29" t="s">
        <v>613</v>
      </c>
      <c r="K379" s="29" t="s">
        <v>614</v>
      </c>
      <c r="L379" s="29"/>
      <c r="M379" s="34"/>
    </row>
    <row r="380" spans="2:13" ht="32.25" customHeight="1">
      <c r="B380" s="32" t="str">
        <f t="shared" si="35"/>
        <v>1</v>
      </c>
      <c r="C380" s="33" t="str">
        <f t="shared" si="36"/>
        <v>3</v>
      </c>
      <c r="D380" s="33" t="str">
        <f t="shared" si="37"/>
        <v>3</v>
      </c>
      <c r="E380" s="33" t="str">
        <f t="shared" si="38"/>
        <v>2</v>
      </c>
      <c r="F380" s="33" t="str">
        <f t="shared" si="39"/>
        <v>04</v>
      </c>
      <c r="G380" s="33" t="str">
        <f t="shared" si="40"/>
        <v>1</v>
      </c>
      <c r="H380" s="33" t="str">
        <f t="shared" si="41"/>
        <v>0</v>
      </c>
      <c r="I380" s="28">
        <v>13320410</v>
      </c>
      <c r="J380" s="29" t="s">
        <v>613</v>
      </c>
      <c r="K380" s="29" t="s">
        <v>614</v>
      </c>
      <c r="L380" s="29"/>
      <c r="M380" s="34"/>
    </row>
    <row r="381" spans="2:13" ht="36.75" customHeight="1">
      <c r="B381" s="32" t="str">
        <f t="shared" si="35"/>
        <v>1</v>
      </c>
      <c r="C381" s="33" t="str">
        <f t="shared" si="36"/>
        <v>3</v>
      </c>
      <c r="D381" s="33" t="str">
        <f t="shared" si="37"/>
        <v>3</v>
      </c>
      <c r="E381" s="33" t="str">
        <f t="shared" si="38"/>
        <v>3</v>
      </c>
      <c r="F381" s="33" t="str">
        <f t="shared" si="39"/>
        <v>00</v>
      </c>
      <c r="G381" s="33" t="str">
        <f t="shared" si="40"/>
        <v>0</v>
      </c>
      <c r="H381" s="33" t="str">
        <f t="shared" si="41"/>
        <v>0</v>
      </c>
      <c r="I381" s="28">
        <v>13330000</v>
      </c>
      <c r="J381" s="29" t="s">
        <v>615</v>
      </c>
      <c r="K381" s="29" t="s">
        <v>616</v>
      </c>
      <c r="L381" s="29"/>
      <c r="M381" s="34"/>
    </row>
    <row r="382" spans="2:13" ht="45">
      <c r="B382" s="32" t="str">
        <f t="shared" si="35"/>
        <v>1</v>
      </c>
      <c r="C382" s="33" t="str">
        <f t="shared" si="36"/>
        <v>3</v>
      </c>
      <c r="D382" s="33" t="str">
        <f t="shared" si="37"/>
        <v>3</v>
      </c>
      <c r="E382" s="33" t="str">
        <f t="shared" si="38"/>
        <v>3</v>
      </c>
      <c r="F382" s="33" t="str">
        <f t="shared" si="39"/>
        <v>01</v>
      </c>
      <c r="G382" s="33" t="str">
        <f t="shared" si="40"/>
        <v>0</v>
      </c>
      <c r="H382" s="33" t="str">
        <f t="shared" si="41"/>
        <v>0</v>
      </c>
      <c r="I382" s="28">
        <v>13330100</v>
      </c>
      <c r="J382" s="29" t="s">
        <v>617</v>
      </c>
      <c r="K382" s="29" t="s">
        <v>618</v>
      </c>
      <c r="L382" s="29" t="s">
        <v>619</v>
      </c>
      <c r="M382" s="34"/>
    </row>
    <row r="383" spans="2:13" ht="60">
      <c r="B383" s="32" t="str">
        <f t="shared" si="35"/>
        <v>1</v>
      </c>
      <c r="C383" s="33" t="str">
        <f t="shared" si="36"/>
        <v>3</v>
      </c>
      <c r="D383" s="33" t="str">
        <f t="shared" si="37"/>
        <v>3</v>
      </c>
      <c r="E383" s="33" t="str">
        <f t="shared" si="38"/>
        <v>3</v>
      </c>
      <c r="F383" s="33" t="str">
        <f t="shared" si="39"/>
        <v>01</v>
      </c>
      <c r="G383" s="33" t="str">
        <f t="shared" si="40"/>
        <v>1</v>
      </c>
      <c r="H383" s="33" t="str">
        <f t="shared" si="41"/>
        <v>0</v>
      </c>
      <c r="I383" s="28">
        <v>13330110</v>
      </c>
      <c r="J383" s="29" t="s">
        <v>620</v>
      </c>
      <c r="K383" s="29" t="s">
        <v>621</v>
      </c>
      <c r="L383" s="29" t="s">
        <v>619</v>
      </c>
      <c r="M383" s="34"/>
    </row>
    <row r="384" spans="2:13" ht="60">
      <c r="B384" s="32" t="str">
        <f t="shared" si="35"/>
        <v>1</v>
      </c>
      <c r="C384" s="33" t="str">
        <f t="shared" si="36"/>
        <v>3</v>
      </c>
      <c r="D384" s="33" t="str">
        <f t="shared" si="37"/>
        <v>3</v>
      </c>
      <c r="E384" s="33" t="str">
        <f t="shared" si="38"/>
        <v>3</v>
      </c>
      <c r="F384" s="33" t="str">
        <f t="shared" si="39"/>
        <v>01</v>
      </c>
      <c r="G384" s="33" t="str">
        <f t="shared" si="40"/>
        <v>2</v>
      </c>
      <c r="H384" s="33" t="str">
        <f t="shared" si="41"/>
        <v>0</v>
      </c>
      <c r="I384" s="28">
        <v>13330120</v>
      </c>
      <c r="J384" s="29" t="s">
        <v>622</v>
      </c>
      <c r="K384" s="29" t="s">
        <v>623</v>
      </c>
      <c r="L384" s="29" t="s">
        <v>619</v>
      </c>
      <c r="M384" s="34"/>
    </row>
    <row r="385" spans="2:13" ht="45">
      <c r="B385" s="32" t="str">
        <f t="shared" si="35"/>
        <v>1</v>
      </c>
      <c r="C385" s="33" t="str">
        <f t="shared" si="36"/>
        <v>3</v>
      </c>
      <c r="D385" s="33" t="str">
        <f t="shared" si="37"/>
        <v>3</v>
      </c>
      <c r="E385" s="33" t="str">
        <f t="shared" si="38"/>
        <v>3</v>
      </c>
      <c r="F385" s="33" t="str">
        <f t="shared" si="39"/>
        <v>02</v>
      </c>
      <c r="G385" s="33" t="str">
        <f t="shared" si="40"/>
        <v>0</v>
      </c>
      <c r="H385" s="33" t="str">
        <f t="shared" si="41"/>
        <v>0</v>
      </c>
      <c r="I385" s="28">
        <v>13330200</v>
      </c>
      <c r="J385" s="29" t="s">
        <v>624</v>
      </c>
      <c r="K385" s="29" t="s">
        <v>625</v>
      </c>
      <c r="L385" s="29" t="s">
        <v>619</v>
      </c>
      <c r="M385" s="34"/>
    </row>
    <row r="386" spans="2:13" ht="60">
      <c r="B386" s="32" t="str">
        <f t="shared" si="35"/>
        <v>1</v>
      </c>
      <c r="C386" s="33" t="str">
        <f t="shared" si="36"/>
        <v>3</v>
      </c>
      <c r="D386" s="33" t="str">
        <f t="shared" si="37"/>
        <v>3</v>
      </c>
      <c r="E386" s="33" t="str">
        <f t="shared" si="38"/>
        <v>3</v>
      </c>
      <c r="F386" s="33" t="str">
        <f t="shared" si="39"/>
        <v>02</v>
      </c>
      <c r="G386" s="33" t="str">
        <f t="shared" si="40"/>
        <v>1</v>
      </c>
      <c r="H386" s="33" t="str">
        <f t="shared" si="41"/>
        <v>0</v>
      </c>
      <c r="I386" s="28">
        <v>13330210</v>
      </c>
      <c r="J386" s="29" t="s">
        <v>626</v>
      </c>
      <c r="K386" s="29" t="s">
        <v>627</v>
      </c>
      <c r="L386" s="29" t="s">
        <v>619</v>
      </c>
      <c r="M386" s="34"/>
    </row>
    <row r="387" spans="2:13" ht="60">
      <c r="B387" s="32" t="str">
        <f t="shared" ref="B387:B453" si="42">MID($I387,1,1)</f>
        <v>1</v>
      </c>
      <c r="C387" s="33" t="str">
        <f t="shared" ref="C387:C453" si="43">MID($I387,2,1)</f>
        <v>3</v>
      </c>
      <c r="D387" s="33" t="str">
        <f t="shared" ref="D387:D453" si="44">MID($I387,3,1)</f>
        <v>3</v>
      </c>
      <c r="E387" s="33" t="str">
        <f t="shared" ref="E387:E453" si="45">MID($I387,4,1)</f>
        <v>3</v>
      </c>
      <c r="F387" s="33" t="str">
        <f t="shared" ref="F387:F453" si="46">MID($I387,5,2)</f>
        <v>02</v>
      </c>
      <c r="G387" s="33" t="str">
        <f t="shared" ref="G387:G453" si="47">MID($I387,7,1)</f>
        <v>2</v>
      </c>
      <c r="H387" s="33" t="str">
        <f t="shared" ref="H387:H453" si="48">MID($I387,8,1)</f>
        <v>0</v>
      </c>
      <c r="I387" s="28">
        <v>13330220</v>
      </c>
      <c r="J387" s="29" t="s">
        <v>628</v>
      </c>
      <c r="K387" s="29" t="s">
        <v>629</v>
      </c>
      <c r="L387" s="29" t="s">
        <v>619</v>
      </c>
      <c r="M387" s="34"/>
    </row>
    <row r="388" spans="2:13" ht="45">
      <c r="B388" s="32" t="str">
        <f t="shared" si="42"/>
        <v>1</v>
      </c>
      <c r="C388" s="33" t="str">
        <f t="shared" si="43"/>
        <v>3</v>
      </c>
      <c r="D388" s="33" t="str">
        <f t="shared" si="44"/>
        <v>3</v>
      </c>
      <c r="E388" s="33" t="str">
        <f t="shared" si="45"/>
        <v>3</v>
      </c>
      <c r="F388" s="33" t="str">
        <f t="shared" si="46"/>
        <v>03</v>
      </c>
      <c r="G388" s="33" t="str">
        <f t="shared" si="47"/>
        <v>0</v>
      </c>
      <c r="H388" s="33" t="str">
        <f t="shared" si="48"/>
        <v>0</v>
      </c>
      <c r="I388" s="28">
        <v>13330300</v>
      </c>
      <c r="J388" s="29" t="s">
        <v>630</v>
      </c>
      <c r="K388" s="29" t="s">
        <v>631</v>
      </c>
      <c r="L388" s="29" t="s">
        <v>619</v>
      </c>
      <c r="M388" s="34"/>
    </row>
    <row r="389" spans="2:13" ht="60">
      <c r="B389" s="32" t="str">
        <f t="shared" si="42"/>
        <v>1</v>
      </c>
      <c r="C389" s="33" t="str">
        <f t="shared" si="43"/>
        <v>3</v>
      </c>
      <c r="D389" s="33" t="str">
        <f t="shared" si="44"/>
        <v>3</v>
      </c>
      <c r="E389" s="33" t="str">
        <f t="shared" si="45"/>
        <v>3</v>
      </c>
      <c r="F389" s="33" t="str">
        <f t="shared" si="46"/>
        <v>03</v>
      </c>
      <c r="G389" s="33" t="str">
        <f t="shared" si="47"/>
        <v>1</v>
      </c>
      <c r="H389" s="33" t="str">
        <f t="shared" si="48"/>
        <v>0</v>
      </c>
      <c r="I389" s="28">
        <v>13330310</v>
      </c>
      <c r="J389" s="29" t="s">
        <v>632</v>
      </c>
      <c r="K389" s="29" t="s">
        <v>633</v>
      </c>
      <c r="L389" s="29" t="s">
        <v>619</v>
      </c>
      <c r="M389" s="34"/>
    </row>
    <row r="390" spans="2:13" ht="60">
      <c r="B390" s="32" t="str">
        <f t="shared" si="42"/>
        <v>1</v>
      </c>
      <c r="C390" s="33" t="str">
        <f t="shared" si="43"/>
        <v>3</v>
      </c>
      <c r="D390" s="33" t="str">
        <f t="shared" si="44"/>
        <v>3</v>
      </c>
      <c r="E390" s="33" t="str">
        <f t="shared" si="45"/>
        <v>3</v>
      </c>
      <c r="F390" s="33" t="str">
        <f t="shared" si="46"/>
        <v>03</v>
      </c>
      <c r="G390" s="33" t="str">
        <f t="shared" si="47"/>
        <v>2</v>
      </c>
      <c r="H390" s="33" t="str">
        <f t="shared" si="48"/>
        <v>0</v>
      </c>
      <c r="I390" s="28">
        <v>13330320</v>
      </c>
      <c r="J390" s="29" t="s">
        <v>634</v>
      </c>
      <c r="K390" s="29" t="s">
        <v>635</v>
      </c>
      <c r="L390" s="29" t="s">
        <v>619</v>
      </c>
      <c r="M390" s="34"/>
    </row>
    <row r="391" spans="2:13" ht="36.75" customHeight="1">
      <c r="B391" s="32" t="str">
        <f t="shared" si="42"/>
        <v>1</v>
      </c>
      <c r="C391" s="33" t="str">
        <f t="shared" si="43"/>
        <v>3</v>
      </c>
      <c r="D391" s="33" t="str">
        <f t="shared" si="44"/>
        <v>3</v>
      </c>
      <c r="E391" s="33" t="str">
        <f t="shared" si="45"/>
        <v>3</v>
      </c>
      <c r="F391" s="33" t="str">
        <f t="shared" si="46"/>
        <v>04</v>
      </c>
      <c r="G391" s="33" t="str">
        <f t="shared" si="47"/>
        <v>0</v>
      </c>
      <c r="H391" s="33" t="str">
        <f t="shared" si="48"/>
        <v>0</v>
      </c>
      <c r="I391" s="28">
        <v>13330400</v>
      </c>
      <c r="J391" s="29" t="s">
        <v>636</v>
      </c>
      <c r="K391" s="29" t="s">
        <v>637</v>
      </c>
      <c r="L391" s="29" t="s">
        <v>619</v>
      </c>
      <c r="M391" s="34"/>
    </row>
    <row r="392" spans="2:13" ht="45">
      <c r="B392" s="32" t="str">
        <f t="shared" si="42"/>
        <v>1</v>
      </c>
      <c r="C392" s="33" t="str">
        <f t="shared" si="43"/>
        <v>3</v>
      </c>
      <c r="D392" s="33" t="str">
        <f t="shared" si="44"/>
        <v>3</v>
      </c>
      <c r="E392" s="33" t="str">
        <f t="shared" si="45"/>
        <v>3</v>
      </c>
      <c r="F392" s="33" t="str">
        <f t="shared" si="46"/>
        <v>04</v>
      </c>
      <c r="G392" s="33" t="str">
        <f t="shared" si="47"/>
        <v>1</v>
      </c>
      <c r="H392" s="33" t="str">
        <f t="shared" si="48"/>
        <v>0</v>
      </c>
      <c r="I392" s="28">
        <v>13330410</v>
      </c>
      <c r="J392" s="29" t="s">
        <v>638</v>
      </c>
      <c r="K392" s="29" t="s">
        <v>639</v>
      </c>
      <c r="L392" s="29" t="s">
        <v>619</v>
      </c>
      <c r="M392" s="34"/>
    </row>
    <row r="393" spans="2:13" ht="45">
      <c r="B393" s="32" t="str">
        <f t="shared" si="42"/>
        <v>1</v>
      </c>
      <c r="C393" s="33" t="str">
        <f t="shared" si="43"/>
        <v>3</v>
      </c>
      <c r="D393" s="33" t="str">
        <f t="shared" si="44"/>
        <v>3</v>
      </c>
      <c r="E393" s="33" t="str">
        <f t="shared" si="45"/>
        <v>3</v>
      </c>
      <c r="F393" s="33" t="str">
        <f t="shared" si="46"/>
        <v>04</v>
      </c>
      <c r="G393" s="33" t="str">
        <f t="shared" si="47"/>
        <v>2</v>
      </c>
      <c r="H393" s="33" t="str">
        <f t="shared" si="48"/>
        <v>0</v>
      </c>
      <c r="I393" s="28">
        <v>13330420</v>
      </c>
      <c r="J393" s="29" t="s">
        <v>640</v>
      </c>
      <c r="K393" s="29" t="s">
        <v>641</v>
      </c>
      <c r="L393" s="29" t="s">
        <v>619</v>
      </c>
      <c r="M393" s="34"/>
    </row>
    <row r="394" spans="2:13" ht="36.75" customHeight="1">
      <c r="B394" s="32" t="str">
        <f t="shared" si="42"/>
        <v>1</v>
      </c>
      <c r="C394" s="33" t="str">
        <f t="shared" si="43"/>
        <v>3</v>
      </c>
      <c r="D394" s="33" t="str">
        <f t="shared" si="44"/>
        <v>3</v>
      </c>
      <c r="E394" s="33" t="str">
        <f t="shared" si="45"/>
        <v>3</v>
      </c>
      <c r="F394" s="33" t="str">
        <f t="shared" si="46"/>
        <v>05</v>
      </c>
      <c r="G394" s="33" t="str">
        <f t="shared" si="47"/>
        <v>0</v>
      </c>
      <c r="H394" s="33" t="str">
        <f t="shared" si="48"/>
        <v>0</v>
      </c>
      <c r="I394" s="28">
        <v>13330500</v>
      </c>
      <c r="J394" s="29" t="s">
        <v>642</v>
      </c>
      <c r="K394" s="29" t="s">
        <v>643</v>
      </c>
      <c r="L394" s="29" t="s">
        <v>619</v>
      </c>
      <c r="M394" s="34"/>
    </row>
    <row r="395" spans="2:13" ht="135">
      <c r="B395" s="32" t="str">
        <f t="shared" si="42"/>
        <v>1</v>
      </c>
      <c r="C395" s="33" t="str">
        <f t="shared" si="43"/>
        <v>3</v>
      </c>
      <c r="D395" s="33" t="str">
        <f t="shared" si="44"/>
        <v>3</v>
      </c>
      <c r="E395" s="33" t="str">
        <f t="shared" si="45"/>
        <v>3</v>
      </c>
      <c r="F395" s="33" t="str">
        <f t="shared" si="46"/>
        <v>05</v>
      </c>
      <c r="G395" s="33" t="str">
        <f t="shared" si="47"/>
        <v>1</v>
      </c>
      <c r="H395" s="33" t="str">
        <f t="shared" si="48"/>
        <v>0</v>
      </c>
      <c r="I395" s="28">
        <v>13330510</v>
      </c>
      <c r="J395" s="29" t="s">
        <v>642</v>
      </c>
      <c r="K395" s="29" t="s">
        <v>644</v>
      </c>
      <c r="L395" s="29" t="s">
        <v>619</v>
      </c>
      <c r="M395" s="34"/>
    </row>
    <row r="396" spans="2:13" ht="75">
      <c r="B396" s="32" t="str">
        <f t="shared" si="42"/>
        <v>1</v>
      </c>
      <c r="C396" s="33" t="str">
        <f t="shared" si="43"/>
        <v>3</v>
      </c>
      <c r="D396" s="33" t="str">
        <f t="shared" si="44"/>
        <v>3</v>
      </c>
      <c r="E396" s="33" t="str">
        <f t="shared" si="45"/>
        <v>3</v>
      </c>
      <c r="F396" s="33" t="str">
        <f t="shared" si="46"/>
        <v>06</v>
      </c>
      <c r="G396" s="33" t="str">
        <f t="shared" si="47"/>
        <v>0</v>
      </c>
      <c r="H396" s="33" t="str">
        <f t="shared" si="48"/>
        <v>0</v>
      </c>
      <c r="I396" s="28">
        <v>13330600</v>
      </c>
      <c r="J396" s="29" t="s">
        <v>645</v>
      </c>
      <c r="K396" s="29" t="s">
        <v>646</v>
      </c>
      <c r="L396" s="29" t="s">
        <v>619</v>
      </c>
      <c r="M396" s="34"/>
    </row>
    <row r="397" spans="2:13" ht="90">
      <c r="B397" s="32" t="str">
        <f t="shared" si="42"/>
        <v>1</v>
      </c>
      <c r="C397" s="33" t="str">
        <f t="shared" si="43"/>
        <v>3</v>
      </c>
      <c r="D397" s="33" t="str">
        <f t="shared" si="44"/>
        <v>3</v>
      </c>
      <c r="E397" s="33" t="str">
        <f t="shared" si="45"/>
        <v>3</v>
      </c>
      <c r="F397" s="33" t="str">
        <f t="shared" si="46"/>
        <v>06</v>
      </c>
      <c r="G397" s="33" t="str">
        <f t="shared" si="47"/>
        <v>1</v>
      </c>
      <c r="H397" s="33" t="str">
        <f t="shared" si="48"/>
        <v>0</v>
      </c>
      <c r="I397" s="28">
        <v>13330610</v>
      </c>
      <c r="J397" s="29" t="s">
        <v>647</v>
      </c>
      <c r="K397" s="29" t="s">
        <v>648</v>
      </c>
      <c r="L397" s="29" t="s">
        <v>619</v>
      </c>
      <c r="M397" s="34"/>
    </row>
    <row r="398" spans="2:13" ht="90">
      <c r="B398" s="32" t="str">
        <f t="shared" si="42"/>
        <v>1</v>
      </c>
      <c r="C398" s="33" t="str">
        <f t="shared" si="43"/>
        <v>3</v>
      </c>
      <c r="D398" s="33" t="str">
        <f t="shared" si="44"/>
        <v>3</v>
      </c>
      <c r="E398" s="33" t="str">
        <f t="shared" si="45"/>
        <v>3</v>
      </c>
      <c r="F398" s="33" t="str">
        <f t="shared" si="46"/>
        <v>06</v>
      </c>
      <c r="G398" s="33" t="str">
        <f t="shared" si="47"/>
        <v>2</v>
      </c>
      <c r="H398" s="33" t="str">
        <f t="shared" si="48"/>
        <v>0</v>
      </c>
      <c r="I398" s="28">
        <v>13330620</v>
      </c>
      <c r="J398" s="29" t="s">
        <v>649</v>
      </c>
      <c r="K398" s="29" t="s">
        <v>650</v>
      </c>
      <c r="L398" s="29" t="s">
        <v>619</v>
      </c>
      <c r="M398" s="34"/>
    </row>
    <row r="399" spans="2:13" ht="36.75" customHeight="1">
      <c r="B399" s="32" t="str">
        <f t="shared" si="42"/>
        <v>1</v>
      </c>
      <c r="C399" s="33" t="str">
        <f t="shared" si="43"/>
        <v>3</v>
      </c>
      <c r="D399" s="33" t="str">
        <f t="shared" si="44"/>
        <v>3</v>
      </c>
      <c r="E399" s="33" t="str">
        <f t="shared" si="45"/>
        <v>3</v>
      </c>
      <c r="F399" s="33" t="str">
        <f t="shared" si="46"/>
        <v>07</v>
      </c>
      <c r="G399" s="33" t="str">
        <f t="shared" si="47"/>
        <v>0</v>
      </c>
      <c r="H399" s="33" t="str">
        <f t="shared" si="48"/>
        <v>0</v>
      </c>
      <c r="I399" s="28">
        <v>13330700</v>
      </c>
      <c r="J399" s="29" t="s">
        <v>651</v>
      </c>
      <c r="K399" s="29" t="s">
        <v>652</v>
      </c>
      <c r="L399" s="29" t="s">
        <v>619</v>
      </c>
      <c r="M399" s="34"/>
    </row>
    <row r="400" spans="2:13" ht="36.75" customHeight="1">
      <c r="B400" s="32" t="str">
        <f t="shared" si="42"/>
        <v>1</v>
      </c>
      <c r="C400" s="33" t="str">
        <f t="shared" si="43"/>
        <v>3</v>
      </c>
      <c r="D400" s="33" t="str">
        <f t="shared" si="44"/>
        <v>3</v>
      </c>
      <c r="E400" s="33" t="str">
        <f t="shared" si="45"/>
        <v>3</v>
      </c>
      <c r="F400" s="33" t="str">
        <f t="shared" si="46"/>
        <v>07</v>
      </c>
      <c r="G400" s="33" t="str">
        <f t="shared" si="47"/>
        <v>1</v>
      </c>
      <c r="H400" s="33" t="str">
        <f t="shared" si="48"/>
        <v>0</v>
      </c>
      <c r="I400" s="28">
        <v>13330710</v>
      </c>
      <c r="J400" s="29" t="s">
        <v>651</v>
      </c>
      <c r="K400" s="29" t="s">
        <v>652</v>
      </c>
      <c r="L400" s="29" t="s">
        <v>619</v>
      </c>
      <c r="M400" s="34"/>
    </row>
    <row r="401" spans="2:13" ht="45">
      <c r="B401" s="32" t="str">
        <f t="shared" si="42"/>
        <v>1</v>
      </c>
      <c r="C401" s="33" t="str">
        <f t="shared" si="43"/>
        <v>3</v>
      </c>
      <c r="D401" s="33" t="str">
        <f t="shared" si="44"/>
        <v>3</v>
      </c>
      <c r="E401" s="33" t="str">
        <f t="shared" si="45"/>
        <v>3</v>
      </c>
      <c r="F401" s="33" t="str">
        <f t="shared" si="46"/>
        <v>49</v>
      </c>
      <c r="G401" s="33" t="str">
        <f t="shared" si="47"/>
        <v>0</v>
      </c>
      <c r="H401" s="33" t="str">
        <f t="shared" si="48"/>
        <v>0</v>
      </c>
      <c r="I401" s="28">
        <v>13334900</v>
      </c>
      <c r="J401" s="29" t="s">
        <v>653</v>
      </c>
      <c r="K401" s="29" t="s">
        <v>654</v>
      </c>
      <c r="L401" s="29" t="s">
        <v>619</v>
      </c>
      <c r="M401" s="34"/>
    </row>
    <row r="402" spans="2:13" ht="60">
      <c r="B402" s="32" t="str">
        <f t="shared" si="42"/>
        <v>1</v>
      </c>
      <c r="C402" s="33" t="str">
        <f t="shared" si="43"/>
        <v>3</v>
      </c>
      <c r="D402" s="33" t="str">
        <f t="shared" si="44"/>
        <v>3</v>
      </c>
      <c r="E402" s="33" t="str">
        <f t="shared" si="45"/>
        <v>3</v>
      </c>
      <c r="F402" s="33" t="str">
        <f t="shared" si="46"/>
        <v>49</v>
      </c>
      <c r="G402" s="33" t="str">
        <f t="shared" si="47"/>
        <v>1</v>
      </c>
      <c r="H402" s="33" t="str">
        <f t="shared" si="48"/>
        <v>0</v>
      </c>
      <c r="I402" s="28">
        <v>13334910</v>
      </c>
      <c r="J402" s="29" t="s">
        <v>655</v>
      </c>
      <c r="K402" s="29" t="s">
        <v>656</v>
      </c>
      <c r="L402" s="29" t="s">
        <v>619</v>
      </c>
      <c r="M402" s="34"/>
    </row>
    <row r="403" spans="2:13" ht="60">
      <c r="B403" s="32" t="str">
        <f t="shared" si="42"/>
        <v>1</v>
      </c>
      <c r="C403" s="33" t="str">
        <f t="shared" si="43"/>
        <v>3</v>
      </c>
      <c r="D403" s="33" t="str">
        <f t="shared" si="44"/>
        <v>3</v>
      </c>
      <c r="E403" s="33" t="str">
        <f t="shared" si="45"/>
        <v>3</v>
      </c>
      <c r="F403" s="33" t="str">
        <f t="shared" si="46"/>
        <v>49</v>
      </c>
      <c r="G403" s="33" t="str">
        <f t="shared" si="47"/>
        <v>2</v>
      </c>
      <c r="H403" s="33" t="str">
        <f t="shared" si="48"/>
        <v>0</v>
      </c>
      <c r="I403" s="28">
        <v>13334920</v>
      </c>
      <c r="J403" s="29" t="s">
        <v>657</v>
      </c>
      <c r="K403" s="29" t="s">
        <v>658</v>
      </c>
      <c r="L403" s="29" t="s">
        <v>619</v>
      </c>
      <c r="M403" s="34"/>
    </row>
    <row r="404" spans="2:13" ht="135">
      <c r="B404" s="32" t="str">
        <f t="shared" si="42"/>
        <v>1</v>
      </c>
      <c r="C404" s="33" t="str">
        <f t="shared" si="43"/>
        <v>3</v>
      </c>
      <c r="D404" s="33" t="str">
        <f t="shared" si="44"/>
        <v>3</v>
      </c>
      <c r="E404" s="33" t="str">
        <f t="shared" si="45"/>
        <v>3</v>
      </c>
      <c r="F404" s="33" t="str">
        <f t="shared" si="46"/>
        <v>00</v>
      </c>
      <c r="G404" s="33" t="str">
        <f t="shared" si="47"/>
        <v>1</v>
      </c>
      <c r="H404" s="33" t="str">
        <f t="shared" si="48"/>
        <v>0</v>
      </c>
      <c r="I404" s="28">
        <v>13330010</v>
      </c>
      <c r="J404" s="29" t="s">
        <v>617</v>
      </c>
      <c r="K404" s="29" t="s">
        <v>659</v>
      </c>
      <c r="L404" s="29" t="s">
        <v>619</v>
      </c>
      <c r="M404" s="34" t="s">
        <v>22</v>
      </c>
    </row>
    <row r="405" spans="2:13" ht="105">
      <c r="B405" s="32" t="str">
        <f t="shared" si="42"/>
        <v>1</v>
      </c>
      <c r="C405" s="33" t="str">
        <f t="shared" si="43"/>
        <v>3</v>
      </c>
      <c r="D405" s="33" t="str">
        <f t="shared" si="44"/>
        <v>3</v>
      </c>
      <c r="E405" s="33" t="str">
        <f t="shared" si="45"/>
        <v>3</v>
      </c>
      <c r="F405" s="33" t="str">
        <f t="shared" si="46"/>
        <v>00</v>
      </c>
      <c r="G405" s="33" t="str">
        <f t="shared" si="47"/>
        <v>2</v>
      </c>
      <c r="H405" s="33" t="str">
        <f t="shared" si="48"/>
        <v>0</v>
      </c>
      <c r="I405" s="28">
        <v>13330020</v>
      </c>
      <c r="J405" s="29" t="s">
        <v>624</v>
      </c>
      <c r="K405" s="29" t="s">
        <v>660</v>
      </c>
      <c r="L405" s="29" t="s">
        <v>619</v>
      </c>
      <c r="M405" s="34" t="s">
        <v>22</v>
      </c>
    </row>
    <row r="406" spans="2:13" ht="45">
      <c r="B406" s="32" t="str">
        <f t="shared" si="42"/>
        <v>1</v>
      </c>
      <c r="C406" s="33" t="str">
        <f t="shared" si="43"/>
        <v>3</v>
      </c>
      <c r="D406" s="33" t="str">
        <f t="shared" si="44"/>
        <v>3</v>
      </c>
      <c r="E406" s="33" t="str">
        <f t="shared" si="45"/>
        <v>3</v>
      </c>
      <c r="F406" s="33" t="str">
        <f t="shared" si="46"/>
        <v>00</v>
      </c>
      <c r="G406" s="33" t="str">
        <f t="shared" si="47"/>
        <v>3</v>
      </c>
      <c r="H406" s="33" t="str">
        <f t="shared" si="48"/>
        <v>0</v>
      </c>
      <c r="I406" s="28">
        <v>13330030</v>
      </c>
      <c r="J406" s="29" t="s">
        <v>630</v>
      </c>
      <c r="K406" s="29" t="s">
        <v>631</v>
      </c>
      <c r="L406" s="29" t="s">
        <v>619</v>
      </c>
      <c r="M406" s="34" t="s">
        <v>22</v>
      </c>
    </row>
    <row r="407" spans="2:13" ht="90">
      <c r="B407" s="32" t="str">
        <f t="shared" si="42"/>
        <v>1</v>
      </c>
      <c r="C407" s="33" t="str">
        <f t="shared" si="43"/>
        <v>3</v>
      </c>
      <c r="D407" s="33" t="str">
        <f t="shared" si="44"/>
        <v>3</v>
      </c>
      <c r="E407" s="33" t="str">
        <f t="shared" si="45"/>
        <v>3</v>
      </c>
      <c r="F407" s="33" t="str">
        <f t="shared" si="46"/>
        <v>00</v>
      </c>
      <c r="G407" s="33" t="str">
        <f t="shared" si="47"/>
        <v>4</v>
      </c>
      <c r="H407" s="33" t="str">
        <f t="shared" si="48"/>
        <v>0</v>
      </c>
      <c r="I407" s="28">
        <v>13330040</v>
      </c>
      <c r="J407" s="29" t="s">
        <v>636</v>
      </c>
      <c r="K407" s="29" t="s">
        <v>661</v>
      </c>
      <c r="L407" s="29" t="s">
        <v>619</v>
      </c>
      <c r="M407" s="34" t="s">
        <v>22</v>
      </c>
    </row>
    <row r="408" spans="2:13" ht="165">
      <c r="B408" s="32" t="str">
        <f t="shared" si="42"/>
        <v>1</v>
      </c>
      <c r="C408" s="33" t="str">
        <f t="shared" si="43"/>
        <v>3</v>
      </c>
      <c r="D408" s="33" t="str">
        <f t="shared" si="44"/>
        <v>3</v>
      </c>
      <c r="E408" s="33" t="str">
        <f t="shared" si="45"/>
        <v>3</v>
      </c>
      <c r="F408" s="33" t="str">
        <f t="shared" si="46"/>
        <v>00</v>
      </c>
      <c r="G408" s="33" t="str">
        <f t="shared" si="47"/>
        <v>5</v>
      </c>
      <c r="H408" s="33" t="str">
        <f t="shared" si="48"/>
        <v>0</v>
      </c>
      <c r="I408" s="28">
        <v>13330050</v>
      </c>
      <c r="J408" s="29" t="s">
        <v>642</v>
      </c>
      <c r="K408" s="29" t="s">
        <v>662</v>
      </c>
      <c r="L408" s="29" t="s">
        <v>619</v>
      </c>
      <c r="M408" s="34" t="s">
        <v>22</v>
      </c>
    </row>
    <row r="409" spans="2:13" ht="75">
      <c r="B409" s="32" t="str">
        <f t="shared" si="42"/>
        <v>1</v>
      </c>
      <c r="C409" s="33" t="str">
        <f t="shared" si="43"/>
        <v>3</v>
      </c>
      <c r="D409" s="33" t="str">
        <f t="shared" si="44"/>
        <v>3</v>
      </c>
      <c r="E409" s="33" t="str">
        <f t="shared" si="45"/>
        <v>3</v>
      </c>
      <c r="F409" s="33" t="str">
        <f t="shared" si="46"/>
        <v>00</v>
      </c>
      <c r="G409" s="33" t="str">
        <f t="shared" si="47"/>
        <v>6</v>
      </c>
      <c r="H409" s="33" t="str">
        <f t="shared" si="48"/>
        <v>0</v>
      </c>
      <c r="I409" s="28">
        <v>13330060</v>
      </c>
      <c r="J409" s="29" t="s">
        <v>645</v>
      </c>
      <c r="K409" s="29" t="s">
        <v>663</v>
      </c>
      <c r="L409" s="29" t="s">
        <v>619</v>
      </c>
      <c r="M409" s="34" t="s">
        <v>22</v>
      </c>
    </row>
    <row r="410" spans="2:13" ht="30">
      <c r="B410" s="32" t="str">
        <f t="shared" si="42"/>
        <v>1</v>
      </c>
      <c r="C410" s="33" t="str">
        <f t="shared" si="43"/>
        <v>3</v>
      </c>
      <c r="D410" s="33" t="str">
        <f t="shared" si="44"/>
        <v>3</v>
      </c>
      <c r="E410" s="33" t="str">
        <f t="shared" si="45"/>
        <v>3</v>
      </c>
      <c r="F410" s="33" t="str">
        <f t="shared" si="46"/>
        <v>00</v>
      </c>
      <c r="G410" s="33" t="str">
        <f t="shared" si="47"/>
        <v>7</v>
      </c>
      <c r="H410" s="33" t="str">
        <f t="shared" si="48"/>
        <v>0</v>
      </c>
      <c r="I410" s="28">
        <v>13330070</v>
      </c>
      <c r="J410" s="29" t="s">
        <v>651</v>
      </c>
      <c r="K410" s="29" t="s">
        <v>664</v>
      </c>
      <c r="L410" s="29" t="s">
        <v>619</v>
      </c>
      <c r="M410" s="34" t="s">
        <v>22</v>
      </c>
    </row>
    <row r="411" spans="2:13" ht="45">
      <c r="B411" s="32" t="str">
        <f t="shared" si="42"/>
        <v>1</v>
      </c>
      <c r="C411" s="33" t="str">
        <f t="shared" si="43"/>
        <v>3</v>
      </c>
      <c r="D411" s="33" t="str">
        <f t="shared" si="44"/>
        <v>3</v>
      </c>
      <c r="E411" s="33" t="str">
        <f t="shared" si="45"/>
        <v>3</v>
      </c>
      <c r="F411" s="33" t="str">
        <f t="shared" si="46"/>
        <v>00</v>
      </c>
      <c r="G411" s="33" t="str">
        <f t="shared" si="47"/>
        <v>9</v>
      </c>
      <c r="H411" s="33" t="str">
        <f t="shared" si="48"/>
        <v>0</v>
      </c>
      <c r="I411" s="28">
        <v>13330090</v>
      </c>
      <c r="J411" s="29" t="s">
        <v>653</v>
      </c>
      <c r="K411" s="29" t="s">
        <v>665</v>
      </c>
      <c r="L411" s="29" t="s">
        <v>619</v>
      </c>
      <c r="M411" s="34" t="s">
        <v>22</v>
      </c>
    </row>
    <row r="412" spans="2:13" ht="30">
      <c r="B412" s="32" t="str">
        <f t="shared" si="42"/>
        <v>1</v>
      </c>
      <c r="C412" s="33" t="str">
        <f t="shared" si="43"/>
        <v>3</v>
      </c>
      <c r="D412" s="33" t="str">
        <f t="shared" si="44"/>
        <v>3</v>
      </c>
      <c r="E412" s="33" t="str">
        <f t="shared" si="45"/>
        <v>4</v>
      </c>
      <c r="F412" s="33" t="str">
        <f t="shared" si="46"/>
        <v>00</v>
      </c>
      <c r="G412" s="33" t="str">
        <f t="shared" si="47"/>
        <v>0</v>
      </c>
      <c r="H412" s="33" t="str">
        <f t="shared" si="48"/>
        <v>0</v>
      </c>
      <c r="I412" s="28">
        <v>13340000</v>
      </c>
      <c r="J412" s="29" t="s">
        <v>666</v>
      </c>
      <c r="K412" s="29" t="s">
        <v>667</v>
      </c>
      <c r="L412" s="29" t="s">
        <v>668</v>
      </c>
      <c r="M412" s="34" t="s">
        <v>14</v>
      </c>
    </row>
    <row r="413" spans="2:13" ht="30">
      <c r="B413" s="32" t="str">
        <f t="shared" si="42"/>
        <v>1</v>
      </c>
      <c r="C413" s="33" t="str">
        <f t="shared" si="43"/>
        <v>3</v>
      </c>
      <c r="D413" s="33" t="str">
        <f t="shared" si="44"/>
        <v>3</v>
      </c>
      <c r="E413" s="33" t="str">
        <f t="shared" si="45"/>
        <v>4</v>
      </c>
      <c r="F413" s="33" t="str">
        <f t="shared" si="46"/>
        <v>01</v>
      </c>
      <c r="G413" s="33" t="str">
        <f t="shared" si="47"/>
        <v>0</v>
      </c>
      <c r="H413" s="33" t="str">
        <f t="shared" si="48"/>
        <v>0</v>
      </c>
      <c r="I413" s="28">
        <v>13340100</v>
      </c>
      <c r="J413" s="29" t="s">
        <v>669</v>
      </c>
      <c r="K413" s="29" t="s">
        <v>667</v>
      </c>
      <c r="L413" s="29" t="s">
        <v>668</v>
      </c>
      <c r="M413" s="34" t="s">
        <v>14</v>
      </c>
    </row>
    <row r="414" spans="2:13" ht="30">
      <c r="B414" s="32" t="str">
        <f t="shared" si="42"/>
        <v>1</v>
      </c>
      <c r="C414" s="33" t="str">
        <f t="shared" si="43"/>
        <v>3</v>
      </c>
      <c r="D414" s="33" t="str">
        <f t="shared" si="44"/>
        <v>3</v>
      </c>
      <c r="E414" s="33" t="str">
        <f t="shared" si="45"/>
        <v>4</v>
      </c>
      <c r="F414" s="33" t="str">
        <f t="shared" si="46"/>
        <v>01</v>
      </c>
      <c r="G414" s="33" t="str">
        <f t="shared" si="47"/>
        <v>1</v>
      </c>
      <c r="H414" s="33" t="str">
        <f t="shared" si="48"/>
        <v>0</v>
      </c>
      <c r="I414" s="28">
        <v>13340110</v>
      </c>
      <c r="J414" s="29" t="s">
        <v>669</v>
      </c>
      <c r="K414" s="29" t="s">
        <v>670</v>
      </c>
      <c r="L414" s="29" t="s">
        <v>668</v>
      </c>
      <c r="M414" s="34" t="s">
        <v>14</v>
      </c>
    </row>
    <row r="415" spans="2:13">
      <c r="B415" s="32" t="str">
        <f t="shared" si="42"/>
        <v>1</v>
      </c>
      <c r="C415" s="33" t="str">
        <f t="shared" si="43"/>
        <v>3</v>
      </c>
      <c r="D415" s="33" t="str">
        <f t="shared" si="44"/>
        <v>3</v>
      </c>
      <c r="E415" s="33" t="str">
        <f t="shared" si="45"/>
        <v>9</v>
      </c>
      <c r="F415" s="33" t="str">
        <f t="shared" si="46"/>
        <v>00</v>
      </c>
      <c r="G415" s="33" t="str">
        <f t="shared" si="47"/>
        <v>0</v>
      </c>
      <c r="H415" s="33" t="str">
        <f t="shared" si="48"/>
        <v>0</v>
      </c>
      <c r="I415" s="28">
        <v>13390000</v>
      </c>
      <c r="J415" s="29" t="s">
        <v>671</v>
      </c>
      <c r="K415" s="29" t="s">
        <v>672</v>
      </c>
      <c r="L415" s="29"/>
      <c r="M415" s="34"/>
    </row>
    <row r="416" spans="2:13">
      <c r="B416" s="32" t="str">
        <f t="shared" si="42"/>
        <v>1</v>
      </c>
      <c r="C416" s="33" t="str">
        <f t="shared" si="43"/>
        <v>3</v>
      </c>
      <c r="D416" s="33" t="str">
        <f t="shared" si="44"/>
        <v>3</v>
      </c>
      <c r="E416" s="33" t="str">
        <f t="shared" si="45"/>
        <v>9</v>
      </c>
      <c r="F416" s="33" t="str">
        <f t="shared" si="46"/>
        <v>01</v>
      </c>
      <c r="G416" s="33" t="str">
        <f t="shared" si="47"/>
        <v>0</v>
      </c>
      <c r="H416" s="33" t="str">
        <f t="shared" si="48"/>
        <v>0</v>
      </c>
      <c r="I416" s="28">
        <v>13390100</v>
      </c>
      <c r="J416" s="29" t="s">
        <v>671</v>
      </c>
      <c r="K416" s="29" t="s">
        <v>672</v>
      </c>
      <c r="L416" s="29" t="s">
        <v>619</v>
      </c>
      <c r="M416" s="34" t="s">
        <v>22</v>
      </c>
    </row>
    <row r="417" spans="2:13">
      <c r="B417" s="32" t="str">
        <f t="shared" si="42"/>
        <v>1</v>
      </c>
      <c r="C417" s="33" t="str">
        <f t="shared" si="43"/>
        <v>3</v>
      </c>
      <c r="D417" s="33" t="str">
        <f t="shared" si="44"/>
        <v>3</v>
      </c>
      <c r="E417" s="33" t="str">
        <f t="shared" si="45"/>
        <v>9</v>
      </c>
      <c r="F417" s="33" t="str">
        <f t="shared" si="46"/>
        <v>01</v>
      </c>
      <c r="G417" s="33" t="str">
        <f t="shared" si="47"/>
        <v>1</v>
      </c>
      <c r="H417" s="33" t="str">
        <f t="shared" si="48"/>
        <v>0</v>
      </c>
      <c r="I417" s="28">
        <v>13390110</v>
      </c>
      <c r="J417" s="29" t="s">
        <v>671</v>
      </c>
      <c r="K417" s="29" t="s">
        <v>672</v>
      </c>
      <c r="L417" s="29" t="s">
        <v>619</v>
      </c>
      <c r="M417" s="34" t="s">
        <v>22</v>
      </c>
    </row>
    <row r="418" spans="2:13" ht="30">
      <c r="B418" s="32" t="str">
        <f t="shared" si="42"/>
        <v>1</v>
      </c>
      <c r="C418" s="33" t="str">
        <f t="shared" si="43"/>
        <v>3</v>
      </c>
      <c r="D418" s="33" t="str">
        <f t="shared" si="44"/>
        <v>3</v>
      </c>
      <c r="E418" s="33" t="str">
        <f t="shared" si="45"/>
        <v>9</v>
      </c>
      <c r="F418" s="33" t="str">
        <f t="shared" si="46"/>
        <v>99</v>
      </c>
      <c r="G418" s="33" t="str">
        <f t="shared" si="47"/>
        <v>0</v>
      </c>
      <c r="H418" s="33" t="str">
        <f t="shared" si="48"/>
        <v>0</v>
      </c>
      <c r="I418" s="28">
        <v>13399900</v>
      </c>
      <c r="J418" s="29" t="s">
        <v>673</v>
      </c>
      <c r="K418" s="29" t="s">
        <v>674</v>
      </c>
      <c r="L418" s="29"/>
      <c r="M418" s="34"/>
    </row>
    <row r="419" spans="2:13" ht="30">
      <c r="B419" s="32" t="str">
        <f t="shared" si="42"/>
        <v>1</v>
      </c>
      <c r="C419" s="33" t="str">
        <f t="shared" si="43"/>
        <v>3</v>
      </c>
      <c r="D419" s="33" t="str">
        <f t="shared" si="44"/>
        <v>3</v>
      </c>
      <c r="E419" s="33" t="str">
        <f t="shared" si="45"/>
        <v>9</v>
      </c>
      <c r="F419" s="33" t="str">
        <f t="shared" si="46"/>
        <v>99</v>
      </c>
      <c r="G419" s="33" t="str">
        <f t="shared" si="47"/>
        <v>1</v>
      </c>
      <c r="H419" s="33" t="str">
        <f t="shared" si="48"/>
        <v>0</v>
      </c>
      <c r="I419" s="28">
        <v>13399910</v>
      </c>
      <c r="J419" s="29" t="s">
        <v>673</v>
      </c>
      <c r="K419" s="29" t="s">
        <v>674</v>
      </c>
      <c r="L419" s="29"/>
      <c r="M419" s="34"/>
    </row>
    <row r="420" spans="2:13">
      <c r="B420" s="32" t="str">
        <f t="shared" si="42"/>
        <v>1</v>
      </c>
      <c r="C420" s="33" t="str">
        <f t="shared" si="43"/>
        <v>3</v>
      </c>
      <c r="D420" s="33" t="str">
        <f t="shared" si="44"/>
        <v>4</v>
      </c>
      <c r="E420" s="33" t="str">
        <f t="shared" si="45"/>
        <v>0</v>
      </c>
      <c r="F420" s="33" t="str">
        <f t="shared" si="46"/>
        <v>00</v>
      </c>
      <c r="G420" s="33" t="str">
        <f t="shared" si="47"/>
        <v>0</v>
      </c>
      <c r="H420" s="33" t="str">
        <f t="shared" si="48"/>
        <v>0</v>
      </c>
      <c r="I420" s="28">
        <v>13400000</v>
      </c>
      <c r="J420" s="29" t="s">
        <v>675</v>
      </c>
      <c r="K420" s="29" t="s">
        <v>676</v>
      </c>
      <c r="L420" s="29"/>
      <c r="M420" s="34"/>
    </row>
    <row r="421" spans="2:13" ht="30">
      <c r="B421" s="32" t="str">
        <f t="shared" si="42"/>
        <v>1</v>
      </c>
      <c r="C421" s="33" t="str">
        <f t="shared" si="43"/>
        <v>3</v>
      </c>
      <c r="D421" s="33" t="str">
        <f t="shared" si="44"/>
        <v>4</v>
      </c>
      <c r="E421" s="33" t="str">
        <f t="shared" si="45"/>
        <v>1</v>
      </c>
      <c r="F421" s="33" t="str">
        <f t="shared" si="46"/>
        <v>00</v>
      </c>
      <c r="G421" s="33" t="str">
        <f t="shared" si="47"/>
        <v>0</v>
      </c>
      <c r="H421" s="33" t="str">
        <f t="shared" si="48"/>
        <v>0</v>
      </c>
      <c r="I421" s="28">
        <v>13410000</v>
      </c>
      <c r="J421" s="29" t="s">
        <v>677</v>
      </c>
      <c r="K421" s="29" t="s">
        <v>678</v>
      </c>
      <c r="L421" s="29"/>
      <c r="M421" s="34"/>
    </row>
    <row r="422" spans="2:13" ht="30">
      <c r="B422" s="32" t="str">
        <f t="shared" si="42"/>
        <v>1</v>
      </c>
      <c r="C422" s="33" t="str">
        <f t="shared" si="43"/>
        <v>3</v>
      </c>
      <c r="D422" s="33" t="str">
        <f t="shared" si="44"/>
        <v>4</v>
      </c>
      <c r="E422" s="33" t="str">
        <f t="shared" si="45"/>
        <v>1</v>
      </c>
      <c r="F422" s="33" t="str">
        <f t="shared" si="46"/>
        <v>01</v>
      </c>
      <c r="G422" s="33" t="str">
        <f t="shared" si="47"/>
        <v>0</v>
      </c>
      <c r="H422" s="33" t="str">
        <f t="shared" si="48"/>
        <v>0</v>
      </c>
      <c r="I422" s="28">
        <v>13410100</v>
      </c>
      <c r="J422" s="29" t="s">
        <v>679</v>
      </c>
      <c r="K422" s="29" t="s">
        <v>680</v>
      </c>
      <c r="L422" s="29"/>
      <c r="M422" s="34"/>
    </row>
    <row r="423" spans="2:13" ht="45">
      <c r="B423" s="32" t="str">
        <f t="shared" si="42"/>
        <v>1</v>
      </c>
      <c r="C423" s="33" t="str">
        <f t="shared" si="43"/>
        <v>3</v>
      </c>
      <c r="D423" s="33" t="str">
        <f t="shared" si="44"/>
        <v>4</v>
      </c>
      <c r="E423" s="33" t="str">
        <f t="shared" si="45"/>
        <v>1</v>
      </c>
      <c r="F423" s="33" t="str">
        <f t="shared" si="46"/>
        <v>01</v>
      </c>
      <c r="G423" s="33" t="str">
        <f t="shared" si="47"/>
        <v>1</v>
      </c>
      <c r="H423" s="33" t="str">
        <f t="shared" si="48"/>
        <v>0</v>
      </c>
      <c r="I423" s="28">
        <v>13410110</v>
      </c>
      <c r="J423" s="29" t="s">
        <v>681</v>
      </c>
      <c r="K423" s="29" t="s">
        <v>682</v>
      </c>
      <c r="L423" s="29"/>
      <c r="M423" s="34"/>
    </row>
    <row r="424" spans="2:13" ht="30">
      <c r="B424" s="32" t="str">
        <f t="shared" si="42"/>
        <v>1</v>
      </c>
      <c r="C424" s="33" t="str">
        <f t="shared" si="43"/>
        <v>3</v>
      </c>
      <c r="D424" s="33" t="str">
        <f t="shared" si="44"/>
        <v>4</v>
      </c>
      <c r="E424" s="33" t="str">
        <f t="shared" si="45"/>
        <v>1</v>
      </c>
      <c r="F424" s="33" t="str">
        <f t="shared" si="46"/>
        <v>01</v>
      </c>
      <c r="G424" s="33" t="str">
        <f t="shared" si="47"/>
        <v>2</v>
      </c>
      <c r="H424" s="33" t="str">
        <f t="shared" si="48"/>
        <v>0</v>
      </c>
      <c r="I424" s="28">
        <v>13410120</v>
      </c>
      <c r="J424" s="29" t="s">
        <v>683</v>
      </c>
      <c r="K424" s="29" t="s">
        <v>684</v>
      </c>
      <c r="L424" s="29"/>
      <c r="M424" s="34"/>
    </row>
    <row r="425" spans="2:13" ht="30">
      <c r="B425" s="32" t="str">
        <f t="shared" si="42"/>
        <v>1</v>
      </c>
      <c r="C425" s="33" t="str">
        <f t="shared" si="43"/>
        <v>3</v>
      </c>
      <c r="D425" s="33" t="str">
        <f t="shared" si="44"/>
        <v>4</v>
      </c>
      <c r="E425" s="33" t="str">
        <f t="shared" si="45"/>
        <v>1</v>
      </c>
      <c r="F425" s="33" t="str">
        <f t="shared" si="46"/>
        <v>02</v>
      </c>
      <c r="G425" s="33" t="str">
        <f t="shared" si="47"/>
        <v>0</v>
      </c>
      <c r="H425" s="33" t="str">
        <f t="shared" si="48"/>
        <v>0</v>
      </c>
      <c r="I425" s="28">
        <v>13410200</v>
      </c>
      <c r="J425" s="29" t="s">
        <v>685</v>
      </c>
      <c r="K425" s="29" t="s">
        <v>678</v>
      </c>
      <c r="L425" s="29"/>
      <c r="M425" s="34"/>
    </row>
    <row r="426" spans="2:13" ht="45">
      <c r="B426" s="32" t="str">
        <f t="shared" si="42"/>
        <v>1</v>
      </c>
      <c r="C426" s="33" t="str">
        <f t="shared" si="43"/>
        <v>3</v>
      </c>
      <c r="D426" s="33" t="str">
        <f t="shared" si="44"/>
        <v>4</v>
      </c>
      <c r="E426" s="33" t="str">
        <f t="shared" si="45"/>
        <v>1</v>
      </c>
      <c r="F426" s="33" t="str">
        <f t="shared" si="46"/>
        <v>02</v>
      </c>
      <c r="G426" s="33" t="str">
        <f t="shared" si="47"/>
        <v>1</v>
      </c>
      <c r="H426" s="33" t="str">
        <f t="shared" si="48"/>
        <v>0</v>
      </c>
      <c r="I426" s="28">
        <v>13410210</v>
      </c>
      <c r="J426" s="29" t="s">
        <v>686</v>
      </c>
      <c r="K426" s="29" t="s">
        <v>687</v>
      </c>
      <c r="L426" s="29"/>
      <c r="M426" s="34"/>
    </row>
    <row r="427" spans="2:13" ht="97.5" customHeight="1">
      <c r="B427" s="32" t="str">
        <f t="shared" si="42"/>
        <v>1</v>
      </c>
      <c r="C427" s="33" t="str">
        <f t="shared" si="43"/>
        <v>3</v>
      </c>
      <c r="D427" s="33" t="str">
        <f t="shared" si="44"/>
        <v>4</v>
      </c>
      <c r="E427" s="33" t="str">
        <f t="shared" si="45"/>
        <v>1</v>
      </c>
      <c r="F427" s="33" t="str">
        <f t="shared" si="46"/>
        <v>02</v>
      </c>
      <c r="G427" s="33" t="str">
        <f t="shared" si="47"/>
        <v>2</v>
      </c>
      <c r="H427" s="33" t="str">
        <f t="shared" si="48"/>
        <v>0</v>
      </c>
      <c r="I427" s="28">
        <v>13410220</v>
      </c>
      <c r="J427" s="29" t="s">
        <v>688</v>
      </c>
      <c r="K427" s="29" t="s">
        <v>689</v>
      </c>
      <c r="L427" s="29"/>
      <c r="M427" s="34"/>
    </row>
    <row r="428" spans="2:13" ht="92.25" customHeight="1">
      <c r="B428" s="32" t="str">
        <f t="shared" si="42"/>
        <v>1</v>
      </c>
      <c r="C428" s="33" t="str">
        <f t="shared" si="43"/>
        <v>3</v>
      </c>
      <c r="D428" s="33" t="str">
        <f t="shared" si="44"/>
        <v>4</v>
      </c>
      <c r="E428" s="33" t="str">
        <f t="shared" si="45"/>
        <v>1</v>
      </c>
      <c r="F428" s="33" t="str">
        <f t="shared" si="46"/>
        <v>02</v>
      </c>
      <c r="G428" s="33" t="str">
        <f t="shared" si="47"/>
        <v>3</v>
      </c>
      <c r="H428" s="33" t="str">
        <f t="shared" si="48"/>
        <v>0</v>
      </c>
      <c r="I428" s="28">
        <v>13410230</v>
      </c>
      <c r="J428" s="29" t="s">
        <v>690</v>
      </c>
      <c r="K428" s="29" t="s">
        <v>691</v>
      </c>
      <c r="L428" s="29"/>
      <c r="M428" s="34"/>
    </row>
    <row r="429" spans="2:13" ht="75">
      <c r="B429" s="32" t="str">
        <f t="shared" si="42"/>
        <v>1</v>
      </c>
      <c r="C429" s="33" t="str">
        <f t="shared" si="43"/>
        <v>3</v>
      </c>
      <c r="D429" s="33" t="str">
        <f t="shared" si="44"/>
        <v>4</v>
      </c>
      <c r="E429" s="33" t="str">
        <f t="shared" si="45"/>
        <v>1</v>
      </c>
      <c r="F429" s="33" t="str">
        <f t="shared" si="46"/>
        <v>02</v>
      </c>
      <c r="G429" s="33" t="str">
        <f t="shared" si="47"/>
        <v>4</v>
      </c>
      <c r="H429" s="33" t="str">
        <f t="shared" si="48"/>
        <v>0</v>
      </c>
      <c r="I429" s="28">
        <v>13410240</v>
      </c>
      <c r="J429" s="29" t="s">
        <v>692</v>
      </c>
      <c r="K429" s="29" t="s">
        <v>693</v>
      </c>
      <c r="L429" s="29"/>
      <c r="M429" s="34"/>
    </row>
    <row r="430" spans="2:13" ht="30">
      <c r="B430" s="32" t="str">
        <f t="shared" si="42"/>
        <v>1</v>
      </c>
      <c r="C430" s="33" t="str">
        <f t="shared" si="43"/>
        <v>3</v>
      </c>
      <c r="D430" s="33" t="str">
        <f t="shared" si="44"/>
        <v>4</v>
      </c>
      <c r="E430" s="33" t="str">
        <f t="shared" si="45"/>
        <v>1</v>
      </c>
      <c r="F430" s="33" t="str">
        <f t="shared" si="46"/>
        <v>03</v>
      </c>
      <c r="G430" s="33" t="str">
        <f t="shared" si="47"/>
        <v>0</v>
      </c>
      <c r="H430" s="33" t="str">
        <f t="shared" si="48"/>
        <v>0</v>
      </c>
      <c r="I430" s="28">
        <v>13410300</v>
      </c>
      <c r="J430" s="29" t="s">
        <v>694</v>
      </c>
      <c r="K430" s="29" t="s">
        <v>678</v>
      </c>
      <c r="L430" s="29"/>
      <c r="M430" s="34"/>
    </row>
    <row r="431" spans="2:13" ht="45">
      <c r="B431" s="32" t="str">
        <f t="shared" si="42"/>
        <v>1</v>
      </c>
      <c r="C431" s="33" t="str">
        <f t="shared" si="43"/>
        <v>3</v>
      </c>
      <c r="D431" s="33" t="str">
        <f t="shared" si="44"/>
        <v>4</v>
      </c>
      <c r="E431" s="33" t="str">
        <f t="shared" si="45"/>
        <v>1</v>
      </c>
      <c r="F431" s="33" t="str">
        <f t="shared" si="46"/>
        <v>03</v>
      </c>
      <c r="G431" s="33" t="str">
        <f t="shared" si="47"/>
        <v>1</v>
      </c>
      <c r="H431" s="33" t="str">
        <f t="shared" si="48"/>
        <v>0</v>
      </c>
      <c r="I431" s="28">
        <v>13410310</v>
      </c>
      <c r="J431" s="29" t="s">
        <v>695</v>
      </c>
      <c r="K431" s="29" t="s">
        <v>696</v>
      </c>
      <c r="L431" s="29"/>
      <c r="M431" s="34"/>
    </row>
    <row r="432" spans="2:13" ht="150">
      <c r="B432" s="32" t="str">
        <f t="shared" si="42"/>
        <v>1</v>
      </c>
      <c r="C432" s="33" t="str">
        <f t="shared" si="43"/>
        <v>3</v>
      </c>
      <c r="D432" s="33" t="str">
        <f t="shared" si="44"/>
        <v>4</v>
      </c>
      <c r="E432" s="33" t="str">
        <f t="shared" si="45"/>
        <v>1</v>
      </c>
      <c r="F432" s="33" t="str">
        <f t="shared" si="46"/>
        <v>03</v>
      </c>
      <c r="G432" s="33" t="str">
        <f t="shared" si="47"/>
        <v>2</v>
      </c>
      <c r="H432" s="33" t="str">
        <f t="shared" si="48"/>
        <v>0</v>
      </c>
      <c r="I432" s="28">
        <v>13410320</v>
      </c>
      <c r="J432" s="29" t="s">
        <v>697</v>
      </c>
      <c r="K432" s="29" t="s">
        <v>698</v>
      </c>
      <c r="L432" s="29"/>
      <c r="M432" s="34"/>
    </row>
    <row r="433" spans="2:13" ht="93.75" customHeight="1">
      <c r="B433" s="32" t="str">
        <f t="shared" si="42"/>
        <v>1</v>
      </c>
      <c r="C433" s="33" t="str">
        <f t="shared" si="43"/>
        <v>3</v>
      </c>
      <c r="D433" s="33" t="str">
        <f t="shared" si="44"/>
        <v>4</v>
      </c>
      <c r="E433" s="33" t="str">
        <f t="shared" si="45"/>
        <v>1</v>
      </c>
      <c r="F433" s="33" t="str">
        <f t="shared" si="46"/>
        <v>03</v>
      </c>
      <c r="G433" s="33" t="str">
        <f t="shared" si="47"/>
        <v>3</v>
      </c>
      <c r="H433" s="33" t="str">
        <f t="shared" si="48"/>
        <v>0</v>
      </c>
      <c r="I433" s="28">
        <v>13410330</v>
      </c>
      <c r="J433" s="29" t="s">
        <v>699</v>
      </c>
      <c r="K433" s="29" t="s">
        <v>700</v>
      </c>
      <c r="L433" s="29"/>
      <c r="M433" s="34"/>
    </row>
    <row r="434" spans="2:13" ht="75">
      <c r="B434" s="32" t="str">
        <f t="shared" si="42"/>
        <v>1</v>
      </c>
      <c r="C434" s="33" t="str">
        <f t="shared" si="43"/>
        <v>3</v>
      </c>
      <c r="D434" s="33" t="str">
        <f t="shared" si="44"/>
        <v>4</v>
      </c>
      <c r="E434" s="33" t="str">
        <f t="shared" si="45"/>
        <v>1</v>
      </c>
      <c r="F434" s="33" t="str">
        <f t="shared" si="46"/>
        <v>03</v>
      </c>
      <c r="G434" s="33" t="str">
        <f t="shared" si="47"/>
        <v>4</v>
      </c>
      <c r="H434" s="33" t="str">
        <f t="shared" si="48"/>
        <v>0</v>
      </c>
      <c r="I434" s="28">
        <v>13410340</v>
      </c>
      <c r="J434" s="29" t="s">
        <v>701</v>
      </c>
      <c r="K434" s="29" t="s">
        <v>702</v>
      </c>
      <c r="L434" s="29"/>
      <c r="M434" s="34"/>
    </row>
    <row r="435" spans="2:13" ht="45">
      <c r="B435" s="32" t="str">
        <f t="shared" si="42"/>
        <v>1</v>
      </c>
      <c r="C435" s="33" t="str">
        <f t="shared" si="43"/>
        <v>3</v>
      </c>
      <c r="D435" s="33" t="str">
        <f t="shared" si="44"/>
        <v>4</v>
      </c>
      <c r="E435" s="33" t="str">
        <f t="shared" si="45"/>
        <v>1</v>
      </c>
      <c r="F435" s="33" t="str">
        <f t="shared" si="46"/>
        <v>04</v>
      </c>
      <c r="G435" s="33" t="str">
        <f t="shared" si="47"/>
        <v>0</v>
      </c>
      <c r="H435" s="33" t="str">
        <f t="shared" si="48"/>
        <v>0</v>
      </c>
      <c r="I435" s="28">
        <v>13410400</v>
      </c>
      <c r="J435" s="29" t="s">
        <v>703</v>
      </c>
      <c r="K435" s="29" t="s">
        <v>704</v>
      </c>
      <c r="L435" s="29"/>
      <c r="M435" s="34"/>
    </row>
    <row r="436" spans="2:13" ht="83.25" customHeight="1">
      <c r="B436" s="32" t="str">
        <f t="shared" si="42"/>
        <v>1</v>
      </c>
      <c r="C436" s="33" t="str">
        <f t="shared" si="43"/>
        <v>3</v>
      </c>
      <c r="D436" s="33" t="str">
        <f t="shared" si="44"/>
        <v>4</v>
      </c>
      <c r="E436" s="33" t="str">
        <f t="shared" si="45"/>
        <v>1</v>
      </c>
      <c r="F436" s="33" t="str">
        <f t="shared" si="46"/>
        <v>04</v>
      </c>
      <c r="G436" s="33" t="str">
        <f t="shared" si="47"/>
        <v>1</v>
      </c>
      <c r="H436" s="33" t="str">
        <f t="shared" si="48"/>
        <v>0</v>
      </c>
      <c r="I436" s="28">
        <v>13410410</v>
      </c>
      <c r="J436" s="29" t="s">
        <v>705</v>
      </c>
      <c r="K436" s="29" t="s">
        <v>706</v>
      </c>
      <c r="L436" s="29"/>
      <c r="M436" s="34"/>
    </row>
    <row r="437" spans="2:13" ht="114" customHeight="1">
      <c r="B437" s="32" t="str">
        <f t="shared" si="42"/>
        <v>1</v>
      </c>
      <c r="C437" s="33" t="str">
        <f t="shared" si="43"/>
        <v>3</v>
      </c>
      <c r="D437" s="33" t="str">
        <f t="shared" si="44"/>
        <v>4</v>
      </c>
      <c r="E437" s="33" t="str">
        <f t="shared" si="45"/>
        <v>1</v>
      </c>
      <c r="F437" s="33" t="str">
        <f t="shared" si="46"/>
        <v>04</v>
      </c>
      <c r="G437" s="33" t="str">
        <f t="shared" si="47"/>
        <v>2</v>
      </c>
      <c r="H437" s="33" t="str">
        <f t="shared" si="48"/>
        <v>0</v>
      </c>
      <c r="I437" s="28">
        <v>13410420</v>
      </c>
      <c r="J437" s="29" t="s">
        <v>707</v>
      </c>
      <c r="K437" s="29" t="s">
        <v>708</v>
      </c>
      <c r="L437" s="29"/>
      <c r="M437" s="34"/>
    </row>
    <row r="438" spans="2:13" ht="73.5" customHeight="1">
      <c r="B438" s="32" t="str">
        <f t="shared" si="42"/>
        <v>1</v>
      </c>
      <c r="C438" s="33" t="str">
        <f t="shared" si="43"/>
        <v>3</v>
      </c>
      <c r="D438" s="33" t="str">
        <f t="shared" si="44"/>
        <v>4</v>
      </c>
      <c r="E438" s="33" t="str">
        <f t="shared" si="45"/>
        <v>1</v>
      </c>
      <c r="F438" s="33" t="str">
        <f t="shared" si="46"/>
        <v>04</v>
      </c>
      <c r="G438" s="33" t="str">
        <f t="shared" si="47"/>
        <v>3</v>
      </c>
      <c r="H438" s="33" t="str">
        <f t="shared" si="48"/>
        <v>0</v>
      </c>
      <c r="I438" s="28">
        <v>13410430</v>
      </c>
      <c r="J438" s="29" t="s">
        <v>709</v>
      </c>
      <c r="K438" s="29" t="s">
        <v>710</v>
      </c>
      <c r="L438" s="29"/>
      <c r="M438" s="34"/>
    </row>
    <row r="439" spans="2:13" ht="72" customHeight="1">
      <c r="B439" s="32" t="str">
        <f t="shared" si="42"/>
        <v>1</v>
      </c>
      <c r="C439" s="33" t="str">
        <f t="shared" si="43"/>
        <v>3</v>
      </c>
      <c r="D439" s="33" t="str">
        <f t="shared" si="44"/>
        <v>4</v>
      </c>
      <c r="E439" s="33" t="str">
        <f t="shared" si="45"/>
        <v>1</v>
      </c>
      <c r="F439" s="33" t="str">
        <f t="shared" si="46"/>
        <v>04</v>
      </c>
      <c r="G439" s="33" t="str">
        <f t="shared" si="47"/>
        <v>4</v>
      </c>
      <c r="H439" s="33" t="str">
        <f t="shared" si="48"/>
        <v>0</v>
      </c>
      <c r="I439" s="28">
        <v>13410440</v>
      </c>
      <c r="J439" s="29" t="s">
        <v>711</v>
      </c>
      <c r="K439" s="29" t="s">
        <v>712</v>
      </c>
      <c r="L439" s="29"/>
      <c r="M439" s="34"/>
    </row>
    <row r="440" spans="2:13" ht="45">
      <c r="B440" s="32" t="str">
        <f t="shared" si="42"/>
        <v>1</v>
      </c>
      <c r="C440" s="33" t="str">
        <f t="shared" si="43"/>
        <v>3</v>
      </c>
      <c r="D440" s="33" t="str">
        <f t="shared" si="44"/>
        <v>4</v>
      </c>
      <c r="E440" s="33" t="str">
        <f t="shared" si="45"/>
        <v>2</v>
      </c>
      <c r="F440" s="33" t="str">
        <f t="shared" si="46"/>
        <v>00</v>
      </c>
      <c r="G440" s="33" t="str">
        <f t="shared" si="47"/>
        <v>0</v>
      </c>
      <c r="H440" s="33" t="str">
        <f t="shared" si="48"/>
        <v>0</v>
      </c>
      <c r="I440" s="28">
        <v>13420000</v>
      </c>
      <c r="J440" s="29" t="s">
        <v>713</v>
      </c>
      <c r="K440" s="29" t="s">
        <v>714</v>
      </c>
      <c r="L440" s="29"/>
      <c r="M440" s="34"/>
    </row>
    <row r="441" spans="2:13" ht="45">
      <c r="B441" s="32" t="str">
        <f t="shared" si="42"/>
        <v>1</v>
      </c>
      <c r="C441" s="33" t="str">
        <f t="shared" si="43"/>
        <v>3</v>
      </c>
      <c r="D441" s="33" t="str">
        <f t="shared" si="44"/>
        <v>4</v>
      </c>
      <c r="E441" s="33" t="str">
        <f t="shared" si="45"/>
        <v>2</v>
      </c>
      <c r="F441" s="33" t="str">
        <f t="shared" si="46"/>
        <v>02</v>
      </c>
      <c r="G441" s="33" t="str">
        <f t="shared" si="47"/>
        <v>0</v>
      </c>
      <c r="H441" s="33" t="str">
        <f t="shared" si="48"/>
        <v>0</v>
      </c>
      <c r="I441" s="28">
        <v>13420200</v>
      </c>
      <c r="J441" s="29" t="s">
        <v>715</v>
      </c>
      <c r="K441" s="29" t="s">
        <v>716</v>
      </c>
      <c r="L441" s="29"/>
      <c r="M441" s="34"/>
    </row>
    <row r="442" spans="2:13" ht="60">
      <c r="B442" s="32" t="str">
        <f t="shared" si="42"/>
        <v>1</v>
      </c>
      <c r="C442" s="33" t="str">
        <f t="shared" si="43"/>
        <v>3</v>
      </c>
      <c r="D442" s="33" t="str">
        <f t="shared" si="44"/>
        <v>4</v>
      </c>
      <c r="E442" s="33" t="str">
        <f t="shared" si="45"/>
        <v>2</v>
      </c>
      <c r="F442" s="33" t="str">
        <f t="shared" si="46"/>
        <v>02</v>
      </c>
      <c r="G442" s="33" t="str">
        <f t="shared" si="47"/>
        <v>1</v>
      </c>
      <c r="H442" s="33" t="str">
        <f t="shared" si="48"/>
        <v>0</v>
      </c>
      <c r="I442" s="28">
        <v>13420210</v>
      </c>
      <c r="J442" s="29" t="s">
        <v>717</v>
      </c>
      <c r="K442" s="29" t="s">
        <v>718</v>
      </c>
      <c r="L442" s="29"/>
      <c r="M442" s="34"/>
    </row>
    <row r="443" spans="2:13" ht="60">
      <c r="B443" s="32" t="str">
        <f t="shared" si="42"/>
        <v>1</v>
      </c>
      <c r="C443" s="33" t="str">
        <f t="shared" si="43"/>
        <v>3</v>
      </c>
      <c r="D443" s="33" t="str">
        <f t="shared" si="44"/>
        <v>4</v>
      </c>
      <c r="E443" s="33" t="str">
        <f t="shared" si="45"/>
        <v>2</v>
      </c>
      <c r="F443" s="33" t="str">
        <f t="shared" si="46"/>
        <v>02</v>
      </c>
      <c r="G443" s="33" t="str">
        <f t="shared" si="47"/>
        <v>4</v>
      </c>
      <c r="H443" s="33" t="str">
        <f t="shared" si="48"/>
        <v>0</v>
      </c>
      <c r="I443" s="28">
        <v>13420240</v>
      </c>
      <c r="J443" s="29" t="s">
        <v>719</v>
      </c>
      <c r="K443" s="29" t="s">
        <v>720</v>
      </c>
      <c r="L443" s="29"/>
      <c r="M443" s="34"/>
    </row>
    <row r="444" spans="2:13" ht="45">
      <c r="B444" s="32" t="str">
        <f t="shared" si="42"/>
        <v>1</v>
      </c>
      <c r="C444" s="33" t="str">
        <f t="shared" si="43"/>
        <v>3</v>
      </c>
      <c r="D444" s="33" t="str">
        <f t="shared" si="44"/>
        <v>4</v>
      </c>
      <c r="E444" s="33" t="str">
        <f t="shared" si="45"/>
        <v>2</v>
      </c>
      <c r="F444" s="33" t="str">
        <f t="shared" si="46"/>
        <v>03</v>
      </c>
      <c r="G444" s="33" t="str">
        <f t="shared" si="47"/>
        <v>0</v>
      </c>
      <c r="H444" s="33" t="str">
        <f t="shared" si="48"/>
        <v>0</v>
      </c>
      <c r="I444" s="28">
        <v>13420300</v>
      </c>
      <c r="J444" s="29" t="s">
        <v>721</v>
      </c>
      <c r="K444" s="29" t="s">
        <v>722</v>
      </c>
      <c r="L444" s="29"/>
      <c r="M444" s="34"/>
    </row>
    <row r="445" spans="2:13" ht="60">
      <c r="B445" s="32" t="str">
        <f t="shared" si="42"/>
        <v>1</v>
      </c>
      <c r="C445" s="33" t="str">
        <f t="shared" si="43"/>
        <v>3</v>
      </c>
      <c r="D445" s="33" t="str">
        <f t="shared" si="44"/>
        <v>4</v>
      </c>
      <c r="E445" s="33" t="str">
        <f t="shared" si="45"/>
        <v>2</v>
      </c>
      <c r="F445" s="33" t="str">
        <f t="shared" si="46"/>
        <v>03</v>
      </c>
      <c r="G445" s="33" t="str">
        <f t="shared" si="47"/>
        <v>1</v>
      </c>
      <c r="H445" s="33" t="str">
        <f t="shared" si="48"/>
        <v>0</v>
      </c>
      <c r="I445" s="28">
        <v>13420310</v>
      </c>
      <c r="J445" s="29" t="s">
        <v>723</v>
      </c>
      <c r="K445" s="29" t="s">
        <v>724</v>
      </c>
      <c r="L445" s="29"/>
      <c r="M445" s="34"/>
    </row>
    <row r="446" spans="2:13" ht="60">
      <c r="B446" s="32" t="str">
        <f t="shared" si="42"/>
        <v>1</v>
      </c>
      <c r="C446" s="33" t="str">
        <f t="shared" si="43"/>
        <v>3</v>
      </c>
      <c r="D446" s="33" t="str">
        <f t="shared" si="44"/>
        <v>4</v>
      </c>
      <c r="E446" s="33" t="str">
        <f t="shared" si="45"/>
        <v>2</v>
      </c>
      <c r="F446" s="33" t="str">
        <f t="shared" si="46"/>
        <v>03</v>
      </c>
      <c r="G446" s="33" t="str">
        <f t="shared" si="47"/>
        <v>4</v>
      </c>
      <c r="H446" s="33" t="str">
        <f t="shared" si="48"/>
        <v>0</v>
      </c>
      <c r="I446" s="28">
        <v>13420340</v>
      </c>
      <c r="J446" s="29" t="s">
        <v>725</v>
      </c>
      <c r="K446" s="29" t="s">
        <v>726</v>
      </c>
      <c r="L446" s="29"/>
      <c r="M446" s="34"/>
    </row>
    <row r="447" spans="2:13" ht="45">
      <c r="B447" s="32" t="str">
        <f t="shared" si="42"/>
        <v>1</v>
      </c>
      <c r="C447" s="33" t="str">
        <f t="shared" si="43"/>
        <v>3</v>
      </c>
      <c r="D447" s="33" t="str">
        <f t="shared" si="44"/>
        <v>4</v>
      </c>
      <c r="E447" s="33" t="str">
        <f t="shared" si="45"/>
        <v>3</v>
      </c>
      <c r="F447" s="33" t="str">
        <f t="shared" si="46"/>
        <v>00</v>
      </c>
      <c r="G447" s="33" t="str">
        <f t="shared" si="47"/>
        <v>0</v>
      </c>
      <c r="H447" s="33" t="str">
        <f t="shared" si="48"/>
        <v>0</v>
      </c>
      <c r="I447" s="28">
        <v>13430000</v>
      </c>
      <c r="J447" s="29" t="s">
        <v>727</v>
      </c>
      <c r="K447" s="29" t="s">
        <v>728</v>
      </c>
      <c r="L447" s="29"/>
      <c r="M447" s="34"/>
    </row>
    <row r="448" spans="2:13" ht="30">
      <c r="B448" s="32" t="str">
        <f t="shared" si="42"/>
        <v>1</v>
      </c>
      <c r="C448" s="33" t="str">
        <f t="shared" si="43"/>
        <v>3</v>
      </c>
      <c r="D448" s="33" t="str">
        <f t="shared" si="44"/>
        <v>4</v>
      </c>
      <c r="E448" s="33" t="str">
        <f t="shared" si="45"/>
        <v>3</v>
      </c>
      <c r="F448" s="33" t="str">
        <f t="shared" si="46"/>
        <v>01</v>
      </c>
      <c r="G448" s="33" t="str">
        <f t="shared" si="47"/>
        <v>0</v>
      </c>
      <c r="H448" s="33" t="str">
        <f t="shared" si="48"/>
        <v>0</v>
      </c>
      <c r="I448" s="28">
        <v>13430100</v>
      </c>
      <c r="J448" s="29" t="s">
        <v>729</v>
      </c>
      <c r="K448" s="29" t="s">
        <v>730</v>
      </c>
      <c r="L448" s="29"/>
      <c r="M448" s="34"/>
    </row>
    <row r="449" spans="2:13" ht="45">
      <c r="B449" s="32" t="str">
        <f t="shared" si="42"/>
        <v>1</v>
      </c>
      <c r="C449" s="33" t="str">
        <f t="shared" si="43"/>
        <v>3</v>
      </c>
      <c r="D449" s="33" t="str">
        <f t="shared" si="44"/>
        <v>4</v>
      </c>
      <c r="E449" s="33" t="str">
        <f t="shared" si="45"/>
        <v>3</v>
      </c>
      <c r="F449" s="33" t="str">
        <f t="shared" si="46"/>
        <v>01</v>
      </c>
      <c r="G449" s="33" t="str">
        <f t="shared" si="47"/>
        <v>1</v>
      </c>
      <c r="H449" s="33" t="str">
        <f t="shared" si="48"/>
        <v>0</v>
      </c>
      <c r="I449" s="28">
        <v>13430110</v>
      </c>
      <c r="J449" s="29" t="s">
        <v>731</v>
      </c>
      <c r="K449" s="29" t="s">
        <v>732</v>
      </c>
      <c r="L449" s="29"/>
      <c r="M449" s="34"/>
    </row>
    <row r="450" spans="2:13" ht="45">
      <c r="B450" s="32" t="str">
        <f t="shared" si="42"/>
        <v>1</v>
      </c>
      <c r="C450" s="33" t="str">
        <f t="shared" si="43"/>
        <v>3</v>
      </c>
      <c r="D450" s="33" t="str">
        <f t="shared" si="44"/>
        <v>4</v>
      </c>
      <c r="E450" s="33" t="str">
        <f t="shared" si="45"/>
        <v>3</v>
      </c>
      <c r="F450" s="33" t="str">
        <f t="shared" si="46"/>
        <v>01</v>
      </c>
      <c r="G450" s="33" t="str">
        <f t="shared" si="47"/>
        <v>2</v>
      </c>
      <c r="H450" s="33" t="str">
        <f t="shared" si="48"/>
        <v>0</v>
      </c>
      <c r="I450" s="28">
        <v>13430120</v>
      </c>
      <c r="J450" s="29" t="s">
        <v>733</v>
      </c>
      <c r="K450" s="29" t="s">
        <v>734</v>
      </c>
      <c r="L450" s="29"/>
      <c r="M450" s="34"/>
    </row>
    <row r="451" spans="2:13" ht="75">
      <c r="B451" s="32" t="str">
        <f t="shared" si="42"/>
        <v>1</v>
      </c>
      <c r="C451" s="33" t="str">
        <f t="shared" si="43"/>
        <v>3</v>
      </c>
      <c r="D451" s="33" t="str">
        <f t="shared" si="44"/>
        <v>4</v>
      </c>
      <c r="E451" s="33" t="str">
        <f t="shared" si="45"/>
        <v>3</v>
      </c>
      <c r="F451" s="33" t="str">
        <f t="shared" si="46"/>
        <v>01</v>
      </c>
      <c r="G451" s="33" t="str">
        <f t="shared" si="47"/>
        <v>3</v>
      </c>
      <c r="H451" s="33" t="str">
        <f t="shared" si="48"/>
        <v>0</v>
      </c>
      <c r="I451" s="28">
        <v>13430130</v>
      </c>
      <c r="J451" s="29" t="s">
        <v>735</v>
      </c>
      <c r="K451" s="29" t="s">
        <v>736</v>
      </c>
      <c r="L451" s="29"/>
      <c r="M451" s="34"/>
    </row>
    <row r="452" spans="2:13" ht="45">
      <c r="B452" s="32" t="str">
        <f t="shared" si="42"/>
        <v>1</v>
      </c>
      <c r="C452" s="33" t="str">
        <f t="shared" si="43"/>
        <v>3</v>
      </c>
      <c r="D452" s="33" t="str">
        <f t="shared" si="44"/>
        <v>4</v>
      </c>
      <c r="E452" s="33" t="str">
        <f t="shared" si="45"/>
        <v>3</v>
      </c>
      <c r="F452" s="33" t="str">
        <f t="shared" si="46"/>
        <v>02</v>
      </c>
      <c r="G452" s="33" t="str">
        <f t="shared" si="47"/>
        <v>0</v>
      </c>
      <c r="H452" s="33" t="str">
        <f t="shared" si="48"/>
        <v>0</v>
      </c>
      <c r="I452" s="28">
        <v>13430200</v>
      </c>
      <c r="J452" s="29" t="s">
        <v>737</v>
      </c>
      <c r="K452" s="29" t="s">
        <v>738</v>
      </c>
      <c r="L452" s="29"/>
      <c r="M452" s="34"/>
    </row>
    <row r="453" spans="2:13" ht="60">
      <c r="B453" s="32" t="str">
        <f t="shared" si="42"/>
        <v>1</v>
      </c>
      <c r="C453" s="33" t="str">
        <f t="shared" si="43"/>
        <v>3</v>
      </c>
      <c r="D453" s="33" t="str">
        <f t="shared" si="44"/>
        <v>4</v>
      </c>
      <c r="E453" s="33" t="str">
        <f t="shared" si="45"/>
        <v>3</v>
      </c>
      <c r="F453" s="33" t="str">
        <f t="shared" si="46"/>
        <v>02</v>
      </c>
      <c r="G453" s="33" t="str">
        <f t="shared" si="47"/>
        <v>1</v>
      </c>
      <c r="H453" s="33" t="str">
        <f t="shared" si="48"/>
        <v>0</v>
      </c>
      <c r="I453" s="28">
        <v>13430210</v>
      </c>
      <c r="J453" s="29" t="s">
        <v>739</v>
      </c>
      <c r="K453" s="29" t="s">
        <v>740</v>
      </c>
      <c r="L453" s="29"/>
      <c r="M453" s="34"/>
    </row>
    <row r="454" spans="2:13" ht="60">
      <c r="B454" s="32" t="str">
        <f t="shared" ref="B454:B518" si="49">MID($I454,1,1)</f>
        <v>1</v>
      </c>
      <c r="C454" s="33" t="str">
        <f t="shared" ref="C454:C518" si="50">MID($I454,2,1)</f>
        <v>3</v>
      </c>
      <c r="D454" s="33" t="str">
        <f t="shared" ref="D454:D518" si="51">MID($I454,3,1)</f>
        <v>4</v>
      </c>
      <c r="E454" s="33" t="str">
        <f t="shared" ref="E454:E518" si="52">MID($I454,4,1)</f>
        <v>3</v>
      </c>
      <c r="F454" s="33" t="str">
        <f t="shared" ref="F454:F518" si="53">MID($I454,5,2)</f>
        <v>02</v>
      </c>
      <c r="G454" s="33" t="str">
        <f t="shared" ref="G454:G518" si="54">MID($I454,7,1)</f>
        <v>4</v>
      </c>
      <c r="H454" s="33" t="str">
        <f t="shared" ref="H454:H518" si="55">MID($I454,8,1)</f>
        <v>0</v>
      </c>
      <c r="I454" s="28">
        <v>13430240</v>
      </c>
      <c r="J454" s="29" t="s">
        <v>741</v>
      </c>
      <c r="K454" s="29" t="s">
        <v>742</v>
      </c>
      <c r="L454" s="29"/>
      <c r="M454" s="34"/>
    </row>
    <row r="455" spans="2:13">
      <c r="B455" s="32" t="str">
        <f t="shared" si="49"/>
        <v>1</v>
      </c>
      <c r="C455" s="33" t="str">
        <f t="shared" si="50"/>
        <v>3</v>
      </c>
      <c r="D455" s="33" t="str">
        <f t="shared" si="51"/>
        <v>4</v>
      </c>
      <c r="E455" s="33" t="str">
        <f t="shared" si="52"/>
        <v>4</v>
      </c>
      <c r="F455" s="33" t="str">
        <f t="shared" si="53"/>
        <v>00</v>
      </c>
      <c r="G455" s="33" t="str">
        <f t="shared" si="54"/>
        <v>0</v>
      </c>
      <c r="H455" s="33" t="str">
        <f t="shared" si="55"/>
        <v>0</v>
      </c>
      <c r="I455" s="28">
        <v>13440000</v>
      </c>
      <c r="J455" s="29" t="s">
        <v>743</v>
      </c>
      <c r="K455" s="29" t="s">
        <v>744</v>
      </c>
      <c r="L455" s="29"/>
      <c r="M455" s="34"/>
    </row>
    <row r="456" spans="2:13">
      <c r="B456" s="32" t="str">
        <f t="shared" si="49"/>
        <v>1</v>
      </c>
      <c r="C456" s="33" t="str">
        <f t="shared" si="50"/>
        <v>3</v>
      </c>
      <c r="D456" s="33" t="str">
        <f t="shared" si="51"/>
        <v>4</v>
      </c>
      <c r="E456" s="33" t="str">
        <f t="shared" si="52"/>
        <v>4</v>
      </c>
      <c r="F456" s="33" t="str">
        <f t="shared" si="53"/>
        <v>01</v>
      </c>
      <c r="G456" s="33" t="str">
        <f t="shared" si="54"/>
        <v>0</v>
      </c>
      <c r="H456" s="33" t="str">
        <f t="shared" si="55"/>
        <v>0</v>
      </c>
      <c r="I456" s="28">
        <v>13440100</v>
      </c>
      <c r="J456" s="29" t="s">
        <v>745</v>
      </c>
      <c r="K456" s="29" t="s">
        <v>746</v>
      </c>
      <c r="L456" s="29"/>
      <c r="M456" s="34"/>
    </row>
    <row r="457" spans="2:13">
      <c r="B457" s="32" t="str">
        <f t="shared" si="49"/>
        <v>1</v>
      </c>
      <c r="C457" s="33" t="str">
        <f t="shared" si="50"/>
        <v>3</v>
      </c>
      <c r="D457" s="33" t="str">
        <f t="shared" si="51"/>
        <v>4</v>
      </c>
      <c r="E457" s="33" t="str">
        <f t="shared" si="52"/>
        <v>4</v>
      </c>
      <c r="F457" s="33" t="str">
        <f t="shared" si="53"/>
        <v>01</v>
      </c>
      <c r="G457" s="33" t="str">
        <f t="shared" si="54"/>
        <v>1</v>
      </c>
      <c r="H457" s="33" t="str">
        <f t="shared" si="55"/>
        <v>0</v>
      </c>
      <c r="I457" s="28">
        <v>13440110</v>
      </c>
      <c r="J457" s="29" t="s">
        <v>745</v>
      </c>
      <c r="K457" s="29" t="s">
        <v>746</v>
      </c>
      <c r="L457" s="29"/>
      <c r="M457" s="34"/>
    </row>
    <row r="458" spans="2:13" ht="30">
      <c r="B458" s="32" t="str">
        <f t="shared" si="49"/>
        <v>1</v>
      </c>
      <c r="C458" s="33" t="str">
        <f t="shared" si="50"/>
        <v>3</v>
      </c>
      <c r="D458" s="33" t="str">
        <f t="shared" si="51"/>
        <v>4</v>
      </c>
      <c r="E458" s="33" t="str">
        <f t="shared" si="52"/>
        <v>4</v>
      </c>
      <c r="F458" s="33" t="str">
        <f t="shared" si="53"/>
        <v>02</v>
      </c>
      <c r="G458" s="33" t="str">
        <f t="shared" si="54"/>
        <v>0</v>
      </c>
      <c r="H458" s="33" t="str">
        <f t="shared" si="55"/>
        <v>0</v>
      </c>
      <c r="I458" s="28">
        <v>13440200</v>
      </c>
      <c r="J458" s="29" t="s">
        <v>747</v>
      </c>
      <c r="K458" s="29" t="s">
        <v>748</v>
      </c>
      <c r="L458" s="29"/>
      <c r="M458" s="34"/>
    </row>
    <row r="459" spans="2:13" ht="30">
      <c r="B459" s="32" t="str">
        <f t="shared" si="49"/>
        <v>1</v>
      </c>
      <c r="C459" s="33" t="str">
        <f t="shared" si="50"/>
        <v>3</v>
      </c>
      <c r="D459" s="33" t="str">
        <f t="shared" si="51"/>
        <v>4</v>
      </c>
      <c r="E459" s="33" t="str">
        <f t="shared" si="52"/>
        <v>4</v>
      </c>
      <c r="F459" s="33" t="str">
        <f t="shared" si="53"/>
        <v>02</v>
      </c>
      <c r="G459" s="33" t="str">
        <f t="shared" si="54"/>
        <v>1</v>
      </c>
      <c r="H459" s="33" t="str">
        <f t="shared" si="55"/>
        <v>0</v>
      </c>
      <c r="I459" s="28">
        <v>13440210</v>
      </c>
      <c r="J459" s="29" t="s">
        <v>747</v>
      </c>
      <c r="K459" s="29" t="s">
        <v>748</v>
      </c>
      <c r="L459" s="29"/>
      <c r="M459" s="34"/>
    </row>
    <row r="460" spans="2:13" ht="30">
      <c r="B460" s="32" t="str">
        <f t="shared" si="49"/>
        <v>1</v>
      </c>
      <c r="C460" s="33" t="str">
        <f t="shared" si="50"/>
        <v>3</v>
      </c>
      <c r="D460" s="33" t="str">
        <f t="shared" si="51"/>
        <v>4</v>
      </c>
      <c r="E460" s="33" t="str">
        <f t="shared" si="52"/>
        <v>5</v>
      </c>
      <c r="F460" s="33" t="str">
        <f t="shared" si="53"/>
        <v>00</v>
      </c>
      <c r="G460" s="33" t="str">
        <f t="shared" si="54"/>
        <v>0</v>
      </c>
      <c r="H460" s="33" t="str">
        <f t="shared" si="55"/>
        <v>0</v>
      </c>
      <c r="I460" s="28">
        <v>13450000</v>
      </c>
      <c r="J460" s="29" t="s">
        <v>749</v>
      </c>
      <c r="K460" s="29" t="s">
        <v>750</v>
      </c>
      <c r="L460" s="29"/>
      <c r="M460" s="34"/>
    </row>
    <row r="461" spans="2:13" ht="75">
      <c r="B461" s="32" t="str">
        <f t="shared" si="49"/>
        <v>1</v>
      </c>
      <c r="C461" s="33" t="str">
        <f t="shared" si="50"/>
        <v>3</v>
      </c>
      <c r="D461" s="33" t="str">
        <f t="shared" si="51"/>
        <v>4</v>
      </c>
      <c r="E461" s="33" t="str">
        <f t="shared" si="52"/>
        <v>5</v>
      </c>
      <c r="F461" s="33" t="str">
        <f t="shared" si="53"/>
        <v>01</v>
      </c>
      <c r="G461" s="33" t="str">
        <f t="shared" si="54"/>
        <v>0</v>
      </c>
      <c r="H461" s="33" t="str">
        <f t="shared" si="55"/>
        <v>0</v>
      </c>
      <c r="I461" s="28">
        <v>13450100</v>
      </c>
      <c r="J461" s="29" t="s">
        <v>751</v>
      </c>
      <c r="K461" s="29" t="s">
        <v>752</v>
      </c>
      <c r="L461" s="29"/>
      <c r="M461" s="34"/>
    </row>
    <row r="462" spans="2:13" ht="75">
      <c r="B462" s="32" t="str">
        <f t="shared" si="49"/>
        <v>1</v>
      </c>
      <c r="C462" s="33" t="str">
        <f t="shared" si="50"/>
        <v>3</v>
      </c>
      <c r="D462" s="33" t="str">
        <f t="shared" si="51"/>
        <v>4</v>
      </c>
      <c r="E462" s="33" t="str">
        <f t="shared" si="52"/>
        <v>5</v>
      </c>
      <c r="F462" s="33" t="str">
        <f t="shared" si="53"/>
        <v>01</v>
      </c>
      <c r="G462" s="33" t="str">
        <f t="shared" si="54"/>
        <v>1</v>
      </c>
      <c r="H462" s="33" t="str">
        <f t="shared" si="55"/>
        <v>0</v>
      </c>
      <c r="I462" s="28">
        <v>13450110</v>
      </c>
      <c r="J462" s="29" t="s">
        <v>751</v>
      </c>
      <c r="K462" s="29" t="s">
        <v>752</v>
      </c>
      <c r="L462" s="29"/>
      <c r="M462" s="34"/>
    </row>
    <row r="463" spans="2:13" ht="30">
      <c r="B463" s="32" t="str">
        <f t="shared" si="49"/>
        <v>1</v>
      </c>
      <c r="C463" s="33" t="str">
        <f t="shared" si="50"/>
        <v>3</v>
      </c>
      <c r="D463" s="33" t="str">
        <f t="shared" si="51"/>
        <v>4</v>
      </c>
      <c r="E463" s="33" t="str">
        <f t="shared" si="52"/>
        <v>5</v>
      </c>
      <c r="F463" s="33" t="str">
        <f t="shared" si="53"/>
        <v>02</v>
      </c>
      <c r="G463" s="33" t="str">
        <f t="shared" si="54"/>
        <v>0</v>
      </c>
      <c r="H463" s="33" t="str">
        <f t="shared" si="55"/>
        <v>0</v>
      </c>
      <c r="I463" s="28">
        <v>13450200</v>
      </c>
      <c r="J463" s="29" t="s">
        <v>753</v>
      </c>
      <c r="K463" s="29" t="s">
        <v>754</v>
      </c>
      <c r="L463" s="29"/>
      <c r="M463" s="34"/>
    </row>
    <row r="464" spans="2:13" ht="30">
      <c r="B464" s="32" t="str">
        <f t="shared" si="49"/>
        <v>1</v>
      </c>
      <c r="C464" s="33" t="str">
        <f t="shared" si="50"/>
        <v>3</v>
      </c>
      <c r="D464" s="33" t="str">
        <f t="shared" si="51"/>
        <v>4</v>
      </c>
      <c r="E464" s="33" t="str">
        <f t="shared" si="52"/>
        <v>5</v>
      </c>
      <c r="F464" s="33" t="str">
        <f t="shared" si="53"/>
        <v>02</v>
      </c>
      <c r="G464" s="33" t="str">
        <f t="shared" si="54"/>
        <v>1</v>
      </c>
      <c r="H464" s="33" t="str">
        <f t="shared" si="55"/>
        <v>0</v>
      </c>
      <c r="I464" s="28">
        <v>13450210</v>
      </c>
      <c r="J464" s="29" t="s">
        <v>753</v>
      </c>
      <c r="K464" s="29" t="s">
        <v>754</v>
      </c>
      <c r="L464" s="29"/>
      <c r="M464" s="34"/>
    </row>
    <row r="465" spans="2:13" ht="30">
      <c r="B465" s="32" t="str">
        <f t="shared" si="49"/>
        <v>1</v>
      </c>
      <c r="C465" s="33" t="str">
        <f t="shared" si="50"/>
        <v>3</v>
      </c>
      <c r="D465" s="33" t="str">
        <f t="shared" si="51"/>
        <v>4</v>
      </c>
      <c r="E465" s="33" t="str">
        <f t="shared" si="52"/>
        <v>5</v>
      </c>
      <c r="F465" s="33" t="str">
        <f t="shared" si="53"/>
        <v>03</v>
      </c>
      <c r="G465" s="33" t="str">
        <f t="shared" si="54"/>
        <v>0</v>
      </c>
      <c r="H465" s="33" t="str">
        <f t="shared" si="55"/>
        <v>0</v>
      </c>
      <c r="I465" s="28">
        <v>13450300</v>
      </c>
      <c r="J465" s="29" t="s">
        <v>755</v>
      </c>
      <c r="K465" s="29" t="s">
        <v>756</v>
      </c>
      <c r="L465" s="29"/>
      <c r="M465" s="34"/>
    </row>
    <row r="466" spans="2:13" ht="30">
      <c r="B466" s="32" t="str">
        <f t="shared" si="49"/>
        <v>1</v>
      </c>
      <c r="C466" s="33" t="str">
        <f t="shared" si="50"/>
        <v>3</v>
      </c>
      <c r="D466" s="33" t="str">
        <f t="shared" si="51"/>
        <v>4</v>
      </c>
      <c r="E466" s="33" t="str">
        <f t="shared" si="52"/>
        <v>5</v>
      </c>
      <c r="F466" s="33" t="str">
        <f t="shared" si="53"/>
        <v>03</v>
      </c>
      <c r="G466" s="33" t="str">
        <f t="shared" si="54"/>
        <v>1</v>
      </c>
      <c r="H466" s="33" t="str">
        <f t="shared" si="55"/>
        <v>0</v>
      </c>
      <c r="I466" s="28">
        <v>13450310</v>
      </c>
      <c r="J466" s="29" t="s">
        <v>757</v>
      </c>
      <c r="K466" s="29" t="s">
        <v>758</v>
      </c>
      <c r="L466" s="29"/>
      <c r="M466" s="34"/>
    </row>
    <row r="467" spans="2:13" ht="30">
      <c r="B467" s="32" t="str">
        <f t="shared" si="49"/>
        <v>1</v>
      </c>
      <c r="C467" s="33" t="str">
        <f t="shared" si="50"/>
        <v>3</v>
      </c>
      <c r="D467" s="33" t="str">
        <f t="shared" si="51"/>
        <v>4</v>
      </c>
      <c r="E467" s="33" t="str">
        <f t="shared" si="52"/>
        <v>5</v>
      </c>
      <c r="F467" s="33" t="str">
        <f t="shared" si="53"/>
        <v>03</v>
      </c>
      <c r="G467" s="33" t="str">
        <f t="shared" si="54"/>
        <v>2</v>
      </c>
      <c r="H467" s="33" t="str">
        <f t="shared" si="55"/>
        <v>0</v>
      </c>
      <c r="I467" s="28">
        <v>13450320</v>
      </c>
      <c r="J467" s="29" t="s">
        <v>759</v>
      </c>
      <c r="K467" s="29" t="s">
        <v>760</v>
      </c>
      <c r="L467" s="29"/>
      <c r="M467" s="34"/>
    </row>
    <row r="468" spans="2:13" ht="60">
      <c r="B468" s="32" t="str">
        <f t="shared" si="49"/>
        <v>1</v>
      </c>
      <c r="C468" s="33" t="str">
        <f t="shared" si="50"/>
        <v>3</v>
      </c>
      <c r="D468" s="33" t="str">
        <f t="shared" si="51"/>
        <v>4</v>
      </c>
      <c r="E468" s="33" t="str">
        <f t="shared" si="52"/>
        <v>5</v>
      </c>
      <c r="F468" s="33" t="str">
        <f t="shared" si="53"/>
        <v>03</v>
      </c>
      <c r="G468" s="33" t="str">
        <f t="shared" si="54"/>
        <v>3</v>
      </c>
      <c r="H468" s="33" t="str">
        <f t="shared" si="55"/>
        <v>0</v>
      </c>
      <c r="I468" s="28">
        <v>13450330</v>
      </c>
      <c r="J468" s="29" t="s">
        <v>761</v>
      </c>
      <c r="K468" s="29" t="s">
        <v>762</v>
      </c>
      <c r="L468" s="29"/>
      <c r="M468" s="34"/>
    </row>
    <row r="469" spans="2:13">
      <c r="B469" s="32" t="str">
        <f t="shared" si="49"/>
        <v>1</v>
      </c>
      <c r="C469" s="33" t="str">
        <f t="shared" si="50"/>
        <v>3</v>
      </c>
      <c r="D469" s="33" t="str">
        <f t="shared" si="51"/>
        <v>4</v>
      </c>
      <c r="E469" s="33" t="str">
        <f t="shared" si="52"/>
        <v>6</v>
      </c>
      <c r="F469" s="33" t="str">
        <f t="shared" si="53"/>
        <v>00</v>
      </c>
      <c r="G469" s="33" t="str">
        <f t="shared" si="54"/>
        <v>0</v>
      </c>
      <c r="H469" s="33" t="str">
        <f t="shared" si="55"/>
        <v>0</v>
      </c>
      <c r="I469" s="28">
        <v>13460000</v>
      </c>
      <c r="J469" s="29" t="s">
        <v>763</v>
      </c>
      <c r="K469" s="29" t="s">
        <v>764</v>
      </c>
      <c r="L469" s="29"/>
      <c r="M469" s="34"/>
    </row>
    <row r="470" spans="2:13" ht="45">
      <c r="B470" s="32" t="str">
        <f t="shared" si="49"/>
        <v>1</v>
      </c>
      <c r="C470" s="33" t="str">
        <f t="shared" si="50"/>
        <v>3</v>
      </c>
      <c r="D470" s="33" t="str">
        <f t="shared" si="51"/>
        <v>4</v>
      </c>
      <c r="E470" s="33" t="str">
        <f t="shared" si="52"/>
        <v>6</v>
      </c>
      <c r="F470" s="33" t="str">
        <f t="shared" si="53"/>
        <v>01</v>
      </c>
      <c r="G470" s="33" t="str">
        <f t="shared" si="54"/>
        <v>0</v>
      </c>
      <c r="H470" s="33" t="str">
        <f t="shared" si="55"/>
        <v>0</v>
      </c>
      <c r="I470" s="28">
        <v>13460100</v>
      </c>
      <c r="J470" s="29" t="s">
        <v>765</v>
      </c>
      <c r="K470" s="29" t="s">
        <v>766</v>
      </c>
      <c r="L470" s="29"/>
      <c r="M470" s="34"/>
    </row>
    <row r="471" spans="2:13" ht="90">
      <c r="B471" s="32" t="str">
        <f t="shared" si="49"/>
        <v>1</v>
      </c>
      <c r="C471" s="33" t="str">
        <f t="shared" si="50"/>
        <v>3</v>
      </c>
      <c r="D471" s="33" t="str">
        <f t="shared" si="51"/>
        <v>4</v>
      </c>
      <c r="E471" s="33" t="str">
        <f t="shared" si="52"/>
        <v>6</v>
      </c>
      <c r="F471" s="33" t="str">
        <f t="shared" si="53"/>
        <v>01</v>
      </c>
      <c r="G471" s="33" t="str">
        <f t="shared" si="54"/>
        <v>1</v>
      </c>
      <c r="H471" s="33" t="str">
        <f t="shared" si="55"/>
        <v>0</v>
      </c>
      <c r="I471" s="28">
        <v>13460110</v>
      </c>
      <c r="J471" s="29" t="s">
        <v>767</v>
      </c>
      <c r="K471" s="29" t="s">
        <v>768</v>
      </c>
      <c r="L471" s="29"/>
      <c r="M471" s="34"/>
    </row>
    <row r="472" spans="2:13" ht="90">
      <c r="B472" s="32" t="str">
        <f t="shared" si="49"/>
        <v>1</v>
      </c>
      <c r="C472" s="33" t="str">
        <f t="shared" si="50"/>
        <v>3</v>
      </c>
      <c r="D472" s="33" t="str">
        <f t="shared" si="51"/>
        <v>4</v>
      </c>
      <c r="E472" s="33" t="str">
        <f t="shared" si="52"/>
        <v>6</v>
      </c>
      <c r="F472" s="33" t="str">
        <f t="shared" si="53"/>
        <v>01</v>
      </c>
      <c r="G472" s="33" t="str">
        <f t="shared" si="54"/>
        <v>2</v>
      </c>
      <c r="H472" s="33" t="str">
        <f t="shared" si="55"/>
        <v>0</v>
      </c>
      <c r="I472" s="28">
        <v>13460120</v>
      </c>
      <c r="J472" s="29" t="s">
        <v>769</v>
      </c>
      <c r="K472" s="29" t="s">
        <v>770</v>
      </c>
      <c r="L472" s="29"/>
      <c r="M472" s="34"/>
    </row>
    <row r="473" spans="2:13" ht="45">
      <c r="B473" s="32" t="str">
        <f t="shared" si="49"/>
        <v>1</v>
      </c>
      <c r="C473" s="33" t="str">
        <f t="shared" si="50"/>
        <v>3</v>
      </c>
      <c r="D473" s="33" t="str">
        <f t="shared" si="51"/>
        <v>4</v>
      </c>
      <c r="E473" s="33" t="str">
        <f t="shared" si="52"/>
        <v>6</v>
      </c>
      <c r="F473" s="33" t="str">
        <f t="shared" si="53"/>
        <v>02</v>
      </c>
      <c r="G473" s="33" t="str">
        <f t="shared" si="54"/>
        <v>0</v>
      </c>
      <c r="H473" s="33" t="str">
        <f t="shared" si="55"/>
        <v>0</v>
      </c>
      <c r="I473" s="28">
        <v>13460200</v>
      </c>
      <c r="J473" s="29" t="s">
        <v>771</v>
      </c>
      <c r="K473" s="29" t="s">
        <v>772</v>
      </c>
      <c r="L473" s="29"/>
      <c r="M473" s="34"/>
    </row>
    <row r="474" spans="2:13" ht="105">
      <c r="B474" s="32" t="str">
        <f t="shared" si="49"/>
        <v>1</v>
      </c>
      <c r="C474" s="33" t="str">
        <f t="shared" si="50"/>
        <v>3</v>
      </c>
      <c r="D474" s="33" t="str">
        <f t="shared" si="51"/>
        <v>4</v>
      </c>
      <c r="E474" s="33" t="str">
        <f t="shared" si="52"/>
        <v>6</v>
      </c>
      <c r="F474" s="33" t="str">
        <f t="shared" si="53"/>
        <v>02</v>
      </c>
      <c r="G474" s="33" t="str">
        <f t="shared" si="54"/>
        <v>1</v>
      </c>
      <c r="H474" s="33" t="str">
        <f t="shared" si="55"/>
        <v>0</v>
      </c>
      <c r="I474" s="28">
        <v>13460210</v>
      </c>
      <c r="J474" s="29" t="s">
        <v>773</v>
      </c>
      <c r="K474" s="29" t="s">
        <v>774</v>
      </c>
      <c r="L474" s="29"/>
      <c r="M474" s="34"/>
    </row>
    <row r="475" spans="2:13" ht="105">
      <c r="B475" s="32" t="str">
        <f t="shared" si="49"/>
        <v>1</v>
      </c>
      <c r="C475" s="33" t="str">
        <f t="shared" si="50"/>
        <v>3</v>
      </c>
      <c r="D475" s="33" t="str">
        <f t="shared" si="51"/>
        <v>4</v>
      </c>
      <c r="E475" s="33" t="str">
        <f t="shared" si="52"/>
        <v>6</v>
      </c>
      <c r="F475" s="33" t="str">
        <f t="shared" si="53"/>
        <v>02</v>
      </c>
      <c r="G475" s="33" t="str">
        <f t="shared" si="54"/>
        <v>2</v>
      </c>
      <c r="H475" s="33" t="str">
        <f t="shared" si="55"/>
        <v>0</v>
      </c>
      <c r="I475" s="28">
        <v>13460220</v>
      </c>
      <c r="J475" s="29" t="s">
        <v>775</v>
      </c>
      <c r="K475" s="29" t="s">
        <v>776</v>
      </c>
      <c r="L475" s="29"/>
      <c r="M475" s="34"/>
    </row>
    <row r="476" spans="2:13" ht="30">
      <c r="B476" s="32" t="str">
        <f t="shared" si="49"/>
        <v>1</v>
      </c>
      <c r="C476" s="33" t="str">
        <f t="shared" si="50"/>
        <v>3</v>
      </c>
      <c r="D476" s="33" t="str">
        <f t="shared" si="51"/>
        <v>4</v>
      </c>
      <c r="E476" s="33" t="str">
        <f t="shared" si="52"/>
        <v>6</v>
      </c>
      <c r="F476" s="33" t="str">
        <f t="shared" si="53"/>
        <v>99</v>
      </c>
      <c r="G476" s="33" t="str">
        <f t="shared" si="54"/>
        <v>0</v>
      </c>
      <c r="H476" s="33" t="str">
        <f t="shared" si="55"/>
        <v>0</v>
      </c>
      <c r="I476" s="28">
        <v>13469900</v>
      </c>
      <c r="J476" s="29" t="s">
        <v>777</v>
      </c>
      <c r="K476" s="29" t="s">
        <v>778</v>
      </c>
      <c r="L476" s="29"/>
      <c r="M476" s="34"/>
    </row>
    <row r="477" spans="2:13" ht="30">
      <c r="B477" s="32" t="str">
        <f t="shared" si="49"/>
        <v>1</v>
      </c>
      <c r="C477" s="33" t="str">
        <f t="shared" si="50"/>
        <v>3</v>
      </c>
      <c r="D477" s="33" t="str">
        <f t="shared" si="51"/>
        <v>4</v>
      </c>
      <c r="E477" s="33" t="str">
        <f t="shared" si="52"/>
        <v>6</v>
      </c>
      <c r="F477" s="33" t="str">
        <f t="shared" si="53"/>
        <v>99</v>
      </c>
      <c r="G477" s="33" t="str">
        <f t="shared" si="54"/>
        <v>1</v>
      </c>
      <c r="H477" s="33" t="str">
        <f t="shared" si="55"/>
        <v>0</v>
      </c>
      <c r="I477" s="28">
        <v>13469910</v>
      </c>
      <c r="J477" s="29" t="s">
        <v>779</v>
      </c>
      <c r="K477" s="29" t="s">
        <v>780</v>
      </c>
      <c r="L477" s="29"/>
      <c r="M477" s="34"/>
    </row>
    <row r="478" spans="2:13" ht="45">
      <c r="B478" s="32" t="str">
        <f t="shared" si="49"/>
        <v>1</v>
      </c>
      <c r="C478" s="33" t="str">
        <f t="shared" si="50"/>
        <v>3</v>
      </c>
      <c r="D478" s="33" t="str">
        <f t="shared" si="51"/>
        <v>4</v>
      </c>
      <c r="E478" s="33" t="str">
        <f t="shared" si="52"/>
        <v>6</v>
      </c>
      <c r="F478" s="33" t="str">
        <f t="shared" si="53"/>
        <v>99</v>
      </c>
      <c r="G478" s="33" t="str">
        <f t="shared" si="54"/>
        <v>2</v>
      </c>
      <c r="H478" s="33" t="str">
        <f t="shared" si="55"/>
        <v>0</v>
      </c>
      <c r="I478" s="28">
        <v>13469920</v>
      </c>
      <c r="J478" s="29" t="s">
        <v>781</v>
      </c>
      <c r="K478" s="29" t="s">
        <v>782</v>
      </c>
      <c r="L478" s="29"/>
      <c r="M478" s="34"/>
    </row>
    <row r="479" spans="2:13" ht="60">
      <c r="B479" s="32" t="str">
        <f t="shared" si="49"/>
        <v>1</v>
      </c>
      <c r="C479" s="33" t="str">
        <f t="shared" si="50"/>
        <v>3</v>
      </c>
      <c r="D479" s="33" t="str">
        <f t="shared" si="51"/>
        <v>4</v>
      </c>
      <c r="E479" s="33" t="str">
        <f t="shared" si="52"/>
        <v>6</v>
      </c>
      <c r="F479" s="33" t="str">
        <f t="shared" si="53"/>
        <v>99</v>
      </c>
      <c r="G479" s="33" t="str">
        <f t="shared" si="54"/>
        <v>3</v>
      </c>
      <c r="H479" s="33" t="str">
        <f t="shared" si="55"/>
        <v>0</v>
      </c>
      <c r="I479" s="28">
        <v>13469930</v>
      </c>
      <c r="J479" s="29" t="s">
        <v>783</v>
      </c>
      <c r="K479" s="29" t="s">
        <v>784</v>
      </c>
      <c r="L479" s="29"/>
      <c r="M479" s="34"/>
    </row>
    <row r="480" spans="2:13" ht="30">
      <c r="B480" s="32" t="str">
        <f t="shared" si="49"/>
        <v>1</v>
      </c>
      <c r="C480" s="33" t="str">
        <f t="shared" si="50"/>
        <v>3</v>
      </c>
      <c r="D480" s="33" t="str">
        <f t="shared" si="51"/>
        <v>4</v>
      </c>
      <c r="E480" s="33" t="str">
        <f t="shared" si="52"/>
        <v>9</v>
      </c>
      <c r="F480" s="33" t="str">
        <f t="shared" si="53"/>
        <v>00</v>
      </c>
      <c r="G480" s="33" t="str">
        <f t="shared" si="54"/>
        <v>0</v>
      </c>
      <c r="H480" s="33" t="str">
        <f t="shared" si="55"/>
        <v>0</v>
      </c>
      <c r="I480" s="28">
        <v>13490000</v>
      </c>
      <c r="J480" s="29" t="s">
        <v>785</v>
      </c>
      <c r="K480" s="29" t="s">
        <v>786</v>
      </c>
      <c r="L480" s="29"/>
      <c r="M480" s="34"/>
    </row>
    <row r="481" spans="2:13">
      <c r="B481" s="32" t="str">
        <f t="shared" si="49"/>
        <v>1</v>
      </c>
      <c r="C481" s="33" t="str">
        <f t="shared" si="50"/>
        <v>3</v>
      </c>
      <c r="D481" s="33" t="str">
        <f t="shared" si="51"/>
        <v>4</v>
      </c>
      <c r="E481" s="33" t="str">
        <f t="shared" si="52"/>
        <v>9</v>
      </c>
      <c r="F481" s="33" t="str">
        <f t="shared" si="53"/>
        <v>01</v>
      </c>
      <c r="G481" s="33" t="str">
        <f t="shared" si="54"/>
        <v>0</v>
      </c>
      <c r="H481" s="33" t="str">
        <f t="shared" si="55"/>
        <v>0</v>
      </c>
      <c r="I481" s="28">
        <v>13490100</v>
      </c>
      <c r="J481" s="29" t="s">
        <v>787</v>
      </c>
      <c r="K481" s="29" t="s">
        <v>788</v>
      </c>
      <c r="L481" s="29"/>
      <c r="M481" s="34"/>
    </row>
    <row r="482" spans="2:13">
      <c r="B482" s="32" t="str">
        <f t="shared" si="49"/>
        <v>1</v>
      </c>
      <c r="C482" s="33" t="str">
        <f t="shared" si="50"/>
        <v>3</v>
      </c>
      <c r="D482" s="33" t="str">
        <f t="shared" si="51"/>
        <v>4</v>
      </c>
      <c r="E482" s="33" t="str">
        <f t="shared" si="52"/>
        <v>9</v>
      </c>
      <c r="F482" s="33" t="str">
        <f t="shared" si="53"/>
        <v>01</v>
      </c>
      <c r="G482" s="33" t="str">
        <f t="shared" si="54"/>
        <v>1</v>
      </c>
      <c r="H482" s="33" t="str">
        <f t="shared" si="55"/>
        <v>0</v>
      </c>
      <c r="I482" s="28">
        <v>13490110</v>
      </c>
      <c r="J482" s="29" t="s">
        <v>787</v>
      </c>
      <c r="K482" s="29" t="s">
        <v>788</v>
      </c>
      <c r="L482" s="29"/>
      <c r="M482" s="34"/>
    </row>
    <row r="483" spans="2:13" ht="30">
      <c r="B483" s="32" t="str">
        <f t="shared" si="49"/>
        <v>1</v>
      </c>
      <c r="C483" s="33" t="str">
        <f t="shared" si="50"/>
        <v>3</v>
      </c>
      <c r="D483" s="33" t="str">
        <f t="shared" si="51"/>
        <v>4</v>
      </c>
      <c r="E483" s="33" t="str">
        <f t="shared" si="52"/>
        <v>9</v>
      </c>
      <c r="F483" s="33" t="str">
        <f t="shared" si="53"/>
        <v>99</v>
      </c>
      <c r="G483" s="33" t="str">
        <f t="shared" si="54"/>
        <v>0</v>
      </c>
      <c r="H483" s="33" t="str">
        <f t="shared" si="55"/>
        <v>0</v>
      </c>
      <c r="I483" s="28">
        <v>13499900</v>
      </c>
      <c r="J483" s="29" t="s">
        <v>789</v>
      </c>
      <c r="K483" s="29" t="s">
        <v>790</v>
      </c>
      <c r="L483" s="29"/>
      <c r="M483" s="34"/>
    </row>
    <row r="484" spans="2:13" ht="30">
      <c r="B484" s="32" t="str">
        <f t="shared" si="49"/>
        <v>1</v>
      </c>
      <c r="C484" s="33" t="str">
        <f t="shared" si="50"/>
        <v>3</v>
      </c>
      <c r="D484" s="33" t="str">
        <f t="shared" si="51"/>
        <v>4</v>
      </c>
      <c r="E484" s="33" t="str">
        <f t="shared" si="52"/>
        <v>9</v>
      </c>
      <c r="F484" s="33" t="str">
        <f t="shared" si="53"/>
        <v>99</v>
      </c>
      <c r="G484" s="33" t="str">
        <f t="shared" si="54"/>
        <v>1</v>
      </c>
      <c r="H484" s="33" t="str">
        <f t="shared" si="55"/>
        <v>0</v>
      </c>
      <c r="I484" s="28">
        <v>13499910</v>
      </c>
      <c r="J484" s="29" t="s">
        <v>789</v>
      </c>
      <c r="K484" s="29" t="s">
        <v>790</v>
      </c>
      <c r="L484" s="29"/>
      <c r="M484" s="34"/>
    </row>
    <row r="485" spans="2:13">
      <c r="B485" s="32" t="str">
        <f t="shared" si="49"/>
        <v>1</v>
      </c>
      <c r="C485" s="33" t="str">
        <f t="shared" si="50"/>
        <v>3</v>
      </c>
      <c r="D485" s="33" t="str">
        <f t="shared" si="51"/>
        <v>5</v>
      </c>
      <c r="E485" s="33" t="str">
        <f t="shared" si="52"/>
        <v>0</v>
      </c>
      <c r="F485" s="33" t="str">
        <f t="shared" si="53"/>
        <v>00</v>
      </c>
      <c r="G485" s="33" t="str">
        <f t="shared" si="54"/>
        <v>0</v>
      </c>
      <c r="H485" s="33" t="str">
        <f t="shared" si="55"/>
        <v>0</v>
      </c>
      <c r="I485" s="28">
        <v>13500000</v>
      </c>
      <c r="J485" s="29" t="s">
        <v>791</v>
      </c>
      <c r="K485" s="29" t="s">
        <v>792</v>
      </c>
      <c r="L485" s="29"/>
      <c r="M485" s="34"/>
    </row>
    <row r="486" spans="2:13" ht="45">
      <c r="B486" s="32" t="str">
        <f t="shared" si="49"/>
        <v>1</v>
      </c>
      <c r="C486" s="33" t="str">
        <f t="shared" si="50"/>
        <v>3</v>
      </c>
      <c r="D486" s="33" t="str">
        <f t="shared" si="51"/>
        <v>5</v>
      </c>
      <c r="E486" s="33" t="str">
        <f t="shared" si="52"/>
        <v>0</v>
      </c>
      <c r="F486" s="33" t="str">
        <f t="shared" si="53"/>
        <v>01</v>
      </c>
      <c r="G486" s="33" t="str">
        <f t="shared" si="54"/>
        <v>0</v>
      </c>
      <c r="H486" s="33" t="str">
        <f t="shared" si="55"/>
        <v>0</v>
      </c>
      <c r="I486" s="28">
        <v>13500100</v>
      </c>
      <c r="J486" s="29" t="s">
        <v>793</v>
      </c>
      <c r="K486" s="29" t="s">
        <v>794</v>
      </c>
      <c r="L486" s="29"/>
      <c r="M486" s="34"/>
    </row>
    <row r="487" spans="2:13" ht="45">
      <c r="B487" s="32" t="str">
        <f t="shared" si="49"/>
        <v>1</v>
      </c>
      <c r="C487" s="33" t="str">
        <f t="shared" si="50"/>
        <v>3</v>
      </c>
      <c r="D487" s="33" t="str">
        <f t="shared" si="51"/>
        <v>5</v>
      </c>
      <c r="E487" s="33" t="str">
        <f t="shared" si="52"/>
        <v>0</v>
      </c>
      <c r="F487" s="33" t="str">
        <f t="shared" si="53"/>
        <v>01</v>
      </c>
      <c r="G487" s="33" t="str">
        <f t="shared" si="54"/>
        <v>1</v>
      </c>
      <c r="H487" s="33" t="str">
        <f t="shared" si="55"/>
        <v>0</v>
      </c>
      <c r="I487" s="28">
        <v>13500110</v>
      </c>
      <c r="J487" s="29" t="s">
        <v>793</v>
      </c>
      <c r="K487" s="29" t="s">
        <v>794</v>
      </c>
      <c r="L487" s="29"/>
      <c r="M487" s="34"/>
    </row>
    <row r="488" spans="2:13" ht="45">
      <c r="B488" s="32" t="str">
        <f t="shared" si="49"/>
        <v>1</v>
      </c>
      <c r="C488" s="33" t="str">
        <f t="shared" si="50"/>
        <v>3</v>
      </c>
      <c r="D488" s="33" t="str">
        <f t="shared" si="51"/>
        <v>5</v>
      </c>
      <c r="E488" s="33" t="str">
        <f t="shared" si="52"/>
        <v>0</v>
      </c>
      <c r="F488" s="33" t="str">
        <f t="shared" si="53"/>
        <v>02</v>
      </c>
      <c r="G488" s="33" t="str">
        <f t="shared" si="54"/>
        <v>0</v>
      </c>
      <c r="H488" s="33" t="str">
        <f t="shared" si="55"/>
        <v>0</v>
      </c>
      <c r="I488" s="28">
        <v>13500200</v>
      </c>
      <c r="J488" s="29" t="s">
        <v>795</v>
      </c>
      <c r="K488" s="29" t="s">
        <v>796</v>
      </c>
      <c r="L488" s="29"/>
      <c r="M488" s="34"/>
    </row>
    <row r="489" spans="2:13" ht="45">
      <c r="B489" s="32" t="str">
        <f t="shared" si="49"/>
        <v>1</v>
      </c>
      <c r="C489" s="33" t="str">
        <f t="shared" si="50"/>
        <v>3</v>
      </c>
      <c r="D489" s="33" t="str">
        <f t="shared" si="51"/>
        <v>5</v>
      </c>
      <c r="E489" s="33" t="str">
        <f t="shared" si="52"/>
        <v>0</v>
      </c>
      <c r="F489" s="33" t="str">
        <f t="shared" si="53"/>
        <v>02</v>
      </c>
      <c r="G489" s="33" t="str">
        <f t="shared" si="54"/>
        <v>1</v>
      </c>
      <c r="H489" s="33" t="str">
        <f t="shared" si="55"/>
        <v>0</v>
      </c>
      <c r="I489" s="28">
        <v>13500210</v>
      </c>
      <c r="J489" s="29" t="s">
        <v>795</v>
      </c>
      <c r="K489" s="29" t="s">
        <v>796</v>
      </c>
      <c r="L489" s="29"/>
      <c r="M489" s="34"/>
    </row>
    <row r="490" spans="2:13" ht="30">
      <c r="B490" s="32" t="str">
        <f t="shared" si="49"/>
        <v>1</v>
      </c>
      <c r="C490" s="33" t="str">
        <f t="shared" si="50"/>
        <v>3</v>
      </c>
      <c r="D490" s="33" t="str">
        <f t="shared" si="51"/>
        <v>5</v>
      </c>
      <c r="E490" s="33" t="str">
        <f t="shared" si="52"/>
        <v>0</v>
      </c>
      <c r="F490" s="33" t="str">
        <f t="shared" si="53"/>
        <v>03</v>
      </c>
      <c r="G490" s="33" t="str">
        <f t="shared" si="54"/>
        <v>0</v>
      </c>
      <c r="H490" s="33" t="str">
        <f t="shared" si="55"/>
        <v>0</v>
      </c>
      <c r="I490" s="28">
        <v>13500300</v>
      </c>
      <c r="J490" s="29" t="s">
        <v>797</v>
      </c>
      <c r="K490" s="29" t="s">
        <v>798</v>
      </c>
      <c r="L490" s="29"/>
      <c r="M490" s="34"/>
    </row>
    <row r="491" spans="2:13" ht="30">
      <c r="B491" s="32" t="str">
        <f t="shared" si="49"/>
        <v>1</v>
      </c>
      <c r="C491" s="33" t="str">
        <f t="shared" si="50"/>
        <v>3</v>
      </c>
      <c r="D491" s="33" t="str">
        <f t="shared" si="51"/>
        <v>5</v>
      </c>
      <c r="E491" s="33" t="str">
        <f t="shared" si="52"/>
        <v>0</v>
      </c>
      <c r="F491" s="33" t="str">
        <f t="shared" si="53"/>
        <v>03</v>
      </c>
      <c r="G491" s="33" t="str">
        <f t="shared" si="54"/>
        <v>1</v>
      </c>
      <c r="H491" s="33" t="str">
        <f t="shared" si="55"/>
        <v>0</v>
      </c>
      <c r="I491" s="28">
        <v>13500310</v>
      </c>
      <c r="J491" s="29" t="s">
        <v>797</v>
      </c>
      <c r="K491" s="29" t="s">
        <v>798</v>
      </c>
      <c r="L491" s="29"/>
      <c r="M491" s="34"/>
    </row>
    <row r="492" spans="2:13" ht="60">
      <c r="B492" s="32" t="str">
        <f t="shared" si="49"/>
        <v>1</v>
      </c>
      <c r="C492" s="33" t="str">
        <f t="shared" si="50"/>
        <v>3</v>
      </c>
      <c r="D492" s="33" t="str">
        <f t="shared" si="51"/>
        <v>5</v>
      </c>
      <c r="E492" s="33" t="str">
        <f t="shared" si="52"/>
        <v>0</v>
      </c>
      <c r="F492" s="33" t="str">
        <f t="shared" si="53"/>
        <v>04</v>
      </c>
      <c r="G492" s="33" t="str">
        <f t="shared" si="54"/>
        <v>0</v>
      </c>
      <c r="H492" s="33" t="str">
        <f t="shared" si="55"/>
        <v>0</v>
      </c>
      <c r="I492" s="28">
        <v>13500400</v>
      </c>
      <c r="J492" s="29" t="s">
        <v>799</v>
      </c>
      <c r="K492" s="29" t="s">
        <v>800</v>
      </c>
      <c r="L492" s="29"/>
      <c r="M492" s="34"/>
    </row>
    <row r="493" spans="2:13" ht="60">
      <c r="B493" s="32" t="str">
        <f t="shared" si="49"/>
        <v>1</v>
      </c>
      <c r="C493" s="33" t="str">
        <f t="shared" si="50"/>
        <v>3</v>
      </c>
      <c r="D493" s="33" t="str">
        <f t="shared" si="51"/>
        <v>5</v>
      </c>
      <c r="E493" s="33" t="str">
        <f t="shared" si="52"/>
        <v>0</v>
      </c>
      <c r="F493" s="33" t="str">
        <f t="shared" si="53"/>
        <v>04</v>
      </c>
      <c r="G493" s="33" t="str">
        <f t="shared" si="54"/>
        <v>1</v>
      </c>
      <c r="H493" s="33" t="str">
        <f t="shared" si="55"/>
        <v>0</v>
      </c>
      <c r="I493" s="28">
        <v>13500410</v>
      </c>
      <c r="J493" s="29" t="s">
        <v>799</v>
      </c>
      <c r="K493" s="29" t="s">
        <v>800</v>
      </c>
      <c r="L493" s="29"/>
      <c r="M493" s="34"/>
    </row>
    <row r="494" spans="2:13">
      <c r="B494" s="32" t="str">
        <f t="shared" si="49"/>
        <v>1</v>
      </c>
      <c r="C494" s="33" t="str">
        <f t="shared" si="50"/>
        <v>3</v>
      </c>
      <c r="D494" s="33" t="str">
        <f t="shared" si="51"/>
        <v>6</v>
      </c>
      <c r="E494" s="33" t="str">
        <f t="shared" si="52"/>
        <v>0</v>
      </c>
      <c r="F494" s="33" t="str">
        <f t="shared" si="53"/>
        <v>00</v>
      </c>
      <c r="G494" s="33" t="str">
        <f t="shared" si="54"/>
        <v>0</v>
      </c>
      <c r="H494" s="33" t="str">
        <f t="shared" si="55"/>
        <v>0</v>
      </c>
      <c r="I494" s="28">
        <v>13600000</v>
      </c>
      <c r="J494" s="29" t="s">
        <v>801</v>
      </c>
      <c r="K494" s="29" t="s">
        <v>802</v>
      </c>
      <c r="L494" s="29"/>
      <c r="M494" s="34"/>
    </row>
    <row r="495" spans="2:13" ht="90">
      <c r="B495" s="32" t="str">
        <f t="shared" si="49"/>
        <v>1</v>
      </c>
      <c r="C495" s="33" t="str">
        <f t="shared" si="50"/>
        <v>3</v>
      </c>
      <c r="D495" s="33" t="str">
        <f t="shared" si="51"/>
        <v>6</v>
      </c>
      <c r="E495" s="33" t="str">
        <f t="shared" si="52"/>
        <v>0</v>
      </c>
      <c r="F495" s="33" t="str">
        <f t="shared" si="53"/>
        <v>01</v>
      </c>
      <c r="G495" s="33" t="str">
        <f t="shared" si="54"/>
        <v>0</v>
      </c>
      <c r="H495" s="33" t="str">
        <f t="shared" si="55"/>
        <v>0</v>
      </c>
      <c r="I495" s="28">
        <v>13600100</v>
      </c>
      <c r="J495" s="29" t="s">
        <v>803</v>
      </c>
      <c r="K495" s="29" t="s">
        <v>804</v>
      </c>
      <c r="L495" s="29"/>
      <c r="M495" s="34"/>
    </row>
    <row r="496" spans="2:13" ht="90">
      <c r="B496" s="32" t="str">
        <f t="shared" si="49"/>
        <v>1</v>
      </c>
      <c r="C496" s="33" t="str">
        <f t="shared" si="50"/>
        <v>3</v>
      </c>
      <c r="D496" s="33" t="str">
        <f t="shared" si="51"/>
        <v>6</v>
      </c>
      <c r="E496" s="33" t="str">
        <f t="shared" si="52"/>
        <v>0</v>
      </c>
      <c r="F496" s="33" t="str">
        <f t="shared" si="53"/>
        <v>01</v>
      </c>
      <c r="G496" s="33" t="str">
        <f t="shared" si="54"/>
        <v>1</v>
      </c>
      <c r="H496" s="33" t="str">
        <f t="shared" si="55"/>
        <v>0</v>
      </c>
      <c r="I496" s="28">
        <v>13600110</v>
      </c>
      <c r="J496" s="29" t="s">
        <v>803</v>
      </c>
      <c r="K496" s="29" t="s">
        <v>804</v>
      </c>
      <c r="L496" s="29"/>
      <c r="M496" s="34"/>
    </row>
    <row r="497" spans="2:13" ht="30">
      <c r="B497" s="32" t="str">
        <f t="shared" si="49"/>
        <v>1</v>
      </c>
      <c r="C497" s="33" t="str">
        <f t="shared" si="50"/>
        <v>3</v>
      </c>
      <c r="D497" s="33" t="str">
        <f t="shared" si="51"/>
        <v>6</v>
      </c>
      <c r="E497" s="33" t="str">
        <f t="shared" si="52"/>
        <v>0</v>
      </c>
      <c r="F497" s="33" t="str">
        <f t="shared" si="53"/>
        <v>01</v>
      </c>
      <c r="G497" s="33" t="str">
        <f t="shared" si="54"/>
        <v>2</v>
      </c>
      <c r="H497" s="33" t="str">
        <f t="shared" si="55"/>
        <v>0</v>
      </c>
      <c r="I497" s="28">
        <v>13600120</v>
      </c>
      <c r="J497" s="29" t="s">
        <v>805</v>
      </c>
      <c r="K497" s="29" t="s">
        <v>806</v>
      </c>
      <c r="L497" s="29" t="s">
        <v>807</v>
      </c>
      <c r="M497" s="34" t="s">
        <v>14</v>
      </c>
    </row>
    <row r="498" spans="2:13" ht="30">
      <c r="B498" s="32" t="str">
        <f t="shared" si="49"/>
        <v>1</v>
      </c>
      <c r="C498" s="33" t="str">
        <f t="shared" si="50"/>
        <v>3</v>
      </c>
      <c r="D498" s="33" t="str">
        <f t="shared" si="51"/>
        <v>9</v>
      </c>
      <c r="E498" s="33" t="str">
        <f t="shared" si="52"/>
        <v>0</v>
      </c>
      <c r="F498" s="33" t="str">
        <f t="shared" si="53"/>
        <v>00</v>
      </c>
      <c r="G498" s="33" t="str">
        <f t="shared" si="54"/>
        <v>0</v>
      </c>
      <c r="H498" s="33" t="str">
        <f t="shared" si="55"/>
        <v>0</v>
      </c>
      <c r="I498" s="28">
        <v>13900000</v>
      </c>
      <c r="J498" s="29" t="s">
        <v>808</v>
      </c>
      <c r="K498" s="29" t="s">
        <v>809</v>
      </c>
      <c r="L498" s="29"/>
      <c r="M498" s="34"/>
    </row>
    <row r="499" spans="2:13" ht="30">
      <c r="B499" s="32" t="str">
        <f t="shared" si="49"/>
        <v>1</v>
      </c>
      <c r="C499" s="33" t="str">
        <f t="shared" si="50"/>
        <v>3</v>
      </c>
      <c r="D499" s="33" t="str">
        <f t="shared" si="51"/>
        <v>9</v>
      </c>
      <c r="E499" s="33" t="str">
        <f t="shared" si="52"/>
        <v>0</v>
      </c>
      <c r="F499" s="33" t="str">
        <f t="shared" si="53"/>
        <v>00</v>
      </c>
      <c r="G499" s="33" t="str">
        <f t="shared" si="54"/>
        <v>1</v>
      </c>
      <c r="H499" s="33" t="str">
        <f t="shared" si="55"/>
        <v>0</v>
      </c>
      <c r="I499" s="28">
        <v>13900010</v>
      </c>
      <c r="J499" s="29" t="s">
        <v>808</v>
      </c>
      <c r="K499" s="29" t="s">
        <v>809</v>
      </c>
      <c r="L499" s="29"/>
      <c r="M499" s="34"/>
    </row>
    <row r="500" spans="2:13" ht="30">
      <c r="B500" s="32" t="str">
        <f t="shared" si="49"/>
        <v>1</v>
      </c>
      <c r="C500" s="33" t="str">
        <f t="shared" si="50"/>
        <v>4</v>
      </c>
      <c r="D500" s="33" t="str">
        <f t="shared" si="51"/>
        <v>0</v>
      </c>
      <c r="E500" s="33" t="str">
        <f t="shared" si="52"/>
        <v>0</v>
      </c>
      <c r="F500" s="33" t="str">
        <f t="shared" si="53"/>
        <v>00</v>
      </c>
      <c r="G500" s="33" t="str">
        <f t="shared" si="54"/>
        <v>0</v>
      </c>
      <c r="H500" s="33" t="str">
        <f t="shared" si="55"/>
        <v>0</v>
      </c>
      <c r="I500" s="28">
        <v>14000000</v>
      </c>
      <c r="J500" s="29" t="s">
        <v>810</v>
      </c>
      <c r="K500" s="29" t="s">
        <v>811</v>
      </c>
      <c r="L500" s="29"/>
      <c r="M500" s="34"/>
    </row>
    <row r="501" spans="2:13" ht="75">
      <c r="B501" s="32" t="str">
        <f t="shared" si="49"/>
        <v>1</v>
      </c>
      <c r="C501" s="33" t="str">
        <f t="shared" si="50"/>
        <v>4</v>
      </c>
      <c r="D501" s="33" t="str">
        <f t="shared" si="51"/>
        <v>0</v>
      </c>
      <c r="E501" s="33" t="str">
        <f t="shared" si="52"/>
        <v>0</v>
      </c>
      <c r="F501" s="33" t="str">
        <f t="shared" si="53"/>
        <v>00</v>
      </c>
      <c r="G501" s="33" t="str">
        <f t="shared" si="54"/>
        <v>1</v>
      </c>
      <c r="H501" s="33" t="str">
        <f t="shared" si="55"/>
        <v>0</v>
      </c>
      <c r="I501" s="28">
        <v>14000010</v>
      </c>
      <c r="J501" s="29" t="s">
        <v>810</v>
      </c>
      <c r="K501" s="29" t="s">
        <v>812</v>
      </c>
      <c r="L501" s="29"/>
      <c r="M501" s="34"/>
    </row>
    <row r="502" spans="2:13">
      <c r="B502" s="32" t="str">
        <f t="shared" si="49"/>
        <v>1</v>
      </c>
      <c r="C502" s="33" t="str">
        <f t="shared" si="50"/>
        <v>5</v>
      </c>
      <c r="D502" s="33" t="str">
        <f t="shared" si="51"/>
        <v>0</v>
      </c>
      <c r="E502" s="33" t="str">
        <f t="shared" si="52"/>
        <v>0</v>
      </c>
      <c r="F502" s="33" t="str">
        <f t="shared" si="53"/>
        <v>00</v>
      </c>
      <c r="G502" s="33" t="str">
        <f t="shared" si="54"/>
        <v>0</v>
      </c>
      <c r="H502" s="33" t="str">
        <f t="shared" si="55"/>
        <v>0</v>
      </c>
      <c r="I502" s="28">
        <v>15000000</v>
      </c>
      <c r="J502" s="29" t="s">
        <v>813</v>
      </c>
      <c r="K502" s="29" t="s">
        <v>814</v>
      </c>
      <c r="L502" s="29"/>
      <c r="M502" s="34"/>
    </row>
    <row r="503" spans="2:13" ht="45">
      <c r="B503" s="32" t="str">
        <f t="shared" si="49"/>
        <v>1</v>
      </c>
      <c r="C503" s="33" t="str">
        <f t="shared" si="50"/>
        <v>5</v>
      </c>
      <c r="D503" s="33" t="str">
        <f t="shared" si="51"/>
        <v>0</v>
      </c>
      <c r="E503" s="33" t="str">
        <f t="shared" si="52"/>
        <v>0</v>
      </c>
      <c r="F503" s="33" t="str">
        <f t="shared" si="53"/>
        <v>00</v>
      </c>
      <c r="G503" s="33" t="str">
        <f t="shared" si="54"/>
        <v>1</v>
      </c>
      <c r="H503" s="33" t="str">
        <f t="shared" si="55"/>
        <v>0</v>
      </c>
      <c r="I503" s="28">
        <v>15000010</v>
      </c>
      <c r="J503" s="29" t="s">
        <v>813</v>
      </c>
      <c r="K503" s="29" t="s">
        <v>815</v>
      </c>
      <c r="L503" s="29"/>
      <c r="M503" s="34"/>
    </row>
    <row r="504" spans="2:13" ht="30">
      <c r="B504" s="32" t="str">
        <f t="shared" si="49"/>
        <v>1</v>
      </c>
      <c r="C504" s="33" t="str">
        <f t="shared" si="50"/>
        <v>6</v>
      </c>
      <c r="D504" s="33" t="str">
        <f t="shared" si="51"/>
        <v>0</v>
      </c>
      <c r="E504" s="33" t="str">
        <f t="shared" si="52"/>
        <v>0</v>
      </c>
      <c r="F504" s="33" t="str">
        <f t="shared" si="53"/>
        <v>00</v>
      </c>
      <c r="G504" s="33" t="str">
        <f t="shared" si="54"/>
        <v>0</v>
      </c>
      <c r="H504" s="33" t="str">
        <f t="shared" si="55"/>
        <v>0</v>
      </c>
      <c r="I504" s="28">
        <v>16000000</v>
      </c>
      <c r="J504" s="29" t="s">
        <v>816</v>
      </c>
      <c r="K504" s="29" t="s">
        <v>817</v>
      </c>
      <c r="L504" s="29"/>
      <c r="M504" s="34"/>
    </row>
    <row r="505" spans="2:13" ht="75">
      <c r="B505" s="32" t="str">
        <f t="shared" si="49"/>
        <v>1</v>
      </c>
      <c r="C505" s="33" t="str">
        <f t="shared" si="50"/>
        <v>6</v>
      </c>
      <c r="D505" s="33" t="str">
        <f t="shared" si="51"/>
        <v>1</v>
      </c>
      <c r="E505" s="33" t="str">
        <f t="shared" si="52"/>
        <v>0</v>
      </c>
      <c r="F505" s="33" t="str">
        <f t="shared" si="53"/>
        <v>00</v>
      </c>
      <c r="G505" s="33" t="str">
        <f t="shared" si="54"/>
        <v>0</v>
      </c>
      <c r="H505" s="33" t="str">
        <f t="shared" si="55"/>
        <v>0</v>
      </c>
      <c r="I505" s="28">
        <v>16100000</v>
      </c>
      <c r="J505" s="29" t="s">
        <v>818</v>
      </c>
      <c r="K505" s="29" t="s">
        <v>819</v>
      </c>
      <c r="L505" s="29"/>
      <c r="M505" s="34"/>
    </row>
    <row r="506" spans="2:13" ht="30">
      <c r="B506" s="32" t="str">
        <f t="shared" si="49"/>
        <v>1</v>
      </c>
      <c r="C506" s="33" t="str">
        <f t="shared" si="50"/>
        <v>6</v>
      </c>
      <c r="D506" s="33" t="str">
        <f t="shared" si="51"/>
        <v>1</v>
      </c>
      <c r="E506" s="33" t="str">
        <f t="shared" si="52"/>
        <v>0</v>
      </c>
      <c r="F506" s="33" t="str">
        <f t="shared" si="53"/>
        <v>01</v>
      </c>
      <c r="G506" s="33" t="str">
        <f t="shared" si="54"/>
        <v>0</v>
      </c>
      <c r="H506" s="33" t="str">
        <f t="shared" si="55"/>
        <v>0</v>
      </c>
      <c r="I506" s="28">
        <v>16100100</v>
      </c>
      <c r="J506" s="29" t="s">
        <v>818</v>
      </c>
      <c r="K506" s="29" t="s">
        <v>820</v>
      </c>
      <c r="L506" s="29"/>
      <c r="M506" s="34"/>
    </row>
    <row r="507" spans="2:13" ht="30">
      <c r="B507" s="32" t="str">
        <f t="shared" si="49"/>
        <v>1</v>
      </c>
      <c r="C507" s="33" t="str">
        <f t="shared" si="50"/>
        <v>6</v>
      </c>
      <c r="D507" s="33" t="str">
        <f t="shared" si="51"/>
        <v>1</v>
      </c>
      <c r="E507" s="33" t="str">
        <f t="shared" si="52"/>
        <v>0</v>
      </c>
      <c r="F507" s="33" t="str">
        <f t="shared" si="53"/>
        <v>01</v>
      </c>
      <c r="G507" s="33" t="str">
        <f t="shared" si="54"/>
        <v>1</v>
      </c>
      <c r="H507" s="33" t="str">
        <f t="shared" si="55"/>
        <v>0</v>
      </c>
      <c r="I507" s="28">
        <v>16100110</v>
      </c>
      <c r="J507" s="29" t="s">
        <v>818</v>
      </c>
      <c r="K507" s="29" t="s">
        <v>820</v>
      </c>
      <c r="L507" s="29"/>
      <c r="M507" s="34"/>
    </row>
    <row r="508" spans="2:13" ht="30">
      <c r="B508" s="32" t="str">
        <f t="shared" si="49"/>
        <v>1</v>
      </c>
      <c r="C508" s="33" t="str">
        <f t="shared" si="50"/>
        <v>6</v>
      </c>
      <c r="D508" s="33" t="str">
        <f t="shared" si="51"/>
        <v>1</v>
      </c>
      <c r="E508" s="33" t="str">
        <f t="shared" si="52"/>
        <v>0</v>
      </c>
      <c r="F508" s="33" t="str">
        <f t="shared" si="53"/>
        <v>02</v>
      </c>
      <c r="G508" s="33" t="str">
        <f t="shared" si="54"/>
        <v>0</v>
      </c>
      <c r="H508" s="33" t="str">
        <f t="shared" si="55"/>
        <v>0</v>
      </c>
      <c r="I508" s="28">
        <v>16100200</v>
      </c>
      <c r="J508" s="29" t="s">
        <v>821</v>
      </c>
      <c r="K508" s="29" t="s">
        <v>822</v>
      </c>
      <c r="L508" s="29"/>
      <c r="M508" s="34"/>
    </row>
    <row r="509" spans="2:13" ht="30">
      <c r="B509" s="32" t="str">
        <f t="shared" si="49"/>
        <v>1</v>
      </c>
      <c r="C509" s="33" t="str">
        <f t="shared" si="50"/>
        <v>6</v>
      </c>
      <c r="D509" s="33" t="str">
        <f t="shared" si="51"/>
        <v>1</v>
      </c>
      <c r="E509" s="33" t="str">
        <f t="shared" si="52"/>
        <v>0</v>
      </c>
      <c r="F509" s="33" t="str">
        <f t="shared" si="53"/>
        <v>02</v>
      </c>
      <c r="G509" s="33" t="str">
        <f t="shared" si="54"/>
        <v>1</v>
      </c>
      <c r="H509" s="33" t="str">
        <f t="shared" si="55"/>
        <v>0</v>
      </c>
      <c r="I509" s="28">
        <v>16100210</v>
      </c>
      <c r="J509" s="29" t="s">
        <v>821</v>
      </c>
      <c r="K509" s="29" t="s">
        <v>822</v>
      </c>
      <c r="L509" s="29"/>
      <c r="M509" s="34"/>
    </row>
    <row r="510" spans="2:13" ht="30">
      <c r="B510" s="32" t="str">
        <f t="shared" si="49"/>
        <v>1</v>
      </c>
      <c r="C510" s="33" t="str">
        <f t="shared" si="50"/>
        <v>6</v>
      </c>
      <c r="D510" s="33" t="str">
        <f t="shared" si="51"/>
        <v>1</v>
      </c>
      <c r="E510" s="33" t="str">
        <f t="shared" si="52"/>
        <v>0</v>
      </c>
      <c r="F510" s="33" t="str">
        <f t="shared" si="53"/>
        <v>03</v>
      </c>
      <c r="G510" s="33" t="str">
        <f t="shared" si="54"/>
        <v>0</v>
      </c>
      <c r="H510" s="33" t="str">
        <f t="shared" si="55"/>
        <v>0</v>
      </c>
      <c r="I510" s="28">
        <v>16100300</v>
      </c>
      <c r="J510" s="29" t="s">
        <v>823</v>
      </c>
      <c r="K510" s="29" t="s">
        <v>824</v>
      </c>
      <c r="L510" s="29"/>
      <c r="M510" s="34"/>
    </row>
    <row r="511" spans="2:13" ht="135.75" customHeight="1">
      <c r="B511" s="32" t="str">
        <f t="shared" si="49"/>
        <v>1</v>
      </c>
      <c r="C511" s="33" t="str">
        <f t="shared" si="50"/>
        <v>6</v>
      </c>
      <c r="D511" s="33" t="str">
        <f t="shared" si="51"/>
        <v>1</v>
      </c>
      <c r="E511" s="33" t="str">
        <f t="shared" si="52"/>
        <v>0</v>
      </c>
      <c r="F511" s="33" t="str">
        <f t="shared" si="53"/>
        <v>03</v>
      </c>
      <c r="G511" s="33" t="str">
        <f t="shared" si="54"/>
        <v>1</v>
      </c>
      <c r="H511" s="33" t="str">
        <f t="shared" si="55"/>
        <v>0</v>
      </c>
      <c r="I511" s="28">
        <v>16100310</v>
      </c>
      <c r="J511" s="29" t="s">
        <v>823</v>
      </c>
      <c r="K511" s="29" t="s">
        <v>825</v>
      </c>
      <c r="L511" s="29"/>
      <c r="M511" s="34"/>
    </row>
    <row r="512" spans="2:13" ht="45">
      <c r="B512" s="32" t="str">
        <f t="shared" si="49"/>
        <v>1</v>
      </c>
      <c r="C512" s="33" t="str">
        <f t="shared" si="50"/>
        <v>6</v>
      </c>
      <c r="D512" s="33" t="str">
        <f t="shared" si="51"/>
        <v>1</v>
      </c>
      <c r="E512" s="33" t="str">
        <f t="shared" si="52"/>
        <v>0</v>
      </c>
      <c r="F512" s="33" t="str">
        <f t="shared" si="53"/>
        <v>04</v>
      </c>
      <c r="G512" s="33" t="str">
        <f t="shared" si="54"/>
        <v>0</v>
      </c>
      <c r="H512" s="33" t="str">
        <f t="shared" si="55"/>
        <v>0</v>
      </c>
      <c r="I512" s="28">
        <v>16100400</v>
      </c>
      <c r="J512" s="29" t="s">
        <v>826</v>
      </c>
      <c r="K512" s="29" t="s">
        <v>827</v>
      </c>
      <c r="L512" s="29"/>
      <c r="M512" s="34"/>
    </row>
    <row r="513" spans="2:13" ht="75">
      <c r="B513" s="32" t="str">
        <f t="shared" si="49"/>
        <v>1</v>
      </c>
      <c r="C513" s="33" t="str">
        <f t="shared" si="50"/>
        <v>6</v>
      </c>
      <c r="D513" s="33" t="str">
        <f t="shared" si="51"/>
        <v>1</v>
      </c>
      <c r="E513" s="33" t="str">
        <f t="shared" si="52"/>
        <v>0</v>
      </c>
      <c r="F513" s="33" t="str">
        <f t="shared" si="53"/>
        <v>04</v>
      </c>
      <c r="G513" s="33" t="str">
        <f t="shared" si="54"/>
        <v>1</v>
      </c>
      <c r="H513" s="33" t="str">
        <f t="shared" si="55"/>
        <v>0</v>
      </c>
      <c r="I513" s="28">
        <v>16100410</v>
      </c>
      <c r="J513" s="29" t="s">
        <v>826</v>
      </c>
      <c r="K513" s="29" t="s">
        <v>828</v>
      </c>
      <c r="L513" s="29"/>
      <c r="M513" s="34"/>
    </row>
    <row r="514" spans="2:13" ht="45">
      <c r="B514" s="32" t="str">
        <f t="shared" si="49"/>
        <v>1</v>
      </c>
      <c r="C514" s="33" t="str">
        <f t="shared" si="50"/>
        <v>6</v>
      </c>
      <c r="D514" s="33" t="str">
        <f t="shared" si="51"/>
        <v>1</v>
      </c>
      <c r="E514" s="33" t="str">
        <f t="shared" si="52"/>
        <v>0</v>
      </c>
      <c r="F514" s="33" t="str">
        <f t="shared" si="53"/>
        <v>05</v>
      </c>
      <c r="G514" s="33" t="str">
        <f t="shared" si="54"/>
        <v>0</v>
      </c>
      <c r="H514" s="33" t="str">
        <f t="shared" si="55"/>
        <v>0</v>
      </c>
      <c r="I514" s="28">
        <v>16100500</v>
      </c>
      <c r="J514" s="29" t="s">
        <v>829</v>
      </c>
      <c r="K514" s="29" t="s">
        <v>830</v>
      </c>
      <c r="L514" s="29" t="s">
        <v>619</v>
      </c>
      <c r="M514" s="34"/>
    </row>
    <row r="515" spans="2:13" ht="45">
      <c r="B515" s="32" t="str">
        <f t="shared" si="49"/>
        <v>1</v>
      </c>
      <c r="C515" s="33" t="str">
        <f t="shared" si="50"/>
        <v>6</v>
      </c>
      <c r="D515" s="33" t="str">
        <f t="shared" si="51"/>
        <v>1</v>
      </c>
      <c r="E515" s="33" t="str">
        <f t="shared" si="52"/>
        <v>0</v>
      </c>
      <c r="F515" s="33" t="str">
        <f t="shared" si="53"/>
        <v>05</v>
      </c>
      <c r="G515" s="33" t="str">
        <f t="shared" si="54"/>
        <v>1</v>
      </c>
      <c r="H515" s="33" t="str">
        <f t="shared" si="55"/>
        <v>0</v>
      </c>
      <c r="I515" s="28">
        <v>16100510</v>
      </c>
      <c r="J515" s="29" t="s">
        <v>829</v>
      </c>
      <c r="K515" s="29" t="s">
        <v>830</v>
      </c>
      <c r="L515" s="29" t="s">
        <v>619</v>
      </c>
      <c r="M515" s="34"/>
    </row>
    <row r="516" spans="2:13" ht="60">
      <c r="B516" s="32" t="str">
        <f t="shared" si="49"/>
        <v>1</v>
      </c>
      <c r="C516" s="33" t="str">
        <f t="shared" si="50"/>
        <v>6</v>
      </c>
      <c r="D516" s="33" t="str">
        <f t="shared" si="51"/>
        <v>2</v>
      </c>
      <c r="E516" s="33" t="str">
        <f t="shared" si="52"/>
        <v>0</v>
      </c>
      <c r="F516" s="33" t="str">
        <f t="shared" si="53"/>
        <v>00</v>
      </c>
      <c r="G516" s="33" t="str">
        <f t="shared" si="54"/>
        <v>0</v>
      </c>
      <c r="H516" s="33" t="str">
        <f t="shared" si="55"/>
        <v>0</v>
      </c>
      <c r="I516" s="28">
        <v>16200000</v>
      </c>
      <c r="J516" s="29" t="s">
        <v>831</v>
      </c>
      <c r="K516" s="29" t="s">
        <v>832</v>
      </c>
      <c r="L516" s="29"/>
      <c r="M516" s="34"/>
    </row>
    <row r="517" spans="2:13" ht="45">
      <c r="B517" s="32" t="str">
        <f t="shared" si="49"/>
        <v>1</v>
      </c>
      <c r="C517" s="33" t="str">
        <f t="shared" si="50"/>
        <v>6</v>
      </c>
      <c r="D517" s="33" t="str">
        <f t="shared" si="51"/>
        <v>2</v>
      </c>
      <c r="E517" s="33" t="str">
        <f t="shared" si="52"/>
        <v>0</v>
      </c>
      <c r="F517" s="33" t="str">
        <f t="shared" si="53"/>
        <v>01</v>
      </c>
      <c r="G517" s="33" t="str">
        <f t="shared" si="54"/>
        <v>0</v>
      </c>
      <c r="H517" s="33" t="str">
        <f t="shared" si="55"/>
        <v>0</v>
      </c>
      <c r="I517" s="28">
        <v>16200100</v>
      </c>
      <c r="J517" s="29" t="s">
        <v>833</v>
      </c>
      <c r="K517" s="29" t="s">
        <v>834</v>
      </c>
      <c r="L517" s="29"/>
      <c r="M517" s="34"/>
    </row>
    <row r="518" spans="2:13" ht="45">
      <c r="B518" s="32" t="str">
        <f t="shared" si="49"/>
        <v>1</v>
      </c>
      <c r="C518" s="33" t="str">
        <f t="shared" si="50"/>
        <v>6</v>
      </c>
      <c r="D518" s="33" t="str">
        <f t="shared" si="51"/>
        <v>2</v>
      </c>
      <c r="E518" s="33" t="str">
        <f t="shared" si="52"/>
        <v>0</v>
      </c>
      <c r="F518" s="33" t="str">
        <f t="shared" si="53"/>
        <v>01</v>
      </c>
      <c r="G518" s="33" t="str">
        <f t="shared" si="54"/>
        <v>1</v>
      </c>
      <c r="H518" s="33" t="str">
        <f t="shared" si="55"/>
        <v>0</v>
      </c>
      <c r="I518" s="28">
        <v>16200110</v>
      </c>
      <c r="J518" s="29" t="s">
        <v>833</v>
      </c>
      <c r="K518" s="29" t="s">
        <v>835</v>
      </c>
      <c r="L518" s="29"/>
      <c r="M518" s="34"/>
    </row>
    <row r="519" spans="2:13" ht="45">
      <c r="B519" s="32" t="str">
        <f t="shared" ref="B519:B582" si="56">MID($I519,1,1)</f>
        <v>1</v>
      </c>
      <c r="C519" s="33" t="str">
        <f t="shared" ref="C519:C582" si="57">MID($I519,2,1)</f>
        <v>6</v>
      </c>
      <c r="D519" s="33" t="str">
        <f t="shared" ref="D519:D582" si="58">MID($I519,3,1)</f>
        <v>2</v>
      </c>
      <c r="E519" s="33" t="str">
        <f t="shared" ref="E519:E582" si="59">MID($I519,4,1)</f>
        <v>0</v>
      </c>
      <c r="F519" s="33" t="str">
        <f t="shared" ref="F519:F582" si="60">MID($I519,5,2)</f>
        <v>02</v>
      </c>
      <c r="G519" s="33" t="str">
        <f t="shared" ref="G519:G582" si="61">MID($I519,7,1)</f>
        <v>0</v>
      </c>
      <c r="H519" s="33" t="str">
        <f t="shared" ref="H519:H582" si="62">MID($I519,8,1)</f>
        <v>0</v>
      </c>
      <c r="I519" s="28">
        <v>16200200</v>
      </c>
      <c r="J519" s="29" t="s">
        <v>836</v>
      </c>
      <c r="K519" s="29" t="s">
        <v>837</v>
      </c>
      <c r="L519" s="29"/>
      <c r="M519" s="34"/>
    </row>
    <row r="520" spans="2:13" ht="45">
      <c r="B520" s="32" t="str">
        <f t="shared" si="56"/>
        <v>1</v>
      </c>
      <c r="C520" s="33" t="str">
        <f t="shared" si="57"/>
        <v>6</v>
      </c>
      <c r="D520" s="33" t="str">
        <f t="shared" si="58"/>
        <v>2</v>
      </c>
      <c r="E520" s="33" t="str">
        <f t="shared" si="59"/>
        <v>0</v>
      </c>
      <c r="F520" s="33" t="str">
        <f t="shared" si="60"/>
        <v>02</v>
      </c>
      <c r="G520" s="33" t="str">
        <f t="shared" si="61"/>
        <v>1</v>
      </c>
      <c r="H520" s="33" t="str">
        <f t="shared" si="62"/>
        <v>0</v>
      </c>
      <c r="I520" s="28">
        <v>16200210</v>
      </c>
      <c r="J520" s="29" t="s">
        <v>836</v>
      </c>
      <c r="K520" s="29" t="s">
        <v>838</v>
      </c>
      <c r="L520" s="29"/>
      <c r="M520" s="34"/>
    </row>
    <row r="521" spans="2:13" ht="30">
      <c r="B521" s="32" t="str">
        <f t="shared" si="56"/>
        <v>1</v>
      </c>
      <c r="C521" s="33" t="str">
        <f t="shared" si="57"/>
        <v>6</v>
      </c>
      <c r="D521" s="33" t="str">
        <f t="shared" si="58"/>
        <v>2</v>
      </c>
      <c r="E521" s="33" t="str">
        <f t="shared" si="59"/>
        <v>0</v>
      </c>
      <c r="F521" s="33" t="str">
        <f t="shared" si="60"/>
        <v>03</v>
      </c>
      <c r="G521" s="33" t="str">
        <f t="shared" si="61"/>
        <v>0</v>
      </c>
      <c r="H521" s="33" t="str">
        <f t="shared" si="62"/>
        <v>0</v>
      </c>
      <c r="I521" s="28">
        <v>16200300</v>
      </c>
      <c r="J521" s="29" t="s">
        <v>839</v>
      </c>
      <c r="K521" s="29" t="s">
        <v>840</v>
      </c>
      <c r="L521" s="29"/>
      <c r="M521" s="34"/>
    </row>
    <row r="522" spans="2:13" ht="30">
      <c r="B522" s="32" t="str">
        <f t="shared" si="56"/>
        <v>1</v>
      </c>
      <c r="C522" s="33" t="str">
        <f t="shared" si="57"/>
        <v>6</v>
      </c>
      <c r="D522" s="33" t="str">
        <f t="shared" si="58"/>
        <v>2</v>
      </c>
      <c r="E522" s="33" t="str">
        <f t="shared" si="59"/>
        <v>0</v>
      </c>
      <c r="F522" s="33" t="str">
        <f t="shared" si="60"/>
        <v>03</v>
      </c>
      <c r="G522" s="33" t="str">
        <f t="shared" si="61"/>
        <v>1</v>
      </c>
      <c r="H522" s="33" t="str">
        <f t="shared" si="62"/>
        <v>0</v>
      </c>
      <c r="I522" s="28">
        <v>16200310</v>
      </c>
      <c r="J522" s="29" t="s">
        <v>839</v>
      </c>
      <c r="K522" s="29" t="s">
        <v>841</v>
      </c>
      <c r="L522" s="29"/>
      <c r="M522" s="34"/>
    </row>
    <row r="523" spans="2:13" ht="75">
      <c r="B523" s="32" t="str">
        <f t="shared" si="56"/>
        <v>1</v>
      </c>
      <c r="C523" s="33" t="str">
        <f t="shared" si="57"/>
        <v>6</v>
      </c>
      <c r="D523" s="33" t="str">
        <f t="shared" si="58"/>
        <v>2</v>
      </c>
      <c r="E523" s="33" t="str">
        <f t="shared" si="59"/>
        <v>0</v>
      </c>
      <c r="F523" s="33" t="str">
        <f t="shared" si="60"/>
        <v>04</v>
      </c>
      <c r="G523" s="33" t="str">
        <f t="shared" si="61"/>
        <v>0</v>
      </c>
      <c r="H523" s="33" t="str">
        <f t="shared" si="62"/>
        <v>0</v>
      </c>
      <c r="I523" s="28">
        <v>16200400</v>
      </c>
      <c r="J523" s="29" t="s">
        <v>842</v>
      </c>
      <c r="K523" s="29" t="s">
        <v>843</v>
      </c>
      <c r="L523" s="29"/>
      <c r="M523" s="34"/>
    </row>
    <row r="524" spans="2:13" ht="75">
      <c r="B524" s="32" t="str">
        <f t="shared" si="56"/>
        <v>1</v>
      </c>
      <c r="C524" s="33" t="str">
        <f t="shared" si="57"/>
        <v>6</v>
      </c>
      <c r="D524" s="33" t="str">
        <f t="shared" si="58"/>
        <v>2</v>
      </c>
      <c r="E524" s="33" t="str">
        <f t="shared" si="59"/>
        <v>0</v>
      </c>
      <c r="F524" s="33" t="str">
        <f t="shared" si="60"/>
        <v>04</v>
      </c>
      <c r="G524" s="33" t="str">
        <f t="shared" si="61"/>
        <v>1</v>
      </c>
      <c r="H524" s="33" t="str">
        <f t="shared" si="62"/>
        <v>0</v>
      </c>
      <c r="I524" s="28">
        <v>16200410</v>
      </c>
      <c r="J524" s="29" t="s">
        <v>844</v>
      </c>
      <c r="K524" s="29" t="s">
        <v>845</v>
      </c>
      <c r="L524" s="29"/>
      <c r="M524" s="34"/>
    </row>
    <row r="525" spans="2:13" ht="30">
      <c r="B525" s="32" t="str">
        <f t="shared" si="56"/>
        <v>1</v>
      </c>
      <c r="C525" s="33" t="str">
        <f t="shared" si="57"/>
        <v>6</v>
      </c>
      <c r="D525" s="33" t="str">
        <f t="shared" si="58"/>
        <v>2</v>
      </c>
      <c r="E525" s="33" t="str">
        <f t="shared" si="59"/>
        <v>0</v>
      </c>
      <c r="F525" s="33" t="str">
        <f t="shared" si="60"/>
        <v>04</v>
      </c>
      <c r="G525" s="33" t="str">
        <f t="shared" si="61"/>
        <v>2</v>
      </c>
      <c r="H525" s="33" t="str">
        <f t="shared" si="62"/>
        <v>0</v>
      </c>
      <c r="I525" s="28">
        <v>16200420</v>
      </c>
      <c r="J525" s="29" t="s">
        <v>846</v>
      </c>
      <c r="K525" s="29" t="s">
        <v>847</v>
      </c>
      <c r="L525" s="29"/>
      <c r="M525" s="34"/>
    </row>
    <row r="526" spans="2:13" ht="60">
      <c r="B526" s="32" t="str">
        <f t="shared" si="56"/>
        <v>1</v>
      </c>
      <c r="C526" s="33" t="str">
        <f t="shared" si="57"/>
        <v>6</v>
      </c>
      <c r="D526" s="33" t="str">
        <f t="shared" si="58"/>
        <v>2</v>
      </c>
      <c r="E526" s="33" t="str">
        <f t="shared" si="59"/>
        <v>0</v>
      </c>
      <c r="F526" s="33" t="str">
        <f t="shared" si="60"/>
        <v>04</v>
      </c>
      <c r="G526" s="33" t="str">
        <f t="shared" si="61"/>
        <v>3</v>
      </c>
      <c r="H526" s="33" t="str">
        <f t="shared" si="62"/>
        <v>0</v>
      </c>
      <c r="I526" s="28">
        <v>16200430</v>
      </c>
      <c r="J526" s="29" t="s">
        <v>848</v>
      </c>
      <c r="K526" s="29" t="s">
        <v>849</v>
      </c>
      <c r="L526" s="29"/>
      <c r="M526" s="34"/>
    </row>
    <row r="527" spans="2:13" ht="45">
      <c r="B527" s="32" t="str">
        <f t="shared" si="56"/>
        <v>1</v>
      </c>
      <c r="C527" s="33" t="str">
        <f t="shared" si="57"/>
        <v>6</v>
      </c>
      <c r="D527" s="33" t="str">
        <f t="shared" si="58"/>
        <v>3</v>
      </c>
      <c r="E527" s="33" t="str">
        <f t="shared" si="59"/>
        <v>0</v>
      </c>
      <c r="F527" s="33" t="str">
        <f t="shared" si="60"/>
        <v>00</v>
      </c>
      <c r="G527" s="33" t="str">
        <f t="shared" si="61"/>
        <v>0</v>
      </c>
      <c r="H527" s="33" t="str">
        <f t="shared" si="62"/>
        <v>0</v>
      </c>
      <c r="I527" s="28">
        <v>16300000</v>
      </c>
      <c r="J527" s="29" t="s">
        <v>850</v>
      </c>
      <c r="K527" s="29" t="s">
        <v>851</v>
      </c>
      <c r="L527" s="29"/>
      <c r="M527" s="34"/>
    </row>
    <row r="528" spans="2:13" ht="75">
      <c r="B528" s="32" t="str">
        <f t="shared" si="56"/>
        <v>1</v>
      </c>
      <c r="C528" s="33" t="str">
        <f t="shared" si="57"/>
        <v>6</v>
      </c>
      <c r="D528" s="33" t="str">
        <f t="shared" si="58"/>
        <v>3</v>
      </c>
      <c r="E528" s="33" t="str">
        <f t="shared" si="59"/>
        <v>0</v>
      </c>
      <c r="F528" s="33" t="str">
        <f t="shared" si="60"/>
        <v>01</v>
      </c>
      <c r="G528" s="33" t="str">
        <f t="shared" si="61"/>
        <v>0</v>
      </c>
      <c r="H528" s="33" t="str">
        <f t="shared" si="62"/>
        <v>0</v>
      </c>
      <c r="I528" s="28">
        <v>16300100</v>
      </c>
      <c r="J528" s="29" t="s">
        <v>852</v>
      </c>
      <c r="K528" s="29" t="s">
        <v>853</v>
      </c>
      <c r="L528" s="29"/>
      <c r="M528" s="34"/>
    </row>
    <row r="529" spans="2:13" ht="105">
      <c r="B529" s="32" t="str">
        <f t="shared" si="56"/>
        <v>1</v>
      </c>
      <c r="C529" s="33" t="str">
        <f t="shared" si="57"/>
        <v>6</v>
      </c>
      <c r="D529" s="33" t="str">
        <f t="shared" si="58"/>
        <v>3</v>
      </c>
      <c r="E529" s="33" t="str">
        <f t="shared" si="59"/>
        <v>0</v>
      </c>
      <c r="F529" s="33" t="str">
        <f t="shared" si="60"/>
        <v>01</v>
      </c>
      <c r="G529" s="33" t="str">
        <f t="shared" si="61"/>
        <v>1</v>
      </c>
      <c r="H529" s="33" t="str">
        <f t="shared" si="62"/>
        <v>0</v>
      </c>
      <c r="I529" s="28">
        <v>16300110</v>
      </c>
      <c r="J529" s="29" t="s">
        <v>852</v>
      </c>
      <c r="K529" s="29" t="s">
        <v>854</v>
      </c>
      <c r="L529" s="29"/>
      <c r="M529" s="34"/>
    </row>
    <row r="530" spans="2:13" ht="115.5" customHeight="1">
      <c r="B530" s="32" t="str">
        <f t="shared" si="56"/>
        <v>1</v>
      </c>
      <c r="C530" s="33" t="str">
        <f t="shared" si="57"/>
        <v>6</v>
      </c>
      <c r="D530" s="33" t="str">
        <f t="shared" si="58"/>
        <v>3</v>
      </c>
      <c r="E530" s="33" t="str">
        <f t="shared" si="59"/>
        <v>0</v>
      </c>
      <c r="F530" s="33" t="str">
        <f t="shared" si="60"/>
        <v>02</v>
      </c>
      <c r="G530" s="33" t="str">
        <f t="shared" si="61"/>
        <v>0</v>
      </c>
      <c r="H530" s="33" t="str">
        <f t="shared" si="62"/>
        <v>0</v>
      </c>
      <c r="I530" s="28">
        <v>16300200</v>
      </c>
      <c r="J530" s="29" t="s">
        <v>855</v>
      </c>
      <c r="K530" s="29" t="s">
        <v>856</v>
      </c>
      <c r="L530" s="29"/>
      <c r="M530" s="34"/>
    </row>
    <row r="531" spans="2:13" ht="104.25" customHeight="1">
      <c r="B531" s="32" t="str">
        <f t="shared" si="56"/>
        <v>1</v>
      </c>
      <c r="C531" s="33" t="str">
        <f t="shared" si="57"/>
        <v>6</v>
      </c>
      <c r="D531" s="33" t="str">
        <f t="shared" si="58"/>
        <v>3</v>
      </c>
      <c r="E531" s="33" t="str">
        <f t="shared" si="59"/>
        <v>0</v>
      </c>
      <c r="F531" s="33" t="str">
        <f t="shared" si="60"/>
        <v>02</v>
      </c>
      <c r="G531" s="33" t="str">
        <f t="shared" si="61"/>
        <v>1</v>
      </c>
      <c r="H531" s="33" t="str">
        <f t="shared" si="62"/>
        <v>0</v>
      </c>
      <c r="I531" s="28">
        <v>16300210</v>
      </c>
      <c r="J531" s="29" t="s">
        <v>857</v>
      </c>
      <c r="K531" s="29" t="s">
        <v>858</v>
      </c>
      <c r="L531" s="29"/>
      <c r="M531" s="34"/>
    </row>
    <row r="532" spans="2:13" ht="112.5" customHeight="1">
      <c r="B532" s="32" t="str">
        <f t="shared" si="56"/>
        <v>1</v>
      </c>
      <c r="C532" s="33" t="str">
        <f t="shared" si="57"/>
        <v>6</v>
      </c>
      <c r="D532" s="33" t="str">
        <f t="shared" si="58"/>
        <v>3</v>
      </c>
      <c r="E532" s="33" t="str">
        <f t="shared" si="59"/>
        <v>0</v>
      </c>
      <c r="F532" s="33" t="str">
        <f t="shared" si="60"/>
        <v>02</v>
      </c>
      <c r="G532" s="33" t="str">
        <f t="shared" si="61"/>
        <v>2</v>
      </c>
      <c r="H532" s="33" t="str">
        <f t="shared" si="62"/>
        <v>0</v>
      </c>
      <c r="I532" s="28">
        <v>16300220</v>
      </c>
      <c r="J532" s="29" t="s">
        <v>859</v>
      </c>
      <c r="K532" s="29" t="s">
        <v>856</v>
      </c>
      <c r="L532" s="29"/>
      <c r="M532" s="34"/>
    </row>
    <row r="533" spans="2:13" ht="45">
      <c r="B533" s="32" t="str">
        <f t="shared" si="56"/>
        <v>1</v>
      </c>
      <c r="C533" s="33" t="str">
        <f t="shared" si="57"/>
        <v>6</v>
      </c>
      <c r="D533" s="33" t="str">
        <f t="shared" si="58"/>
        <v>3</v>
      </c>
      <c r="E533" s="33" t="str">
        <f t="shared" si="59"/>
        <v>8</v>
      </c>
      <c r="F533" s="33" t="str">
        <f t="shared" si="60"/>
        <v>00</v>
      </c>
      <c r="G533" s="33" t="str">
        <f t="shared" si="61"/>
        <v>0</v>
      </c>
      <c r="H533" s="33" t="str">
        <f t="shared" si="62"/>
        <v>0</v>
      </c>
      <c r="I533" s="28">
        <v>16380000</v>
      </c>
      <c r="J533" s="29" t="s">
        <v>860</v>
      </c>
      <c r="K533" s="29" t="s">
        <v>861</v>
      </c>
      <c r="L533" s="29"/>
      <c r="M533" s="34"/>
    </row>
    <row r="534" spans="2:13" ht="75">
      <c r="B534" s="32" t="str">
        <f t="shared" si="56"/>
        <v>1</v>
      </c>
      <c r="C534" s="33" t="str">
        <f t="shared" si="57"/>
        <v>6</v>
      </c>
      <c r="D534" s="33" t="str">
        <f t="shared" si="58"/>
        <v>3</v>
      </c>
      <c r="E534" s="33" t="str">
        <f t="shared" si="59"/>
        <v>8</v>
      </c>
      <c r="F534" s="33" t="str">
        <f t="shared" si="60"/>
        <v>01</v>
      </c>
      <c r="G534" s="33" t="str">
        <f t="shared" si="61"/>
        <v>0</v>
      </c>
      <c r="H534" s="33" t="str">
        <f t="shared" si="62"/>
        <v>0</v>
      </c>
      <c r="I534" s="28">
        <v>16380100</v>
      </c>
      <c r="J534" s="29" t="s">
        <v>862</v>
      </c>
      <c r="K534" s="29" t="s">
        <v>863</v>
      </c>
      <c r="L534" s="29"/>
      <c r="M534" s="34"/>
    </row>
    <row r="535" spans="2:13" ht="45">
      <c r="B535" s="32" t="str">
        <f t="shared" si="56"/>
        <v>1</v>
      </c>
      <c r="C535" s="33" t="str">
        <f t="shared" si="57"/>
        <v>6</v>
      </c>
      <c r="D535" s="33" t="str">
        <f t="shared" si="58"/>
        <v>3</v>
      </c>
      <c r="E535" s="33" t="str">
        <f t="shared" si="59"/>
        <v>8</v>
      </c>
      <c r="F535" s="33" t="str">
        <f t="shared" si="60"/>
        <v>01</v>
      </c>
      <c r="G535" s="33" t="str">
        <f t="shared" si="61"/>
        <v>1</v>
      </c>
      <c r="H535" s="33" t="str">
        <f t="shared" si="62"/>
        <v>0</v>
      </c>
      <c r="I535" s="28">
        <v>16380110</v>
      </c>
      <c r="J535" s="29" t="s">
        <v>864</v>
      </c>
      <c r="K535" s="29" t="s">
        <v>865</v>
      </c>
      <c r="L535" s="29"/>
      <c r="M535" s="34"/>
    </row>
    <row r="536" spans="2:13" ht="30">
      <c r="B536" s="32" t="str">
        <f t="shared" si="56"/>
        <v>1</v>
      </c>
      <c r="C536" s="33" t="str">
        <f t="shared" si="57"/>
        <v>6</v>
      </c>
      <c r="D536" s="33" t="str">
        <f t="shared" si="58"/>
        <v>3</v>
      </c>
      <c r="E536" s="33" t="str">
        <f t="shared" si="59"/>
        <v>8</v>
      </c>
      <c r="F536" s="33" t="str">
        <f t="shared" si="60"/>
        <v>01</v>
      </c>
      <c r="G536" s="33" t="str">
        <f t="shared" si="61"/>
        <v>2</v>
      </c>
      <c r="H536" s="33" t="str">
        <f t="shared" si="62"/>
        <v>0</v>
      </c>
      <c r="I536" s="28">
        <v>16380120</v>
      </c>
      <c r="J536" s="29" t="s">
        <v>866</v>
      </c>
      <c r="K536" s="29" t="s">
        <v>867</v>
      </c>
      <c r="L536" s="29"/>
      <c r="M536" s="34"/>
    </row>
    <row r="537" spans="2:13" ht="45">
      <c r="B537" s="32" t="str">
        <f t="shared" si="56"/>
        <v>1</v>
      </c>
      <c r="C537" s="33" t="str">
        <f t="shared" si="57"/>
        <v>6</v>
      </c>
      <c r="D537" s="33" t="str">
        <f t="shared" si="58"/>
        <v>3</v>
      </c>
      <c r="E537" s="33" t="str">
        <f t="shared" si="59"/>
        <v>8</v>
      </c>
      <c r="F537" s="33" t="str">
        <f t="shared" si="60"/>
        <v>01</v>
      </c>
      <c r="G537" s="33" t="str">
        <f t="shared" si="61"/>
        <v>3</v>
      </c>
      <c r="H537" s="33" t="str">
        <f t="shared" si="62"/>
        <v>0</v>
      </c>
      <c r="I537" s="28">
        <v>16380130</v>
      </c>
      <c r="J537" s="29" t="s">
        <v>868</v>
      </c>
      <c r="K537" s="29" t="s">
        <v>869</v>
      </c>
      <c r="L537" s="29"/>
      <c r="M537" s="34"/>
    </row>
    <row r="538" spans="2:13" ht="45">
      <c r="B538" s="32" t="str">
        <f t="shared" si="56"/>
        <v>1</v>
      </c>
      <c r="C538" s="33" t="str">
        <f t="shared" si="57"/>
        <v>6</v>
      </c>
      <c r="D538" s="33" t="str">
        <f t="shared" si="58"/>
        <v>3</v>
      </c>
      <c r="E538" s="33" t="str">
        <f t="shared" si="59"/>
        <v>8</v>
      </c>
      <c r="F538" s="33" t="str">
        <f t="shared" si="60"/>
        <v>01</v>
      </c>
      <c r="G538" s="33" t="str">
        <f t="shared" si="61"/>
        <v>4</v>
      </c>
      <c r="H538" s="33" t="str">
        <f t="shared" si="62"/>
        <v>0</v>
      </c>
      <c r="I538" s="28">
        <v>16380140</v>
      </c>
      <c r="J538" s="29" t="s">
        <v>870</v>
      </c>
      <c r="K538" s="29" t="s">
        <v>871</v>
      </c>
      <c r="L538" s="29"/>
      <c r="M538" s="34"/>
    </row>
    <row r="539" spans="2:13" ht="30">
      <c r="B539" s="32" t="str">
        <f t="shared" si="56"/>
        <v>1</v>
      </c>
      <c r="C539" s="33" t="str">
        <f t="shared" si="57"/>
        <v>6</v>
      </c>
      <c r="D539" s="33" t="str">
        <f t="shared" si="58"/>
        <v>3</v>
      </c>
      <c r="E539" s="33" t="str">
        <f t="shared" si="59"/>
        <v>8</v>
      </c>
      <c r="F539" s="33" t="str">
        <f t="shared" si="60"/>
        <v>01</v>
      </c>
      <c r="G539" s="33" t="str">
        <f t="shared" si="61"/>
        <v>9</v>
      </c>
      <c r="H539" s="33" t="str">
        <f t="shared" si="62"/>
        <v>0</v>
      </c>
      <c r="I539" s="28">
        <v>16380190</v>
      </c>
      <c r="J539" s="29" t="s">
        <v>872</v>
      </c>
      <c r="K539" s="29" t="s">
        <v>873</v>
      </c>
      <c r="L539" s="29"/>
      <c r="M539" s="34"/>
    </row>
    <row r="540" spans="2:13" ht="45">
      <c r="B540" s="32" t="str">
        <f t="shared" si="56"/>
        <v>1</v>
      </c>
      <c r="C540" s="33" t="str">
        <f t="shared" si="57"/>
        <v>6</v>
      </c>
      <c r="D540" s="33" t="str">
        <f t="shared" si="58"/>
        <v>4</v>
      </c>
      <c r="E540" s="33" t="str">
        <f t="shared" si="59"/>
        <v>0</v>
      </c>
      <c r="F540" s="33" t="str">
        <f t="shared" si="60"/>
        <v>00</v>
      </c>
      <c r="G540" s="33" t="str">
        <f t="shared" si="61"/>
        <v>0</v>
      </c>
      <c r="H540" s="33" t="str">
        <f t="shared" si="62"/>
        <v>0</v>
      </c>
      <c r="I540" s="28">
        <v>16400000</v>
      </c>
      <c r="J540" s="29" t="s">
        <v>874</v>
      </c>
      <c r="K540" s="29" t="s">
        <v>875</v>
      </c>
      <c r="L540" s="29"/>
      <c r="M540" s="34"/>
    </row>
    <row r="541" spans="2:13" ht="90">
      <c r="B541" s="32" t="str">
        <f t="shared" si="56"/>
        <v>1</v>
      </c>
      <c r="C541" s="33" t="str">
        <f t="shared" si="57"/>
        <v>6</v>
      </c>
      <c r="D541" s="33" t="str">
        <f t="shared" si="58"/>
        <v>4</v>
      </c>
      <c r="E541" s="33" t="str">
        <f t="shared" si="59"/>
        <v>0</v>
      </c>
      <c r="F541" s="33" t="str">
        <f t="shared" si="60"/>
        <v>01</v>
      </c>
      <c r="G541" s="33" t="str">
        <f t="shared" si="61"/>
        <v>0</v>
      </c>
      <c r="H541" s="33" t="str">
        <f t="shared" si="62"/>
        <v>0</v>
      </c>
      <c r="I541" s="28">
        <v>16400100</v>
      </c>
      <c r="J541" s="29" t="s">
        <v>876</v>
      </c>
      <c r="K541" s="29" t="s">
        <v>877</v>
      </c>
      <c r="L541" s="29"/>
      <c r="M541" s="34"/>
    </row>
    <row r="542" spans="2:13" ht="90">
      <c r="B542" s="32" t="str">
        <f t="shared" si="56"/>
        <v>1</v>
      </c>
      <c r="C542" s="33" t="str">
        <f t="shared" si="57"/>
        <v>6</v>
      </c>
      <c r="D542" s="33" t="str">
        <f t="shared" si="58"/>
        <v>4</v>
      </c>
      <c r="E542" s="33" t="str">
        <f t="shared" si="59"/>
        <v>0</v>
      </c>
      <c r="F542" s="33" t="str">
        <f t="shared" si="60"/>
        <v>01</v>
      </c>
      <c r="G542" s="33" t="str">
        <f t="shared" si="61"/>
        <v>1</v>
      </c>
      <c r="H542" s="33" t="str">
        <f t="shared" si="62"/>
        <v>0</v>
      </c>
      <c r="I542" s="28">
        <v>16400110</v>
      </c>
      <c r="J542" s="29" t="s">
        <v>876</v>
      </c>
      <c r="K542" s="29" t="s">
        <v>877</v>
      </c>
      <c r="L542" s="29"/>
      <c r="M542" s="34"/>
    </row>
    <row r="543" spans="2:13" ht="30">
      <c r="B543" s="32" t="str">
        <f t="shared" si="56"/>
        <v>1</v>
      </c>
      <c r="C543" s="33" t="str">
        <f t="shared" si="57"/>
        <v>6</v>
      </c>
      <c r="D543" s="33" t="str">
        <f t="shared" si="58"/>
        <v>4</v>
      </c>
      <c r="E543" s="33" t="str">
        <f t="shared" si="59"/>
        <v>0</v>
      </c>
      <c r="F543" s="33" t="str">
        <f t="shared" si="60"/>
        <v>02</v>
      </c>
      <c r="G543" s="33" t="str">
        <f t="shared" si="61"/>
        <v>0</v>
      </c>
      <c r="H543" s="33" t="str">
        <f t="shared" si="62"/>
        <v>0</v>
      </c>
      <c r="I543" s="28">
        <v>16400200</v>
      </c>
      <c r="J543" s="29" t="s">
        <v>878</v>
      </c>
      <c r="K543" s="29" t="s">
        <v>879</v>
      </c>
      <c r="L543" s="29"/>
      <c r="M543" s="34"/>
    </row>
    <row r="544" spans="2:13" ht="30">
      <c r="B544" s="32" t="str">
        <f t="shared" si="56"/>
        <v>1</v>
      </c>
      <c r="C544" s="33" t="str">
        <f t="shared" si="57"/>
        <v>6</v>
      </c>
      <c r="D544" s="33" t="str">
        <f t="shared" si="58"/>
        <v>4</v>
      </c>
      <c r="E544" s="33" t="str">
        <f t="shared" si="59"/>
        <v>0</v>
      </c>
      <c r="F544" s="33" t="str">
        <f t="shared" si="60"/>
        <v>02</v>
      </c>
      <c r="G544" s="33" t="str">
        <f t="shared" si="61"/>
        <v>1</v>
      </c>
      <c r="H544" s="33" t="str">
        <f t="shared" si="62"/>
        <v>0</v>
      </c>
      <c r="I544" s="28">
        <v>16400210</v>
      </c>
      <c r="J544" s="29" t="s">
        <v>878</v>
      </c>
      <c r="K544" s="29" t="s">
        <v>879</v>
      </c>
      <c r="L544" s="29"/>
      <c r="M544" s="34"/>
    </row>
    <row r="545" spans="2:13" ht="60">
      <c r="B545" s="32" t="str">
        <f t="shared" si="56"/>
        <v>1</v>
      </c>
      <c r="C545" s="33" t="str">
        <f t="shared" si="57"/>
        <v>6</v>
      </c>
      <c r="D545" s="33" t="str">
        <f t="shared" si="58"/>
        <v>4</v>
      </c>
      <c r="E545" s="33" t="str">
        <f t="shared" si="59"/>
        <v>0</v>
      </c>
      <c r="F545" s="33" t="str">
        <f t="shared" si="60"/>
        <v>03</v>
      </c>
      <c r="G545" s="33" t="str">
        <f t="shared" si="61"/>
        <v>0</v>
      </c>
      <c r="H545" s="33" t="str">
        <f t="shared" si="62"/>
        <v>0</v>
      </c>
      <c r="I545" s="28">
        <v>16400300</v>
      </c>
      <c r="J545" s="29" t="s">
        <v>880</v>
      </c>
      <c r="K545" s="29" t="s">
        <v>881</v>
      </c>
      <c r="L545" s="29"/>
      <c r="M545" s="34"/>
    </row>
    <row r="546" spans="2:13" ht="60">
      <c r="B546" s="32" t="str">
        <f t="shared" si="56"/>
        <v>1</v>
      </c>
      <c r="C546" s="33" t="str">
        <f t="shared" si="57"/>
        <v>6</v>
      </c>
      <c r="D546" s="33" t="str">
        <f t="shared" si="58"/>
        <v>4</v>
      </c>
      <c r="E546" s="33" t="str">
        <f t="shared" si="59"/>
        <v>0</v>
      </c>
      <c r="F546" s="33" t="str">
        <f t="shared" si="60"/>
        <v>03</v>
      </c>
      <c r="G546" s="33" t="str">
        <f t="shared" si="61"/>
        <v>1</v>
      </c>
      <c r="H546" s="33" t="str">
        <f t="shared" si="62"/>
        <v>0</v>
      </c>
      <c r="I546" s="28">
        <v>16400310</v>
      </c>
      <c r="J546" s="29" t="s">
        <v>880</v>
      </c>
      <c r="K546" s="29" t="s">
        <v>881</v>
      </c>
      <c r="L546" s="29"/>
      <c r="M546" s="34"/>
    </row>
    <row r="547" spans="2:13" ht="18" customHeight="1">
      <c r="B547" s="32" t="str">
        <f t="shared" si="56"/>
        <v>1</v>
      </c>
      <c r="C547" s="33" t="str">
        <f t="shared" si="57"/>
        <v>6</v>
      </c>
      <c r="D547" s="33" t="str">
        <f t="shared" si="58"/>
        <v>9</v>
      </c>
      <c r="E547" s="33" t="str">
        <f t="shared" si="59"/>
        <v>0</v>
      </c>
      <c r="F547" s="33" t="str">
        <f t="shared" si="60"/>
        <v>00</v>
      </c>
      <c r="G547" s="33" t="str">
        <f t="shared" si="61"/>
        <v>0</v>
      </c>
      <c r="H547" s="33" t="str">
        <f t="shared" si="62"/>
        <v>0</v>
      </c>
      <c r="I547" s="28">
        <v>16900000</v>
      </c>
      <c r="J547" s="29" t="s">
        <v>882</v>
      </c>
      <c r="K547" s="29" t="s">
        <v>883</v>
      </c>
      <c r="L547" s="29"/>
      <c r="M547" s="34"/>
    </row>
    <row r="548" spans="2:13" ht="18" customHeight="1">
      <c r="B548" s="32" t="str">
        <f t="shared" si="56"/>
        <v>1</v>
      </c>
      <c r="C548" s="33" t="str">
        <f t="shared" si="57"/>
        <v>6</v>
      </c>
      <c r="D548" s="33" t="str">
        <f t="shared" si="58"/>
        <v>9</v>
      </c>
      <c r="E548" s="33" t="str">
        <f t="shared" si="59"/>
        <v>0</v>
      </c>
      <c r="F548" s="33" t="str">
        <f t="shared" si="60"/>
        <v>99</v>
      </c>
      <c r="G548" s="33" t="str">
        <f t="shared" si="61"/>
        <v>0</v>
      </c>
      <c r="H548" s="33" t="str">
        <f t="shared" si="62"/>
        <v>0</v>
      </c>
      <c r="I548" s="28">
        <v>16909900</v>
      </c>
      <c r="J548" s="29" t="s">
        <v>882</v>
      </c>
      <c r="K548" s="29" t="s">
        <v>883</v>
      </c>
      <c r="L548" s="29"/>
      <c r="M548" s="34"/>
    </row>
    <row r="549" spans="2:13" ht="18" customHeight="1">
      <c r="B549" s="32" t="str">
        <f t="shared" si="56"/>
        <v>1</v>
      </c>
      <c r="C549" s="33" t="str">
        <f t="shared" si="57"/>
        <v>6</v>
      </c>
      <c r="D549" s="33" t="str">
        <f t="shared" si="58"/>
        <v>9</v>
      </c>
      <c r="E549" s="33" t="str">
        <f t="shared" si="59"/>
        <v>0</v>
      </c>
      <c r="F549" s="33" t="str">
        <f t="shared" si="60"/>
        <v>99</v>
      </c>
      <c r="G549" s="33" t="str">
        <f t="shared" si="61"/>
        <v>1</v>
      </c>
      <c r="H549" s="33" t="str">
        <f t="shared" si="62"/>
        <v>0</v>
      </c>
      <c r="I549" s="28">
        <v>16909910</v>
      </c>
      <c r="J549" s="29" t="s">
        <v>882</v>
      </c>
      <c r="K549" s="29" t="s">
        <v>883</v>
      </c>
      <c r="L549" s="29"/>
      <c r="M549" s="34"/>
    </row>
    <row r="550" spans="2:13" ht="60">
      <c r="B550" s="32" t="str">
        <f t="shared" si="56"/>
        <v>1</v>
      </c>
      <c r="C550" s="33" t="str">
        <f t="shared" si="57"/>
        <v>7</v>
      </c>
      <c r="D550" s="33" t="str">
        <f t="shared" si="58"/>
        <v>0</v>
      </c>
      <c r="E550" s="33" t="str">
        <f t="shared" si="59"/>
        <v>0</v>
      </c>
      <c r="F550" s="33" t="str">
        <f t="shared" si="60"/>
        <v>00</v>
      </c>
      <c r="G550" s="33" t="str">
        <f t="shared" si="61"/>
        <v>0</v>
      </c>
      <c r="H550" s="33" t="str">
        <f t="shared" si="62"/>
        <v>0</v>
      </c>
      <c r="I550" s="28">
        <v>17000000</v>
      </c>
      <c r="J550" s="29" t="s">
        <v>884</v>
      </c>
      <c r="K550" s="29" t="s">
        <v>885</v>
      </c>
      <c r="L550" s="29"/>
      <c r="M550" s="34"/>
    </row>
    <row r="551" spans="2:13" ht="159.75" customHeight="1">
      <c r="B551" s="32" t="str">
        <f t="shared" si="56"/>
        <v>1</v>
      </c>
      <c r="C551" s="33" t="str">
        <f t="shared" si="57"/>
        <v>7</v>
      </c>
      <c r="D551" s="33" t="str">
        <f t="shared" si="58"/>
        <v>1</v>
      </c>
      <c r="E551" s="33" t="str">
        <f t="shared" si="59"/>
        <v>0</v>
      </c>
      <c r="F551" s="33" t="str">
        <f t="shared" si="60"/>
        <v>00</v>
      </c>
      <c r="G551" s="33" t="str">
        <f t="shared" si="61"/>
        <v>0</v>
      </c>
      <c r="H551" s="33" t="str">
        <f t="shared" si="62"/>
        <v>0</v>
      </c>
      <c r="I551" s="28">
        <v>17100000</v>
      </c>
      <c r="J551" s="29" t="s">
        <v>886</v>
      </c>
      <c r="K551" s="29" t="s">
        <v>887</v>
      </c>
      <c r="L551" s="29"/>
      <c r="M551" s="34"/>
    </row>
    <row r="552" spans="2:13" ht="60">
      <c r="B552" s="32" t="str">
        <f t="shared" si="56"/>
        <v>1</v>
      </c>
      <c r="C552" s="33" t="str">
        <f t="shared" si="57"/>
        <v>7</v>
      </c>
      <c r="D552" s="33" t="str">
        <f t="shared" si="58"/>
        <v>1</v>
      </c>
      <c r="E552" s="33" t="str">
        <f t="shared" si="59"/>
        <v>0</v>
      </c>
      <c r="F552" s="33" t="str">
        <f t="shared" si="60"/>
        <v>00</v>
      </c>
      <c r="G552" s="33" t="str">
        <f t="shared" si="61"/>
        <v>1</v>
      </c>
      <c r="H552" s="33" t="str">
        <f t="shared" si="62"/>
        <v>0</v>
      </c>
      <c r="I552" s="28">
        <v>17100010</v>
      </c>
      <c r="J552" s="29" t="s">
        <v>886</v>
      </c>
      <c r="K552" s="29" t="s">
        <v>887</v>
      </c>
      <c r="L552" s="29"/>
      <c r="M552" s="34"/>
    </row>
    <row r="553" spans="2:13" ht="30">
      <c r="B553" s="32" t="str">
        <f t="shared" si="56"/>
        <v>1</v>
      </c>
      <c r="C553" s="33" t="str">
        <f t="shared" si="57"/>
        <v>7</v>
      </c>
      <c r="D553" s="33" t="str">
        <f t="shared" si="58"/>
        <v>1</v>
      </c>
      <c r="E553" s="33" t="str">
        <f t="shared" si="59"/>
        <v>8</v>
      </c>
      <c r="F553" s="33" t="str">
        <f t="shared" si="60"/>
        <v>00</v>
      </c>
      <c r="G553" s="33" t="str">
        <f t="shared" si="61"/>
        <v>0</v>
      </c>
      <c r="H553" s="33" t="str">
        <f t="shared" si="62"/>
        <v>0</v>
      </c>
      <c r="I553" s="28">
        <v>17180000</v>
      </c>
      <c r="J553" s="29" t="s">
        <v>888</v>
      </c>
      <c r="K553" s="29" t="s">
        <v>889</v>
      </c>
      <c r="L553" s="29"/>
      <c r="M553" s="34"/>
    </row>
    <row r="554" spans="2:13" ht="30">
      <c r="B554" s="32" t="str">
        <f t="shared" si="56"/>
        <v>1</v>
      </c>
      <c r="C554" s="33" t="str">
        <f t="shared" si="57"/>
        <v>7</v>
      </c>
      <c r="D554" s="33" t="str">
        <f t="shared" si="58"/>
        <v>1</v>
      </c>
      <c r="E554" s="33" t="str">
        <f t="shared" si="59"/>
        <v>8</v>
      </c>
      <c r="F554" s="33" t="str">
        <f t="shared" si="60"/>
        <v>01</v>
      </c>
      <c r="G554" s="33" t="str">
        <f t="shared" si="61"/>
        <v>0</v>
      </c>
      <c r="H554" s="33" t="str">
        <f t="shared" si="62"/>
        <v>0</v>
      </c>
      <c r="I554" s="28">
        <v>17180100</v>
      </c>
      <c r="J554" s="29" t="s">
        <v>890</v>
      </c>
      <c r="K554" s="29" t="s">
        <v>891</v>
      </c>
      <c r="L554" s="29"/>
      <c r="M554" s="34"/>
    </row>
    <row r="555" spans="2:13" ht="30">
      <c r="B555" s="32" t="str">
        <f t="shared" si="56"/>
        <v>1</v>
      </c>
      <c r="C555" s="33" t="str">
        <f t="shared" si="57"/>
        <v>7</v>
      </c>
      <c r="D555" s="33" t="str">
        <f t="shared" si="58"/>
        <v>1</v>
      </c>
      <c r="E555" s="33" t="str">
        <f t="shared" si="59"/>
        <v>8</v>
      </c>
      <c r="F555" s="33" t="str">
        <f t="shared" si="60"/>
        <v>01</v>
      </c>
      <c r="G555" s="33" t="str">
        <f t="shared" si="61"/>
        <v>1</v>
      </c>
      <c r="H555" s="33" t="str">
        <f t="shared" si="62"/>
        <v>0</v>
      </c>
      <c r="I555" s="28">
        <v>17180110</v>
      </c>
      <c r="J555" s="29" t="s">
        <v>892</v>
      </c>
      <c r="K555" s="29" t="s">
        <v>893</v>
      </c>
      <c r="L555" s="29"/>
      <c r="M555" s="34"/>
    </row>
    <row r="556" spans="2:13" ht="45">
      <c r="B556" s="32" t="str">
        <f t="shared" si="56"/>
        <v>1</v>
      </c>
      <c r="C556" s="33" t="str">
        <f t="shared" si="57"/>
        <v>7</v>
      </c>
      <c r="D556" s="33" t="str">
        <f t="shared" si="58"/>
        <v>1</v>
      </c>
      <c r="E556" s="33" t="str">
        <f t="shared" si="59"/>
        <v>8</v>
      </c>
      <c r="F556" s="33" t="str">
        <f t="shared" si="60"/>
        <v>01</v>
      </c>
      <c r="G556" s="33" t="str">
        <f t="shared" si="61"/>
        <v>2</v>
      </c>
      <c r="H556" s="33" t="str">
        <f t="shared" si="62"/>
        <v>0</v>
      </c>
      <c r="I556" s="28">
        <v>17180120</v>
      </c>
      <c r="J556" s="29" t="s">
        <v>894</v>
      </c>
      <c r="K556" s="29" t="s">
        <v>895</v>
      </c>
      <c r="L556" s="29"/>
      <c r="M556" s="34"/>
    </row>
    <row r="557" spans="2:13" ht="45">
      <c r="B557" s="32" t="str">
        <f t="shared" si="56"/>
        <v>1</v>
      </c>
      <c r="C557" s="33" t="str">
        <f t="shared" si="57"/>
        <v>7</v>
      </c>
      <c r="D557" s="33" t="str">
        <f t="shared" si="58"/>
        <v>1</v>
      </c>
      <c r="E557" s="33" t="str">
        <f t="shared" si="59"/>
        <v>8</v>
      </c>
      <c r="F557" s="33" t="str">
        <f t="shared" si="60"/>
        <v>01</v>
      </c>
      <c r="G557" s="33" t="str">
        <f t="shared" si="61"/>
        <v>3</v>
      </c>
      <c r="H557" s="33" t="str">
        <f t="shared" si="62"/>
        <v>0</v>
      </c>
      <c r="I557" s="28">
        <v>17180130</v>
      </c>
      <c r="J557" s="29" t="s">
        <v>896</v>
      </c>
      <c r="K557" s="29" t="s">
        <v>897</v>
      </c>
      <c r="L557" s="29"/>
      <c r="M557" s="34"/>
    </row>
    <row r="558" spans="2:13" ht="45">
      <c r="B558" s="32" t="str">
        <f t="shared" si="56"/>
        <v>1</v>
      </c>
      <c r="C558" s="33" t="str">
        <f t="shared" si="57"/>
        <v>7</v>
      </c>
      <c r="D558" s="33" t="str">
        <f t="shared" si="58"/>
        <v>1</v>
      </c>
      <c r="E558" s="33" t="str">
        <f t="shared" si="59"/>
        <v>8</v>
      </c>
      <c r="F558" s="33" t="str">
        <f t="shared" si="60"/>
        <v>01</v>
      </c>
      <c r="G558" s="33" t="str">
        <f t="shared" si="61"/>
        <v>4</v>
      </c>
      <c r="H558" s="33" t="str">
        <f t="shared" si="62"/>
        <v>0</v>
      </c>
      <c r="I558" s="28">
        <v>17180140</v>
      </c>
      <c r="J558" s="29" t="s">
        <v>898</v>
      </c>
      <c r="K558" s="29" t="s">
        <v>899</v>
      </c>
      <c r="L558" s="29"/>
      <c r="M558" s="34"/>
    </row>
    <row r="559" spans="2:13" ht="30">
      <c r="B559" s="32" t="str">
        <f t="shared" si="56"/>
        <v>1</v>
      </c>
      <c r="C559" s="33" t="str">
        <f t="shared" si="57"/>
        <v>7</v>
      </c>
      <c r="D559" s="33" t="str">
        <f t="shared" si="58"/>
        <v>1</v>
      </c>
      <c r="E559" s="33" t="str">
        <f t="shared" si="59"/>
        <v>8</v>
      </c>
      <c r="F559" s="33" t="str">
        <f t="shared" si="60"/>
        <v>01</v>
      </c>
      <c r="G559" s="33" t="str">
        <f t="shared" si="61"/>
        <v>5</v>
      </c>
      <c r="H559" s="33" t="str">
        <f t="shared" si="62"/>
        <v>0</v>
      </c>
      <c r="I559" s="28">
        <v>17180150</v>
      </c>
      <c r="J559" s="29" t="s">
        <v>900</v>
      </c>
      <c r="K559" s="29" t="s">
        <v>901</v>
      </c>
      <c r="L559" s="29"/>
      <c r="M559" s="34"/>
    </row>
    <row r="560" spans="2:13" ht="30">
      <c r="B560" s="32" t="str">
        <f t="shared" si="56"/>
        <v>1</v>
      </c>
      <c r="C560" s="33" t="str">
        <f t="shared" si="57"/>
        <v>7</v>
      </c>
      <c r="D560" s="33" t="str">
        <f t="shared" si="58"/>
        <v>1</v>
      </c>
      <c r="E560" s="33" t="str">
        <f t="shared" si="59"/>
        <v>8</v>
      </c>
      <c r="F560" s="33" t="str">
        <f t="shared" si="60"/>
        <v>01</v>
      </c>
      <c r="G560" s="33" t="str">
        <f t="shared" si="61"/>
        <v>6</v>
      </c>
      <c r="H560" s="33" t="str">
        <f t="shared" si="62"/>
        <v>0</v>
      </c>
      <c r="I560" s="28">
        <v>17180160</v>
      </c>
      <c r="J560" s="29" t="s">
        <v>902</v>
      </c>
      <c r="K560" s="29" t="s">
        <v>903</v>
      </c>
      <c r="L560" s="29"/>
      <c r="M560" s="34"/>
    </row>
    <row r="561" spans="2:13" ht="45">
      <c r="B561" s="32" t="str">
        <f t="shared" si="56"/>
        <v>1</v>
      </c>
      <c r="C561" s="33" t="str">
        <f t="shared" si="57"/>
        <v>7</v>
      </c>
      <c r="D561" s="33" t="str">
        <f t="shared" si="58"/>
        <v>1</v>
      </c>
      <c r="E561" s="33" t="str">
        <f t="shared" si="59"/>
        <v>8</v>
      </c>
      <c r="F561" s="33" t="str">
        <f t="shared" si="60"/>
        <v>01</v>
      </c>
      <c r="G561" s="33" t="str">
        <f t="shared" si="61"/>
        <v>7</v>
      </c>
      <c r="H561" s="33" t="str">
        <f t="shared" si="62"/>
        <v>0</v>
      </c>
      <c r="I561" s="28">
        <v>17180170</v>
      </c>
      <c r="J561" s="29" t="s">
        <v>904</v>
      </c>
      <c r="K561" s="29" t="s">
        <v>905</v>
      </c>
      <c r="L561" s="29"/>
      <c r="M561" s="34"/>
    </row>
    <row r="562" spans="2:13" ht="45">
      <c r="B562" s="32" t="str">
        <f t="shared" si="56"/>
        <v>1</v>
      </c>
      <c r="C562" s="33" t="str">
        <f t="shared" si="57"/>
        <v>7</v>
      </c>
      <c r="D562" s="33" t="str">
        <f t="shared" si="58"/>
        <v>1</v>
      </c>
      <c r="E562" s="33" t="str">
        <f t="shared" si="59"/>
        <v>8</v>
      </c>
      <c r="F562" s="33" t="str">
        <f t="shared" si="60"/>
        <v>01</v>
      </c>
      <c r="G562" s="33" t="str">
        <f t="shared" si="61"/>
        <v>8</v>
      </c>
      <c r="H562" s="33" t="str">
        <f t="shared" si="62"/>
        <v>0</v>
      </c>
      <c r="I562" s="28">
        <v>17180180</v>
      </c>
      <c r="J562" s="29" t="s">
        <v>906</v>
      </c>
      <c r="K562" s="29" t="s">
        <v>907</v>
      </c>
      <c r="L562" s="29"/>
      <c r="M562" s="34"/>
    </row>
    <row r="563" spans="2:13" ht="30">
      <c r="B563" s="32" t="str">
        <f t="shared" si="56"/>
        <v>1</v>
      </c>
      <c r="C563" s="33" t="str">
        <f t="shared" si="57"/>
        <v>7</v>
      </c>
      <c r="D563" s="33" t="str">
        <f t="shared" si="58"/>
        <v>1</v>
      </c>
      <c r="E563" s="33" t="str">
        <f t="shared" si="59"/>
        <v>8</v>
      </c>
      <c r="F563" s="33" t="str">
        <f t="shared" si="60"/>
        <v>02</v>
      </c>
      <c r="G563" s="33" t="str">
        <f t="shared" si="61"/>
        <v>0</v>
      </c>
      <c r="H563" s="33" t="str">
        <f t="shared" si="62"/>
        <v>0</v>
      </c>
      <c r="I563" s="28">
        <v>17180200</v>
      </c>
      <c r="J563" s="29" t="s">
        <v>908</v>
      </c>
      <c r="K563" s="29" t="s">
        <v>909</v>
      </c>
      <c r="L563" s="29"/>
      <c r="M563" s="34"/>
    </row>
    <row r="564" spans="2:13" ht="30">
      <c r="B564" s="32" t="str">
        <f t="shared" si="56"/>
        <v>1</v>
      </c>
      <c r="C564" s="33" t="str">
        <f t="shared" si="57"/>
        <v>7</v>
      </c>
      <c r="D564" s="33" t="str">
        <f t="shared" si="58"/>
        <v>1</v>
      </c>
      <c r="E564" s="33" t="str">
        <f t="shared" si="59"/>
        <v>8</v>
      </c>
      <c r="F564" s="33" t="str">
        <f t="shared" si="60"/>
        <v>02</v>
      </c>
      <c r="G564" s="33" t="str">
        <f t="shared" si="61"/>
        <v>1</v>
      </c>
      <c r="H564" s="33" t="str">
        <f t="shared" si="62"/>
        <v>0</v>
      </c>
      <c r="I564" s="28">
        <v>17180210</v>
      </c>
      <c r="J564" s="29" t="s">
        <v>910</v>
      </c>
      <c r="K564" s="29" t="s">
        <v>911</v>
      </c>
      <c r="L564" s="29"/>
      <c r="M564" s="34"/>
    </row>
    <row r="565" spans="2:13" ht="30">
      <c r="B565" s="32" t="str">
        <f t="shared" si="56"/>
        <v>1</v>
      </c>
      <c r="C565" s="33" t="str">
        <f t="shared" si="57"/>
        <v>7</v>
      </c>
      <c r="D565" s="33" t="str">
        <f t="shared" si="58"/>
        <v>1</v>
      </c>
      <c r="E565" s="33" t="str">
        <f t="shared" si="59"/>
        <v>8</v>
      </c>
      <c r="F565" s="33" t="str">
        <f t="shared" si="60"/>
        <v>02</v>
      </c>
      <c r="G565" s="33" t="str">
        <f t="shared" si="61"/>
        <v>2</v>
      </c>
      <c r="H565" s="33" t="str">
        <f t="shared" si="62"/>
        <v>0</v>
      </c>
      <c r="I565" s="28">
        <v>17180220</v>
      </c>
      <c r="J565" s="29" t="s">
        <v>912</v>
      </c>
      <c r="K565" s="29" t="s">
        <v>913</v>
      </c>
      <c r="L565" s="29"/>
      <c r="M565" s="34"/>
    </row>
    <row r="566" spans="2:13" ht="30">
      <c r="B566" s="32" t="str">
        <f t="shared" si="56"/>
        <v>1</v>
      </c>
      <c r="C566" s="33" t="str">
        <f t="shared" si="57"/>
        <v>7</v>
      </c>
      <c r="D566" s="33" t="str">
        <f t="shared" si="58"/>
        <v>1</v>
      </c>
      <c r="E566" s="33" t="str">
        <f t="shared" si="59"/>
        <v>8</v>
      </c>
      <c r="F566" s="33" t="str">
        <f t="shared" si="60"/>
        <v>02</v>
      </c>
      <c r="G566" s="33" t="str">
        <f t="shared" si="61"/>
        <v>3</v>
      </c>
      <c r="H566" s="33" t="str">
        <f t="shared" si="62"/>
        <v>0</v>
      </c>
      <c r="I566" s="28">
        <v>17180230</v>
      </c>
      <c r="J566" s="29" t="s">
        <v>914</v>
      </c>
      <c r="K566" s="29" t="s">
        <v>915</v>
      </c>
      <c r="L566" s="29"/>
      <c r="M566" s="34"/>
    </row>
    <row r="567" spans="2:13" ht="30">
      <c r="B567" s="32" t="str">
        <f t="shared" si="56"/>
        <v>1</v>
      </c>
      <c r="C567" s="33" t="str">
        <f t="shared" si="57"/>
        <v>7</v>
      </c>
      <c r="D567" s="33" t="str">
        <f t="shared" si="58"/>
        <v>1</v>
      </c>
      <c r="E567" s="33" t="str">
        <f t="shared" si="59"/>
        <v>8</v>
      </c>
      <c r="F567" s="33" t="str">
        <f t="shared" si="60"/>
        <v>02</v>
      </c>
      <c r="G567" s="33" t="str">
        <f t="shared" si="61"/>
        <v>4</v>
      </c>
      <c r="H567" s="33" t="str">
        <f t="shared" si="62"/>
        <v>0</v>
      </c>
      <c r="I567" s="28">
        <v>17180240</v>
      </c>
      <c r="J567" s="29" t="s">
        <v>916</v>
      </c>
      <c r="K567" s="29" t="s">
        <v>917</v>
      </c>
      <c r="L567" s="29"/>
      <c r="M567" s="34"/>
    </row>
    <row r="568" spans="2:13" ht="30">
      <c r="B568" s="32" t="str">
        <f t="shared" si="56"/>
        <v>1</v>
      </c>
      <c r="C568" s="33" t="str">
        <f t="shared" si="57"/>
        <v>7</v>
      </c>
      <c r="D568" s="33" t="str">
        <f t="shared" si="58"/>
        <v>1</v>
      </c>
      <c r="E568" s="33" t="str">
        <f t="shared" si="59"/>
        <v>8</v>
      </c>
      <c r="F568" s="33" t="str">
        <f t="shared" si="60"/>
        <v>02</v>
      </c>
      <c r="G568" s="33" t="str">
        <f t="shared" si="61"/>
        <v>5</v>
      </c>
      <c r="H568" s="33" t="str">
        <f t="shared" si="62"/>
        <v>0</v>
      </c>
      <c r="I568" s="28">
        <v>17180250</v>
      </c>
      <c r="J568" s="29" t="s">
        <v>918</v>
      </c>
      <c r="K568" s="29" t="s">
        <v>919</v>
      </c>
      <c r="L568" s="29"/>
      <c r="M568" s="34"/>
    </row>
    <row r="569" spans="2:13" ht="30">
      <c r="B569" s="32" t="str">
        <f t="shared" si="56"/>
        <v>1</v>
      </c>
      <c r="C569" s="33" t="str">
        <f t="shared" si="57"/>
        <v>7</v>
      </c>
      <c r="D569" s="33" t="str">
        <f t="shared" si="58"/>
        <v>1</v>
      </c>
      <c r="E569" s="33" t="str">
        <f t="shared" si="59"/>
        <v>8</v>
      </c>
      <c r="F569" s="33" t="str">
        <f t="shared" si="60"/>
        <v>02</v>
      </c>
      <c r="G569" s="33" t="str">
        <f t="shared" si="61"/>
        <v>6</v>
      </c>
      <c r="H569" s="33" t="str">
        <f t="shared" si="62"/>
        <v>0</v>
      </c>
      <c r="I569" s="28">
        <v>17180260</v>
      </c>
      <c r="J569" s="29" t="s">
        <v>920</v>
      </c>
      <c r="K569" s="29" t="s">
        <v>921</v>
      </c>
      <c r="L569" s="29"/>
      <c r="M569" s="34"/>
    </row>
    <row r="570" spans="2:13" ht="30">
      <c r="B570" s="32" t="str">
        <f t="shared" si="56"/>
        <v>1</v>
      </c>
      <c r="C570" s="33" t="str">
        <f t="shared" si="57"/>
        <v>7</v>
      </c>
      <c r="D570" s="33" t="str">
        <f t="shared" si="58"/>
        <v>1</v>
      </c>
      <c r="E570" s="33" t="str">
        <f t="shared" si="59"/>
        <v>8</v>
      </c>
      <c r="F570" s="33" t="str">
        <f t="shared" si="60"/>
        <v>02</v>
      </c>
      <c r="G570" s="33" t="str">
        <f t="shared" si="61"/>
        <v>9</v>
      </c>
      <c r="H570" s="33" t="str">
        <f t="shared" si="62"/>
        <v>0</v>
      </c>
      <c r="I570" s="28">
        <v>17180290</v>
      </c>
      <c r="J570" s="29" t="s">
        <v>922</v>
      </c>
      <c r="K570" s="29" t="s">
        <v>923</v>
      </c>
      <c r="L570" s="29"/>
      <c r="M570" s="34"/>
    </row>
    <row r="571" spans="2:13" ht="60">
      <c r="B571" s="32" t="str">
        <f t="shared" si="56"/>
        <v>1</v>
      </c>
      <c r="C571" s="33" t="str">
        <f t="shared" si="57"/>
        <v>7</v>
      </c>
      <c r="D571" s="33" t="str">
        <f t="shared" si="58"/>
        <v>1</v>
      </c>
      <c r="E571" s="33" t="str">
        <f t="shared" si="59"/>
        <v>8</v>
      </c>
      <c r="F571" s="33" t="str">
        <f t="shared" si="60"/>
        <v>03</v>
      </c>
      <c r="G571" s="33" t="str">
        <f t="shared" si="61"/>
        <v>0</v>
      </c>
      <c r="H571" s="33" t="str">
        <f t="shared" si="62"/>
        <v>0</v>
      </c>
      <c r="I571" s="28">
        <v>17180300</v>
      </c>
      <c r="J571" s="29" t="s">
        <v>924</v>
      </c>
      <c r="K571" s="29" t="s">
        <v>925</v>
      </c>
      <c r="L571" s="29"/>
      <c r="M571" s="34" t="s">
        <v>10</v>
      </c>
    </row>
    <row r="572" spans="2:13" ht="60">
      <c r="B572" s="32" t="str">
        <f t="shared" si="56"/>
        <v>1</v>
      </c>
      <c r="C572" s="33" t="str">
        <f t="shared" si="57"/>
        <v>7</v>
      </c>
      <c r="D572" s="33" t="str">
        <f t="shared" si="58"/>
        <v>1</v>
      </c>
      <c r="E572" s="33" t="str">
        <f t="shared" si="59"/>
        <v>8</v>
      </c>
      <c r="F572" s="33" t="str">
        <f t="shared" si="60"/>
        <v>03</v>
      </c>
      <c r="G572" s="33" t="str">
        <f t="shared" si="61"/>
        <v>1</v>
      </c>
      <c r="H572" s="33" t="str">
        <f t="shared" si="62"/>
        <v>0</v>
      </c>
      <c r="I572" s="28">
        <v>17180310</v>
      </c>
      <c r="J572" s="29" t="s">
        <v>926</v>
      </c>
      <c r="K572" s="29" t="s">
        <v>927</v>
      </c>
      <c r="L572" s="29"/>
      <c r="M572" s="34" t="s">
        <v>10</v>
      </c>
    </row>
    <row r="573" spans="2:13" ht="60">
      <c r="B573" s="32" t="str">
        <f t="shared" si="56"/>
        <v>1</v>
      </c>
      <c r="C573" s="33" t="str">
        <f t="shared" si="57"/>
        <v>7</v>
      </c>
      <c r="D573" s="33" t="str">
        <f t="shared" si="58"/>
        <v>1</v>
      </c>
      <c r="E573" s="33" t="str">
        <f t="shared" si="59"/>
        <v>8</v>
      </c>
      <c r="F573" s="33" t="str">
        <f t="shared" si="60"/>
        <v>03</v>
      </c>
      <c r="G573" s="33" t="str">
        <f t="shared" si="61"/>
        <v>2</v>
      </c>
      <c r="H573" s="33" t="str">
        <f t="shared" si="62"/>
        <v>0</v>
      </c>
      <c r="I573" s="28">
        <v>17180320</v>
      </c>
      <c r="J573" s="29" t="s">
        <v>928</v>
      </c>
      <c r="K573" s="29" t="s">
        <v>929</v>
      </c>
      <c r="L573" s="29"/>
      <c r="M573" s="34" t="s">
        <v>10</v>
      </c>
    </row>
    <row r="574" spans="2:13" ht="60">
      <c r="B574" s="32" t="str">
        <f t="shared" si="56"/>
        <v>1</v>
      </c>
      <c r="C574" s="33" t="str">
        <f t="shared" si="57"/>
        <v>7</v>
      </c>
      <c r="D574" s="33" t="str">
        <f t="shared" si="58"/>
        <v>1</v>
      </c>
      <c r="E574" s="33" t="str">
        <f t="shared" si="59"/>
        <v>8</v>
      </c>
      <c r="F574" s="33" t="str">
        <f t="shared" si="60"/>
        <v>03</v>
      </c>
      <c r="G574" s="33" t="str">
        <f t="shared" si="61"/>
        <v>3</v>
      </c>
      <c r="H574" s="33" t="str">
        <f t="shared" si="62"/>
        <v>0</v>
      </c>
      <c r="I574" s="28">
        <v>17180330</v>
      </c>
      <c r="J574" s="29" t="s">
        <v>930</v>
      </c>
      <c r="K574" s="29" t="s">
        <v>931</v>
      </c>
      <c r="L574" s="29"/>
      <c r="M574" s="34" t="s">
        <v>10</v>
      </c>
    </row>
    <row r="575" spans="2:13" ht="60">
      <c r="B575" s="32" t="str">
        <f t="shared" si="56"/>
        <v>1</v>
      </c>
      <c r="C575" s="33" t="str">
        <f t="shared" si="57"/>
        <v>7</v>
      </c>
      <c r="D575" s="33" t="str">
        <f t="shared" si="58"/>
        <v>1</v>
      </c>
      <c r="E575" s="33" t="str">
        <f t="shared" si="59"/>
        <v>8</v>
      </c>
      <c r="F575" s="33" t="str">
        <f t="shared" si="60"/>
        <v>03</v>
      </c>
      <c r="G575" s="33" t="str">
        <f t="shared" si="61"/>
        <v>4</v>
      </c>
      <c r="H575" s="33" t="str">
        <f t="shared" si="62"/>
        <v>0</v>
      </c>
      <c r="I575" s="28">
        <v>17180340</v>
      </c>
      <c r="J575" s="29" t="s">
        <v>932</v>
      </c>
      <c r="K575" s="29" t="s">
        <v>933</v>
      </c>
      <c r="L575" s="29"/>
      <c r="M575" s="34" t="s">
        <v>10</v>
      </c>
    </row>
    <row r="576" spans="2:13" ht="60">
      <c r="B576" s="32" t="str">
        <f t="shared" si="56"/>
        <v>1</v>
      </c>
      <c r="C576" s="33" t="str">
        <f t="shared" si="57"/>
        <v>7</v>
      </c>
      <c r="D576" s="33" t="str">
        <f t="shared" si="58"/>
        <v>1</v>
      </c>
      <c r="E576" s="33" t="str">
        <f t="shared" si="59"/>
        <v>8</v>
      </c>
      <c r="F576" s="33" t="str">
        <f t="shared" si="60"/>
        <v>03</v>
      </c>
      <c r="G576" s="33" t="str">
        <f t="shared" si="61"/>
        <v>5</v>
      </c>
      <c r="H576" s="33" t="str">
        <f t="shared" si="62"/>
        <v>0</v>
      </c>
      <c r="I576" s="28">
        <v>17180350</v>
      </c>
      <c r="J576" s="29" t="s">
        <v>934</v>
      </c>
      <c r="K576" s="29" t="s">
        <v>935</v>
      </c>
      <c r="L576" s="29"/>
      <c r="M576" s="34" t="s">
        <v>10</v>
      </c>
    </row>
    <row r="577" spans="2:13" ht="60">
      <c r="B577" s="32" t="str">
        <f t="shared" si="56"/>
        <v>1</v>
      </c>
      <c r="C577" s="33" t="str">
        <f t="shared" si="57"/>
        <v>7</v>
      </c>
      <c r="D577" s="33" t="str">
        <f t="shared" si="58"/>
        <v>1</v>
      </c>
      <c r="E577" s="33" t="str">
        <f t="shared" si="59"/>
        <v>8</v>
      </c>
      <c r="F577" s="33" t="str">
        <f t="shared" si="60"/>
        <v>03</v>
      </c>
      <c r="G577" s="33" t="str">
        <f t="shared" si="61"/>
        <v>9</v>
      </c>
      <c r="H577" s="33" t="str">
        <f t="shared" si="62"/>
        <v>0</v>
      </c>
      <c r="I577" s="28">
        <v>17180390</v>
      </c>
      <c r="J577" s="29" t="s">
        <v>936</v>
      </c>
      <c r="K577" s="29" t="s">
        <v>937</v>
      </c>
      <c r="L577" s="29"/>
      <c r="M577" s="34" t="s">
        <v>10</v>
      </c>
    </row>
    <row r="578" spans="2:13" ht="60">
      <c r="B578" s="32" t="str">
        <f t="shared" si="56"/>
        <v>1</v>
      </c>
      <c r="C578" s="33" t="str">
        <f t="shared" si="57"/>
        <v>7</v>
      </c>
      <c r="D578" s="33" t="str">
        <f t="shared" si="58"/>
        <v>1</v>
      </c>
      <c r="E578" s="33" t="str">
        <f t="shared" si="59"/>
        <v>8</v>
      </c>
      <c r="F578" s="33" t="str">
        <f t="shared" si="60"/>
        <v>04</v>
      </c>
      <c r="G578" s="33" t="str">
        <f t="shared" si="61"/>
        <v>0</v>
      </c>
      <c r="H578" s="33" t="str">
        <f t="shared" si="62"/>
        <v>0</v>
      </c>
      <c r="I578" s="28">
        <v>17180400</v>
      </c>
      <c r="J578" s="29" t="s">
        <v>938</v>
      </c>
      <c r="K578" s="29" t="s">
        <v>939</v>
      </c>
      <c r="L578" s="29"/>
      <c r="M578" s="34" t="s">
        <v>10</v>
      </c>
    </row>
    <row r="579" spans="2:13" ht="60">
      <c r="B579" s="32" t="str">
        <f t="shared" si="56"/>
        <v>1</v>
      </c>
      <c r="C579" s="33" t="str">
        <f t="shared" si="57"/>
        <v>7</v>
      </c>
      <c r="D579" s="33" t="str">
        <f t="shared" si="58"/>
        <v>1</v>
      </c>
      <c r="E579" s="33" t="str">
        <f t="shared" si="59"/>
        <v>8</v>
      </c>
      <c r="F579" s="33" t="str">
        <f t="shared" si="60"/>
        <v>04</v>
      </c>
      <c r="G579" s="33" t="str">
        <f t="shared" si="61"/>
        <v>1</v>
      </c>
      <c r="H579" s="33" t="str">
        <f t="shared" si="62"/>
        <v>0</v>
      </c>
      <c r="I579" s="28">
        <v>17180410</v>
      </c>
      <c r="J579" s="29" t="s">
        <v>940</v>
      </c>
      <c r="K579" s="29" t="s">
        <v>941</v>
      </c>
      <c r="L579" s="29"/>
      <c r="M579" s="34" t="s">
        <v>10</v>
      </c>
    </row>
    <row r="580" spans="2:13" ht="60">
      <c r="B580" s="32" t="str">
        <f t="shared" si="56"/>
        <v>1</v>
      </c>
      <c r="C580" s="33" t="str">
        <f t="shared" si="57"/>
        <v>7</v>
      </c>
      <c r="D580" s="33" t="str">
        <f t="shared" si="58"/>
        <v>1</v>
      </c>
      <c r="E580" s="33" t="str">
        <f t="shared" si="59"/>
        <v>8</v>
      </c>
      <c r="F580" s="33" t="str">
        <f t="shared" si="60"/>
        <v>04</v>
      </c>
      <c r="G580" s="33" t="str">
        <f t="shared" si="61"/>
        <v>2</v>
      </c>
      <c r="H580" s="33" t="str">
        <f t="shared" si="62"/>
        <v>0</v>
      </c>
      <c r="I580" s="28">
        <v>17180420</v>
      </c>
      <c r="J580" s="29" t="s">
        <v>942</v>
      </c>
      <c r="K580" s="29" t="s">
        <v>943</v>
      </c>
      <c r="L580" s="29"/>
      <c r="M580" s="34" t="s">
        <v>10</v>
      </c>
    </row>
    <row r="581" spans="2:13" ht="45">
      <c r="B581" s="32" t="str">
        <f t="shared" si="56"/>
        <v>1</v>
      </c>
      <c r="C581" s="33" t="str">
        <f t="shared" si="57"/>
        <v>7</v>
      </c>
      <c r="D581" s="33" t="str">
        <f t="shared" si="58"/>
        <v>1</v>
      </c>
      <c r="E581" s="33" t="str">
        <f t="shared" si="59"/>
        <v>8</v>
      </c>
      <c r="F581" s="33" t="str">
        <f t="shared" si="60"/>
        <v>04</v>
      </c>
      <c r="G581" s="33" t="str">
        <f t="shared" si="61"/>
        <v>3</v>
      </c>
      <c r="H581" s="33" t="str">
        <f t="shared" si="62"/>
        <v>0</v>
      </c>
      <c r="I581" s="28">
        <v>17180430</v>
      </c>
      <c r="J581" s="29" t="s">
        <v>944</v>
      </c>
      <c r="K581" s="29" t="s">
        <v>945</v>
      </c>
      <c r="L581" s="29"/>
      <c r="M581" s="34" t="s">
        <v>10</v>
      </c>
    </row>
    <row r="582" spans="2:13" ht="60">
      <c r="B582" s="32" t="str">
        <f t="shared" si="56"/>
        <v>1</v>
      </c>
      <c r="C582" s="33" t="str">
        <f t="shared" si="57"/>
        <v>7</v>
      </c>
      <c r="D582" s="33" t="str">
        <f t="shared" si="58"/>
        <v>1</v>
      </c>
      <c r="E582" s="33" t="str">
        <f t="shared" si="59"/>
        <v>8</v>
      </c>
      <c r="F582" s="33" t="str">
        <f t="shared" si="60"/>
        <v>04</v>
      </c>
      <c r="G582" s="33" t="str">
        <f t="shared" si="61"/>
        <v>4</v>
      </c>
      <c r="H582" s="33" t="str">
        <f t="shared" si="62"/>
        <v>0</v>
      </c>
      <c r="I582" s="28">
        <v>17180440</v>
      </c>
      <c r="J582" s="29" t="s">
        <v>946</v>
      </c>
      <c r="K582" s="29" t="s">
        <v>947</v>
      </c>
      <c r="L582" s="29"/>
      <c r="M582" s="34" t="s">
        <v>10</v>
      </c>
    </row>
    <row r="583" spans="2:13" ht="45">
      <c r="B583" s="32" t="str">
        <f t="shared" ref="B583:B650" si="63">MID($I583,1,1)</f>
        <v>1</v>
      </c>
      <c r="C583" s="33" t="str">
        <f t="shared" ref="C583:C650" si="64">MID($I583,2,1)</f>
        <v>7</v>
      </c>
      <c r="D583" s="33" t="str">
        <f t="shared" ref="D583:D650" si="65">MID($I583,3,1)</f>
        <v>1</v>
      </c>
      <c r="E583" s="33" t="str">
        <f t="shared" ref="E583:E650" si="66">MID($I583,4,1)</f>
        <v>8</v>
      </c>
      <c r="F583" s="33" t="str">
        <f t="shared" ref="F583:F650" si="67">MID($I583,5,2)</f>
        <v>04</v>
      </c>
      <c r="G583" s="33" t="str">
        <f t="shared" ref="G583:G650" si="68">MID($I583,7,1)</f>
        <v>5</v>
      </c>
      <c r="H583" s="33" t="str">
        <f t="shared" ref="H583:H650" si="69">MID($I583,8,1)</f>
        <v>0</v>
      </c>
      <c r="I583" s="28">
        <v>17180450</v>
      </c>
      <c r="J583" s="29" t="s">
        <v>948</v>
      </c>
      <c r="K583" s="29" t="s">
        <v>949</v>
      </c>
      <c r="L583" s="29"/>
      <c r="M583" s="34" t="s">
        <v>10</v>
      </c>
    </row>
    <row r="584" spans="2:13" ht="45">
      <c r="B584" s="32" t="str">
        <f t="shared" si="63"/>
        <v>1</v>
      </c>
      <c r="C584" s="33" t="str">
        <f t="shared" si="64"/>
        <v>7</v>
      </c>
      <c r="D584" s="33" t="str">
        <f t="shared" si="65"/>
        <v>1</v>
      </c>
      <c r="E584" s="33" t="str">
        <f t="shared" si="66"/>
        <v>8</v>
      </c>
      <c r="F584" s="33" t="str">
        <f t="shared" si="67"/>
        <v>04</v>
      </c>
      <c r="G584" s="33" t="str">
        <f t="shared" si="68"/>
        <v>6</v>
      </c>
      <c r="H584" s="33" t="str">
        <f t="shared" si="69"/>
        <v>0</v>
      </c>
      <c r="I584" s="28">
        <v>17180460</v>
      </c>
      <c r="J584" s="29" t="s">
        <v>950</v>
      </c>
      <c r="K584" s="29" t="s">
        <v>951</v>
      </c>
      <c r="L584" s="29"/>
      <c r="M584" s="34" t="s">
        <v>18</v>
      </c>
    </row>
    <row r="585" spans="2:13" ht="45">
      <c r="B585" s="32" t="str">
        <f t="shared" si="63"/>
        <v>1</v>
      </c>
      <c r="C585" s="33" t="str">
        <f t="shared" si="64"/>
        <v>7</v>
      </c>
      <c r="D585" s="33" t="str">
        <f t="shared" si="65"/>
        <v>1</v>
      </c>
      <c r="E585" s="33" t="str">
        <f t="shared" si="66"/>
        <v>8</v>
      </c>
      <c r="F585" s="33" t="str">
        <f t="shared" si="67"/>
        <v>04</v>
      </c>
      <c r="G585" s="33" t="str">
        <f t="shared" si="68"/>
        <v>9</v>
      </c>
      <c r="H585" s="33" t="str">
        <f t="shared" si="69"/>
        <v>0</v>
      </c>
      <c r="I585" s="28">
        <v>17180490</v>
      </c>
      <c r="J585" s="29" t="s">
        <v>950</v>
      </c>
      <c r="K585" s="29" t="s">
        <v>952</v>
      </c>
      <c r="L585" s="29"/>
      <c r="M585" s="34" t="s">
        <v>14</v>
      </c>
    </row>
    <row r="586" spans="2:13" ht="60">
      <c r="B586" s="32" t="str">
        <f t="shared" si="63"/>
        <v>1</v>
      </c>
      <c r="C586" s="33" t="str">
        <f t="shared" si="64"/>
        <v>7</v>
      </c>
      <c r="D586" s="33" t="str">
        <f t="shared" si="65"/>
        <v>1</v>
      </c>
      <c r="E586" s="33" t="str">
        <f t="shared" si="66"/>
        <v>8</v>
      </c>
      <c r="F586" s="33" t="str">
        <f t="shared" si="67"/>
        <v>05</v>
      </c>
      <c r="G586" s="33" t="str">
        <f t="shared" si="68"/>
        <v>0</v>
      </c>
      <c r="H586" s="33" t="str">
        <f t="shared" si="69"/>
        <v>0</v>
      </c>
      <c r="I586" s="28">
        <v>17180500</v>
      </c>
      <c r="J586" s="29" t="s">
        <v>953</v>
      </c>
      <c r="K586" s="29" t="s">
        <v>954</v>
      </c>
      <c r="L586" s="29"/>
      <c r="M586" s="34"/>
    </row>
    <row r="587" spans="2:13" ht="30">
      <c r="B587" s="32" t="str">
        <f t="shared" si="63"/>
        <v>1</v>
      </c>
      <c r="C587" s="33" t="str">
        <f t="shared" si="64"/>
        <v>7</v>
      </c>
      <c r="D587" s="33" t="str">
        <f t="shared" si="65"/>
        <v>1</v>
      </c>
      <c r="E587" s="33" t="str">
        <f t="shared" si="66"/>
        <v>8</v>
      </c>
      <c r="F587" s="33" t="str">
        <f t="shared" si="67"/>
        <v>05</v>
      </c>
      <c r="G587" s="33" t="str">
        <f t="shared" si="68"/>
        <v>1</v>
      </c>
      <c r="H587" s="33" t="str">
        <f t="shared" si="69"/>
        <v>0</v>
      </c>
      <c r="I587" s="28">
        <v>17180510</v>
      </c>
      <c r="J587" s="29" t="s">
        <v>955</v>
      </c>
      <c r="K587" s="29" t="s">
        <v>956</v>
      </c>
      <c r="L587" s="29"/>
      <c r="M587" s="34"/>
    </row>
    <row r="588" spans="2:13" ht="30">
      <c r="B588" s="32" t="str">
        <f t="shared" si="63"/>
        <v>1</v>
      </c>
      <c r="C588" s="33" t="str">
        <f t="shared" si="64"/>
        <v>7</v>
      </c>
      <c r="D588" s="33" t="str">
        <f t="shared" si="65"/>
        <v>1</v>
      </c>
      <c r="E588" s="33" t="str">
        <f t="shared" si="66"/>
        <v>8</v>
      </c>
      <c r="F588" s="33" t="str">
        <f t="shared" si="67"/>
        <v>05</v>
      </c>
      <c r="G588" s="33" t="str">
        <f t="shared" si="68"/>
        <v>2</v>
      </c>
      <c r="H588" s="33" t="str">
        <f t="shared" si="69"/>
        <v>0</v>
      </c>
      <c r="I588" s="28">
        <v>17180520</v>
      </c>
      <c r="J588" s="29" t="s">
        <v>957</v>
      </c>
      <c r="K588" s="29" t="s">
        <v>958</v>
      </c>
      <c r="L588" s="29"/>
      <c r="M588" s="34"/>
    </row>
    <row r="589" spans="2:13" ht="45">
      <c r="B589" s="32" t="str">
        <f t="shared" si="63"/>
        <v>1</v>
      </c>
      <c r="C589" s="33" t="str">
        <f t="shared" si="64"/>
        <v>7</v>
      </c>
      <c r="D589" s="33" t="str">
        <f t="shared" si="65"/>
        <v>1</v>
      </c>
      <c r="E589" s="33" t="str">
        <f t="shared" si="66"/>
        <v>8</v>
      </c>
      <c r="F589" s="33" t="str">
        <f t="shared" si="67"/>
        <v>05</v>
      </c>
      <c r="G589" s="33" t="str">
        <f t="shared" si="68"/>
        <v>3</v>
      </c>
      <c r="H589" s="33" t="str">
        <f t="shared" si="69"/>
        <v>0</v>
      </c>
      <c r="I589" s="28">
        <v>17180530</v>
      </c>
      <c r="J589" s="29" t="s">
        <v>959</v>
      </c>
      <c r="K589" s="29" t="s">
        <v>960</v>
      </c>
      <c r="L589" s="29"/>
      <c r="M589" s="34"/>
    </row>
    <row r="590" spans="2:13" ht="45">
      <c r="B590" s="32" t="str">
        <f t="shared" si="63"/>
        <v>1</v>
      </c>
      <c r="C590" s="33" t="str">
        <f t="shared" si="64"/>
        <v>7</v>
      </c>
      <c r="D590" s="33" t="str">
        <f t="shared" si="65"/>
        <v>1</v>
      </c>
      <c r="E590" s="33" t="str">
        <f t="shared" si="66"/>
        <v>8</v>
      </c>
      <c r="F590" s="33" t="str">
        <f t="shared" si="67"/>
        <v>05</v>
      </c>
      <c r="G590" s="33" t="str">
        <f t="shared" si="68"/>
        <v>4</v>
      </c>
      <c r="H590" s="33" t="str">
        <f t="shared" si="69"/>
        <v>0</v>
      </c>
      <c r="I590" s="28">
        <v>17180540</v>
      </c>
      <c r="J590" s="29" t="s">
        <v>961</v>
      </c>
      <c r="K590" s="29" t="s">
        <v>962</v>
      </c>
      <c r="L590" s="29"/>
      <c r="M590" s="34"/>
    </row>
    <row r="591" spans="2:13" ht="45">
      <c r="B591" s="32" t="str">
        <f t="shared" si="63"/>
        <v>1</v>
      </c>
      <c r="C591" s="33" t="str">
        <f t="shared" si="64"/>
        <v>7</v>
      </c>
      <c r="D591" s="33" t="str">
        <f t="shared" si="65"/>
        <v>1</v>
      </c>
      <c r="E591" s="33" t="str">
        <f t="shared" si="66"/>
        <v>8</v>
      </c>
      <c r="F591" s="33" t="str">
        <f t="shared" si="67"/>
        <v>05</v>
      </c>
      <c r="G591" s="33" t="str">
        <f t="shared" si="68"/>
        <v>5</v>
      </c>
      <c r="H591" s="33" t="str">
        <f t="shared" si="69"/>
        <v>0</v>
      </c>
      <c r="I591" s="28">
        <v>17180550</v>
      </c>
      <c r="J591" s="29" t="s">
        <v>963</v>
      </c>
      <c r="K591" s="29" t="s">
        <v>964</v>
      </c>
      <c r="L591" s="29" t="s">
        <v>180</v>
      </c>
      <c r="M591" s="34"/>
    </row>
    <row r="592" spans="2:13" ht="45">
      <c r="B592" s="32" t="str">
        <f t="shared" si="63"/>
        <v>1</v>
      </c>
      <c r="C592" s="33" t="str">
        <f t="shared" si="64"/>
        <v>7</v>
      </c>
      <c r="D592" s="33" t="str">
        <f t="shared" si="65"/>
        <v>1</v>
      </c>
      <c r="E592" s="33" t="str">
        <f t="shared" si="66"/>
        <v>8</v>
      </c>
      <c r="F592" s="33" t="str">
        <f t="shared" si="67"/>
        <v>05</v>
      </c>
      <c r="G592" s="33" t="str">
        <f t="shared" si="68"/>
        <v>6</v>
      </c>
      <c r="H592" s="33" t="str">
        <f t="shared" si="69"/>
        <v>0</v>
      </c>
      <c r="I592" s="28">
        <v>17180560</v>
      </c>
      <c r="J592" s="29" t="s">
        <v>965</v>
      </c>
      <c r="K592" s="29" t="s">
        <v>966</v>
      </c>
      <c r="L592" s="29" t="s">
        <v>180</v>
      </c>
      <c r="M592" s="34"/>
    </row>
    <row r="593" spans="2:13" ht="45">
      <c r="B593" s="32" t="str">
        <f t="shared" si="63"/>
        <v>1</v>
      </c>
      <c r="C593" s="33" t="str">
        <f t="shared" si="64"/>
        <v>7</v>
      </c>
      <c r="D593" s="33" t="str">
        <f t="shared" si="65"/>
        <v>1</v>
      </c>
      <c r="E593" s="33" t="str">
        <f t="shared" si="66"/>
        <v>8</v>
      </c>
      <c r="F593" s="33" t="str">
        <f t="shared" si="67"/>
        <v>05</v>
      </c>
      <c r="G593" s="33" t="str">
        <f t="shared" si="68"/>
        <v>7</v>
      </c>
      <c r="H593" s="33" t="str">
        <f t="shared" si="69"/>
        <v>0</v>
      </c>
      <c r="I593" s="28">
        <v>17180570</v>
      </c>
      <c r="J593" s="29" t="s">
        <v>967</v>
      </c>
      <c r="K593" s="29" t="s">
        <v>968</v>
      </c>
      <c r="L593" s="29" t="s">
        <v>180</v>
      </c>
      <c r="M593" s="34"/>
    </row>
    <row r="594" spans="2:13" ht="60">
      <c r="B594" s="32" t="str">
        <f t="shared" si="63"/>
        <v>1</v>
      </c>
      <c r="C594" s="33" t="str">
        <f t="shared" si="64"/>
        <v>7</v>
      </c>
      <c r="D594" s="33" t="str">
        <f t="shared" si="65"/>
        <v>1</v>
      </c>
      <c r="E594" s="33" t="str">
        <f t="shared" si="66"/>
        <v>8</v>
      </c>
      <c r="F594" s="33" t="str">
        <f t="shared" si="67"/>
        <v>05</v>
      </c>
      <c r="G594" s="33" t="str">
        <f t="shared" si="68"/>
        <v>8</v>
      </c>
      <c r="H594" s="33" t="str">
        <f t="shared" si="69"/>
        <v>0</v>
      </c>
      <c r="I594" s="28">
        <v>17180580</v>
      </c>
      <c r="J594" s="29" t="s">
        <v>969</v>
      </c>
      <c r="K594" s="29" t="s">
        <v>970</v>
      </c>
      <c r="L594" s="29" t="s">
        <v>180</v>
      </c>
      <c r="M594" s="34"/>
    </row>
    <row r="595" spans="2:13" ht="60">
      <c r="B595" s="32" t="str">
        <f t="shared" si="63"/>
        <v>1</v>
      </c>
      <c r="C595" s="33" t="str">
        <f t="shared" si="64"/>
        <v>7</v>
      </c>
      <c r="D595" s="33" t="str">
        <f t="shared" si="65"/>
        <v>1</v>
      </c>
      <c r="E595" s="33" t="str">
        <f t="shared" si="66"/>
        <v>8</v>
      </c>
      <c r="F595" s="33" t="str">
        <f t="shared" si="67"/>
        <v>05</v>
      </c>
      <c r="G595" s="33" t="str">
        <f t="shared" si="68"/>
        <v>9</v>
      </c>
      <c r="H595" s="33" t="str">
        <f t="shared" si="69"/>
        <v>0</v>
      </c>
      <c r="I595" s="28">
        <v>17180590</v>
      </c>
      <c r="J595" s="29" t="s">
        <v>971</v>
      </c>
      <c r="K595" s="29" t="s">
        <v>972</v>
      </c>
      <c r="L595" s="29"/>
      <c r="M595" s="34"/>
    </row>
    <row r="596" spans="2:13" ht="90">
      <c r="B596" s="32" t="str">
        <f t="shared" si="63"/>
        <v>1</v>
      </c>
      <c r="C596" s="33" t="str">
        <f t="shared" si="64"/>
        <v>7</v>
      </c>
      <c r="D596" s="33" t="str">
        <f t="shared" si="65"/>
        <v>1</v>
      </c>
      <c r="E596" s="33" t="str">
        <f t="shared" si="66"/>
        <v>8</v>
      </c>
      <c r="F596" s="33" t="str">
        <f t="shared" si="67"/>
        <v>06</v>
      </c>
      <c r="G596" s="33" t="str">
        <f t="shared" si="68"/>
        <v>0</v>
      </c>
      <c r="H596" s="33" t="str">
        <f t="shared" si="69"/>
        <v>0</v>
      </c>
      <c r="I596" s="28">
        <v>17180600</v>
      </c>
      <c r="J596" s="29" t="s">
        <v>973</v>
      </c>
      <c r="K596" s="29" t="s">
        <v>974</v>
      </c>
      <c r="L596" s="29"/>
      <c r="M596" s="34"/>
    </row>
    <row r="597" spans="2:13" ht="90">
      <c r="B597" s="32" t="str">
        <f t="shared" si="63"/>
        <v>1</v>
      </c>
      <c r="C597" s="33" t="str">
        <f t="shared" si="64"/>
        <v>7</v>
      </c>
      <c r="D597" s="33" t="str">
        <f t="shared" si="65"/>
        <v>1</v>
      </c>
      <c r="E597" s="33" t="str">
        <f t="shared" si="66"/>
        <v>8</v>
      </c>
      <c r="F597" s="33" t="str">
        <f t="shared" si="67"/>
        <v>06</v>
      </c>
      <c r="G597" s="33" t="str">
        <f t="shared" si="68"/>
        <v>1</v>
      </c>
      <c r="H597" s="33" t="str">
        <f t="shared" si="69"/>
        <v>0</v>
      </c>
      <c r="I597" s="28">
        <v>17180610</v>
      </c>
      <c r="J597" s="29" t="s">
        <v>973</v>
      </c>
      <c r="K597" s="29" t="s">
        <v>974</v>
      </c>
      <c r="L597" s="29"/>
      <c r="M597" s="34"/>
    </row>
    <row r="598" spans="2:13" ht="30">
      <c r="B598" s="32" t="str">
        <f t="shared" si="63"/>
        <v>1</v>
      </c>
      <c r="C598" s="33" t="str">
        <f t="shared" si="64"/>
        <v>7</v>
      </c>
      <c r="D598" s="33" t="str">
        <f t="shared" si="65"/>
        <v>1</v>
      </c>
      <c r="E598" s="33" t="str">
        <f t="shared" si="66"/>
        <v>8</v>
      </c>
      <c r="F598" s="33" t="str">
        <f t="shared" si="67"/>
        <v>07</v>
      </c>
      <c r="G598" s="33" t="str">
        <f t="shared" si="68"/>
        <v>0</v>
      </c>
      <c r="H598" s="33" t="str">
        <f t="shared" si="69"/>
        <v>0</v>
      </c>
      <c r="I598" s="28">
        <v>17180700</v>
      </c>
      <c r="J598" s="29" t="s">
        <v>975</v>
      </c>
      <c r="K598" s="29" t="s">
        <v>976</v>
      </c>
      <c r="L598" s="29"/>
      <c r="M598" s="34"/>
    </row>
    <row r="599" spans="2:13" ht="30">
      <c r="B599" s="32" t="str">
        <f t="shared" si="63"/>
        <v>1</v>
      </c>
      <c r="C599" s="33" t="str">
        <f t="shared" si="64"/>
        <v>7</v>
      </c>
      <c r="D599" s="33" t="str">
        <f t="shared" si="65"/>
        <v>1</v>
      </c>
      <c r="E599" s="33" t="str">
        <f t="shared" si="66"/>
        <v>8</v>
      </c>
      <c r="F599" s="33" t="str">
        <f t="shared" si="67"/>
        <v>07</v>
      </c>
      <c r="G599" s="33" t="str">
        <f t="shared" si="68"/>
        <v>1</v>
      </c>
      <c r="H599" s="33" t="str">
        <f t="shared" si="69"/>
        <v>0</v>
      </c>
      <c r="I599" s="28">
        <v>17180710</v>
      </c>
      <c r="J599" s="29" t="s">
        <v>975</v>
      </c>
      <c r="K599" s="29" t="s">
        <v>976</v>
      </c>
      <c r="L599" s="29"/>
      <c r="M599" s="34"/>
    </row>
    <row r="600" spans="2:13" ht="45">
      <c r="B600" s="32" t="str">
        <f t="shared" si="63"/>
        <v>1</v>
      </c>
      <c r="C600" s="33" t="str">
        <f t="shared" si="64"/>
        <v>7</v>
      </c>
      <c r="D600" s="33" t="str">
        <f t="shared" si="65"/>
        <v>1</v>
      </c>
      <c r="E600" s="33" t="str">
        <f t="shared" si="66"/>
        <v>8</v>
      </c>
      <c r="F600" s="33" t="str">
        <f t="shared" si="67"/>
        <v>08</v>
      </c>
      <c r="G600" s="33" t="str">
        <f t="shared" si="68"/>
        <v>0</v>
      </c>
      <c r="H600" s="33" t="str">
        <f t="shared" si="69"/>
        <v>0</v>
      </c>
      <c r="I600" s="28">
        <v>17180800</v>
      </c>
      <c r="J600" s="29" t="s">
        <v>977</v>
      </c>
      <c r="K600" s="29" t="s">
        <v>978</v>
      </c>
      <c r="L600" s="29" t="s">
        <v>979</v>
      </c>
      <c r="M600" s="34" t="s">
        <v>22</v>
      </c>
    </row>
    <row r="601" spans="2:13" ht="91.5" customHeight="1">
      <c r="B601" s="32" t="str">
        <f t="shared" si="63"/>
        <v>1</v>
      </c>
      <c r="C601" s="33" t="str">
        <f t="shared" si="64"/>
        <v>7</v>
      </c>
      <c r="D601" s="33" t="str">
        <f t="shared" si="65"/>
        <v>1</v>
      </c>
      <c r="E601" s="33" t="str">
        <f t="shared" si="66"/>
        <v>8</v>
      </c>
      <c r="F601" s="33" t="str">
        <f t="shared" si="67"/>
        <v>08</v>
      </c>
      <c r="G601" s="33" t="str">
        <f t="shared" si="68"/>
        <v>1</v>
      </c>
      <c r="H601" s="33" t="str">
        <f t="shared" si="69"/>
        <v>0</v>
      </c>
      <c r="I601" s="28">
        <v>17180810</v>
      </c>
      <c r="J601" s="29" t="s">
        <v>977</v>
      </c>
      <c r="K601" s="29" t="s">
        <v>978</v>
      </c>
      <c r="L601" s="29" t="s">
        <v>979</v>
      </c>
      <c r="M601" s="34" t="s">
        <v>22</v>
      </c>
    </row>
    <row r="602" spans="2:13" ht="60">
      <c r="B602" s="32" t="str">
        <f t="shared" si="63"/>
        <v>1</v>
      </c>
      <c r="C602" s="33" t="str">
        <f t="shared" si="64"/>
        <v>7</v>
      </c>
      <c r="D602" s="33" t="str">
        <f t="shared" si="65"/>
        <v>1</v>
      </c>
      <c r="E602" s="33" t="str">
        <f t="shared" si="66"/>
        <v>8</v>
      </c>
      <c r="F602" s="33" t="str">
        <f t="shared" si="67"/>
        <v>09</v>
      </c>
      <c r="G602" s="33" t="str">
        <f t="shared" si="68"/>
        <v>0</v>
      </c>
      <c r="H602" s="33" t="str">
        <f t="shared" si="69"/>
        <v>0</v>
      </c>
      <c r="I602" s="28">
        <v>17180900</v>
      </c>
      <c r="J602" s="29" t="s">
        <v>980</v>
      </c>
      <c r="K602" s="29" t="s">
        <v>981</v>
      </c>
      <c r="L602" s="29"/>
      <c r="M602" s="34"/>
    </row>
    <row r="603" spans="2:13" ht="60">
      <c r="B603" s="32" t="str">
        <f t="shared" si="63"/>
        <v>1</v>
      </c>
      <c r="C603" s="33" t="str">
        <f t="shared" si="64"/>
        <v>7</v>
      </c>
      <c r="D603" s="33" t="str">
        <f t="shared" si="65"/>
        <v>1</v>
      </c>
      <c r="E603" s="33" t="str">
        <f t="shared" si="66"/>
        <v>8</v>
      </c>
      <c r="F603" s="33" t="str">
        <f t="shared" si="67"/>
        <v>09</v>
      </c>
      <c r="G603" s="33" t="str">
        <f t="shared" si="68"/>
        <v>1</v>
      </c>
      <c r="H603" s="33" t="str">
        <f t="shared" si="69"/>
        <v>0</v>
      </c>
      <c r="I603" s="28">
        <v>17180910</v>
      </c>
      <c r="J603" s="29" t="s">
        <v>982</v>
      </c>
      <c r="K603" s="29" t="s">
        <v>981</v>
      </c>
      <c r="L603" s="29"/>
      <c r="M603" s="34"/>
    </row>
    <row r="604" spans="2:13" ht="75">
      <c r="B604" s="32" t="str">
        <f t="shared" si="63"/>
        <v>1</v>
      </c>
      <c r="C604" s="33" t="str">
        <f t="shared" si="64"/>
        <v>7</v>
      </c>
      <c r="D604" s="33" t="str">
        <f t="shared" si="65"/>
        <v>1</v>
      </c>
      <c r="E604" s="33" t="str">
        <f t="shared" si="66"/>
        <v>8</v>
      </c>
      <c r="F604" s="33" t="str">
        <f t="shared" si="67"/>
        <v>10</v>
      </c>
      <c r="G604" s="33" t="str">
        <f t="shared" si="68"/>
        <v>0</v>
      </c>
      <c r="H604" s="33" t="str">
        <f t="shared" si="69"/>
        <v>0</v>
      </c>
      <c r="I604" s="28">
        <v>17181000</v>
      </c>
      <c r="J604" s="29" t="s">
        <v>983</v>
      </c>
      <c r="K604" s="29" t="s">
        <v>984</v>
      </c>
      <c r="L604" s="29"/>
      <c r="M604" s="34"/>
    </row>
    <row r="605" spans="2:13" ht="75">
      <c r="B605" s="32" t="str">
        <f t="shared" si="63"/>
        <v>1</v>
      </c>
      <c r="C605" s="33" t="str">
        <f t="shared" si="64"/>
        <v>7</v>
      </c>
      <c r="D605" s="33" t="str">
        <f t="shared" si="65"/>
        <v>1</v>
      </c>
      <c r="E605" s="33" t="str">
        <f t="shared" si="66"/>
        <v>8</v>
      </c>
      <c r="F605" s="33" t="str">
        <f t="shared" si="67"/>
        <v>10</v>
      </c>
      <c r="G605" s="33" t="str">
        <f t="shared" si="68"/>
        <v>1</v>
      </c>
      <c r="H605" s="33" t="str">
        <f t="shared" si="69"/>
        <v>0</v>
      </c>
      <c r="I605" s="28">
        <v>17181010</v>
      </c>
      <c r="J605" s="29" t="s">
        <v>985</v>
      </c>
      <c r="K605" s="29" t="s">
        <v>986</v>
      </c>
      <c r="L605" s="29"/>
      <c r="M605" s="34"/>
    </row>
    <row r="606" spans="2:13" ht="30">
      <c r="B606" s="32" t="str">
        <f t="shared" si="63"/>
        <v>1</v>
      </c>
      <c r="C606" s="33" t="str">
        <f t="shared" si="64"/>
        <v>7</v>
      </c>
      <c r="D606" s="33" t="str">
        <f t="shared" si="65"/>
        <v>1</v>
      </c>
      <c r="E606" s="33" t="str">
        <f t="shared" si="66"/>
        <v>8</v>
      </c>
      <c r="F606" s="33" t="str">
        <f t="shared" si="67"/>
        <v>10</v>
      </c>
      <c r="G606" s="33" t="str">
        <f t="shared" si="68"/>
        <v>2</v>
      </c>
      <c r="H606" s="33" t="str">
        <f t="shared" si="69"/>
        <v>0</v>
      </c>
      <c r="I606" s="28">
        <v>17181020</v>
      </c>
      <c r="J606" s="29" t="s">
        <v>987</v>
      </c>
      <c r="K606" s="29" t="s">
        <v>988</v>
      </c>
      <c r="L606" s="29"/>
      <c r="M606" s="34"/>
    </row>
    <row r="607" spans="2:13" ht="60">
      <c r="B607" s="32" t="str">
        <f t="shared" si="63"/>
        <v>1</v>
      </c>
      <c r="C607" s="33" t="str">
        <f t="shared" si="64"/>
        <v>7</v>
      </c>
      <c r="D607" s="33" t="str">
        <f t="shared" si="65"/>
        <v>1</v>
      </c>
      <c r="E607" s="33" t="str">
        <f t="shared" si="66"/>
        <v>8</v>
      </c>
      <c r="F607" s="33" t="str">
        <f t="shared" si="67"/>
        <v>10</v>
      </c>
      <c r="G607" s="33" t="str">
        <f t="shared" si="68"/>
        <v>3</v>
      </c>
      <c r="H607" s="33" t="str">
        <f t="shared" si="69"/>
        <v>0</v>
      </c>
      <c r="I607" s="28">
        <v>17181030</v>
      </c>
      <c r="J607" s="29" t="s">
        <v>989</v>
      </c>
      <c r="K607" s="29" t="s">
        <v>990</v>
      </c>
      <c r="L607" s="29"/>
      <c r="M607" s="34"/>
    </row>
    <row r="608" spans="2:13" ht="30">
      <c r="B608" s="32" t="str">
        <f t="shared" si="63"/>
        <v>1</v>
      </c>
      <c r="C608" s="33" t="str">
        <f t="shared" si="64"/>
        <v>7</v>
      </c>
      <c r="D608" s="33" t="str">
        <f t="shared" si="65"/>
        <v>1</v>
      </c>
      <c r="E608" s="33" t="str">
        <f t="shared" si="66"/>
        <v>8</v>
      </c>
      <c r="F608" s="33" t="str">
        <f t="shared" si="67"/>
        <v>10</v>
      </c>
      <c r="G608" s="33" t="str">
        <f t="shared" si="68"/>
        <v>4</v>
      </c>
      <c r="H608" s="33" t="str">
        <f t="shared" si="69"/>
        <v>0</v>
      </c>
      <c r="I608" s="28">
        <v>17181040</v>
      </c>
      <c r="J608" s="29" t="s">
        <v>991</v>
      </c>
      <c r="K608" s="29" t="s">
        <v>992</v>
      </c>
      <c r="L608" s="29"/>
      <c r="M608" s="34"/>
    </row>
    <row r="609" spans="2:13" ht="30">
      <c r="B609" s="32" t="str">
        <f t="shared" si="63"/>
        <v>1</v>
      </c>
      <c r="C609" s="33" t="str">
        <f t="shared" si="64"/>
        <v>7</v>
      </c>
      <c r="D609" s="33" t="str">
        <f t="shared" si="65"/>
        <v>1</v>
      </c>
      <c r="E609" s="33" t="str">
        <f t="shared" si="66"/>
        <v>8</v>
      </c>
      <c r="F609" s="33" t="str">
        <f t="shared" si="67"/>
        <v>10</v>
      </c>
      <c r="G609" s="33" t="str">
        <f t="shared" si="68"/>
        <v>5</v>
      </c>
      <c r="H609" s="33" t="str">
        <f t="shared" si="69"/>
        <v>0</v>
      </c>
      <c r="I609" s="28">
        <v>17181050</v>
      </c>
      <c r="J609" s="29" t="s">
        <v>993</v>
      </c>
      <c r="K609" s="29" t="s">
        <v>994</v>
      </c>
      <c r="L609" s="29"/>
      <c r="M609" s="34"/>
    </row>
    <row r="610" spans="2:13" ht="30">
      <c r="B610" s="32" t="str">
        <f t="shared" si="63"/>
        <v>1</v>
      </c>
      <c r="C610" s="33" t="str">
        <f t="shared" si="64"/>
        <v>7</v>
      </c>
      <c r="D610" s="33" t="str">
        <f t="shared" si="65"/>
        <v>1</v>
      </c>
      <c r="E610" s="33" t="str">
        <f t="shared" si="66"/>
        <v>8</v>
      </c>
      <c r="F610" s="33" t="str">
        <f t="shared" si="67"/>
        <v>10</v>
      </c>
      <c r="G610" s="33" t="str">
        <f t="shared" si="68"/>
        <v>9</v>
      </c>
      <c r="H610" s="33" t="str">
        <f t="shared" si="69"/>
        <v>0</v>
      </c>
      <c r="I610" s="28">
        <v>17181090</v>
      </c>
      <c r="J610" s="29" t="s">
        <v>995</v>
      </c>
      <c r="K610" s="29" t="s">
        <v>996</v>
      </c>
      <c r="L610" s="29"/>
      <c r="M610" s="34"/>
    </row>
    <row r="611" spans="2:13" ht="30">
      <c r="B611" s="32" t="str">
        <f t="shared" si="63"/>
        <v>1</v>
      </c>
      <c r="C611" s="33" t="str">
        <f t="shared" si="64"/>
        <v>7</v>
      </c>
      <c r="D611" s="33" t="str">
        <f t="shared" si="65"/>
        <v>1</v>
      </c>
      <c r="E611" s="33" t="str">
        <f t="shared" si="66"/>
        <v>8</v>
      </c>
      <c r="F611" s="33" t="str">
        <f t="shared" si="67"/>
        <v>11</v>
      </c>
      <c r="G611" s="33" t="str">
        <f t="shared" si="68"/>
        <v>0</v>
      </c>
      <c r="H611" s="33" t="str">
        <f t="shared" si="69"/>
        <v>0</v>
      </c>
      <c r="I611" s="28">
        <v>17181100</v>
      </c>
      <c r="J611" s="29" t="s">
        <v>997</v>
      </c>
      <c r="K611" s="29" t="s">
        <v>998</v>
      </c>
      <c r="L611" s="29"/>
      <c r="M611" s="34" t="s">
        <v>10</v>
      </c>
    </row>
    <row r="612" spans="2:13" ht="45">
      <c r="B612" s="32" t="str">
        <f t="shared" si="63"/>
        <v>1</v>
      </c>
      <c r="C612" s="33" t="str">
        <f t="shared" si="64"/>
        <v>7</v>
      </c>
      <c r="D612" s="33" t="str">
        <f t="shared" si="65"/>
        <v>1</v>
      </c>
      <c r="E612" s="33" t="str">
        <f t="shared" si="66"/>
        <v>8</v>
      </c>
      <c r="F612" s="33" t="str">
        <f t="shared" si="67"/>
        <v>11</v>
      </c>
      <c r="G612" s="33" t="str">
        <f t="shared" si="68"/>
        <v>1</v>
      </c>
      <c r="H612" s="33" t="str">
        <f t="shared" si="69"/>
        <v>0</v>
      </c>
      <c r="I612" s="28">
        <v>17181110</v>
      </c>
      <c r="J612" s="29" t="s">
        <v>999</v>
      </c>
      <c r="K612" s="29" t="s">
        <v>1000</v>
      </c>
      <c r="L612" s="29"/>
      <c r="M612" s="34"/>
    </row>
    <row r="613" spans="2:13" ht="105">
      <c r="B613" s="32" t="str">
        <f t="shared" si="63"/>
        <v>1</v>
      </c>
      <c r="C613" s="33" t="str">
        <f t="shared" si="64"/>
        <v>7</v>
      </c>
      <c r="D613" s="33" t="str">
        <f t="shared" si="65"/>
        <v>1</v>
      </c>
      <c r="E613" s="33" t="str">
        <f t="shared" si="66"/>
        <v>8</v>
      </c>
      <c r="F613" s="33" t="str">
        <f t="shared" si="67"/>
        <v>11</v>
      </c>
      <c r="G613" s="33" t="str">
        <f t="shared" si="68"/>
        <v>2</v>
      </c>
      <c r="H613" s="33" t="str">
        <f t="shared" si="69"/>
        <v>0</v>
      </c>
      <c r="I613" s="28">
        <v>17181120</v>
      </c>
      <c r="J613" s="29" t="s">
        <v>1001</v>
      </c>
      <c r="K613" s="29" t="s">
        <v>1002</v>
      </c>
      <c r="L613" s="29" t="s">
        <v>1003</v>
      </c>
      <c r="M613" s="34" t="s">
        <v>14</v>
      </c>
    </row>
    <row r="614" spans="2:13" ht="105">
      <c r="B614" s="32" t="str">
        <f t="shared" si="63"/>
        <v>1</v>
      </c>
      <c r="C614" s="33" t="str">
        <f t="shared" si="64"/>
        <v>7</v>
      </c>
      <c r="D614" s="33" t="str">
        <f t="shared" si="65"/>
        <v>1</v>
      </c>
      <c r="E614" s="33" t="str">
        <f t="shared" si="66"/>
        <v>8</v>
      </c>
      <c r="F614" s="33" t="str">
        <f t="shared" si="67"/>
        <v>11</v>
      </c>
      <c r="G614" s="33" t="str">
        <f t="shared" si="68"/>
        <v>3</v>
      </c>
      <c r="H614" s="33" t="str">
        <f t="shared" si="69"/>
        <v>0</v>
      </c>
      <c r="I614" s="28">
        <v>17181130</v>
      </c>
      <c r="J614" s="29" t="s">
        <v>1004</v>
      </c>
      <c r="K614" s="29" t="s">
        <v>1005</v>
      </c>
      <c r="L614" s="29" t="s">
        <v>1003</v>
      </c>
      <c r="M614" s="34" t="s">
        <v>14</v>
      </c>
    </row>
    <row r="615" spans="2:13" ht="30">
      <c r="B615" s="32" t="str">
        <f t="shared" si="63"/>
        <v>1</v>
      </c>
      <c r="C615" s="33" t="str">
        <f t="shared" si="64"/>
        <v>7</v>
      </c>
      <c r="D615" s="33" t="str">
        <f t="shared" si="65"/>
        <v>1</v>
      </c>
      <c r="E615" s="33" t="str">
        <f t="shared" si="66"/>
        <v>8</v>
      </c>
      <c r="F615" s="33" t="str">
        <f t="shared" si="67"/>
        <v>11</v>
      </c>
      <c r="G615" s="33" t="str">
        <f t="shared" si="68"/>
        <v>9</v>
      </c>
      <c r="H615" s="33" t="str">
        <f t="shared" si="69"/>
        <v>0</v>
      </c>
      <c r="I615" s="28">
        <v>17181190</v>
      </c>
      <c r="J615" s="29" t="s">
        <v>1006</v>
      </c>
      <c r="K615" s="29" t="s">
        <v>1007</v>
      </c>
      <c r="L615" s="29"/>
      <c r="M615" s="34" t="s">
        <v>14</v>
      </c>
    </row>
    <row r="616" spans="2:13" ht="45">
      <c r="B616" s="32" t="str">
        <f t="shared" si="63"/>
        <v>1</v>
      </c>
      <c r="C616" s="33" t="str">
        <f t="shared" si="64"/>
        <v>7</v>
      </c>
      <c r="D616" s="33" t="str">
        <f t="shared" si="65"/>
        <v>1</v>
      </c>
      <c r="E616" s="33" t="str">
        <f t="shared" si="66"/>
        <v>8</v>
      </c>
      <c r="F616" s="33" t="str">
        <f t="shared" si="67"/>
        <v>12</v>
      </c>
      <c r="G616" s="33" t="str">
        <f t="shared" si="68"/>
        <v>0</v>
      </c>
      <c r="H616" s="33" t="str">
        <f t="shared" si="69"/>
        <v>0</v>
      </c>
      <c r="I616" s="28">
        <v>17181200</v>
      </c>
      <c r="J616" s="29" t="s">
        <v>1008</v>
      </c>
      <c r="K616" s="29" t="s">
        <v>1009</v>
      </c>
      <c r="L616" s="29"/>
      <c r="M616" s="34"/>
    </row>
    <row r="617" spans="2:13" ht="45">
      <c r="B617" s="32" t="str">
        <f t="shared" si="63"/>
        <v>1</v>
      </c>
      <c r="C617" s="33" t="str">
        <f t="shared" si="64"/>
        <v>7</v>
      </c>
      <c r="D617" s="33" t="str">
        <f t="shared" si="65"/>
        <v>1</v>
      </c>
      <c r="E617" s="33" t="str">
        <f t="shared" si="66"/>
        <v>8</v>
      </c>
      <c r="F617" s="33" t="str">
        <f t="shared" si="67"/>
        <v>12</v>
      </c>
      <c r="G617" s="33" t="str">
        <f t="shared" si="68"/>
        <v>1</v>
      </c>
      <c r="H617" s="33" t="str">
        <f t="shared" si="69"/>
        <v>0</v>
      </c>
      <c r="I617" s="28">
        <v>17181210</v>
      </c>
      <c r="J617" s="29" t="s">
        <v>1008</v>
      </c>
      <c r="K617" s="29" t="s">
        <v>1009</v>
      </c>
      <c r="L617" s="29"/>
      <c r="M617" s="34"/>
    </row>
    <row r="618" spans="2:13" ht="105">
      <c r="B618" s="32" t="str">
        <f t="shared" si="63"/>
        <v>1</v>
      </c>
      <c r="C618" s="33" t="str">
        <f t="shared" si="64"/>
        <v>7</v>
      </c>
      <c r="D618" s="33" t="str">
        <f t="shared" si="65"/>
        <v>1</v>
      </c>
      <c r="E618" s="33" t="str">
        <f t="shared" si="66"/>
        <v>8</v>
      </c>
      <c r="F618" s="33" t="str">
        <f t="shared" si="67"/>
        <v>13</v>
      </c>
      <c r="G618" s="33" t="str">
        <f t="shared" si="68"/>
        <v>0</v>
      </c>
      <c r="H618" s="33" t="str">
        <f t="shared" si="69"/>
        <v>0</v>
      </c>
      <c r="I618" s="28">
        <v>17181300</v>
      </c>
      <c r="J618" s="29" t="s">
        <v>1010</v>
      </c>
      <c r="K618" s="29" t="s">
        <v>1011</v>
      </c>
      <c r="L618" s="29" t="s">
        <v>180</v>
      </c>
      <c r="M618" s="34"/>
    </row>
    <row r="619" spans="2:13" ht="105">
      <c r="B619" s="32" t="str">
        <f t="shared" si="63"/>
        <v>1</v>
      </c>
      <c r="C619" s="33" t="str">
        <f t="shared" si="64"/>
        <v>7</v>
      </c>
      <c r="D619" s="33" t="str">
        <f t="shared" si="65"/>
        <v>1</v>
      </c>
      <c r="E619" s="33" t="str">
        <f t="shared" si="66"/>
        <v>8</v>
      </c>
      <c r="F619" s="33" t="str">
        <f t="shared" si="67"/>
        <v>13</v>
      </c>
      <c r="G619" s="33" t="str">
        <f t="shared" si="68"/>
        <v>1</v>
      </c>
      <c r="H619" s="33" t="str">
        <f t="shared" si="69"/>
        <v>0</v>
      </c>
      <c r="I619" s="28">
        <v>17181310</v>
      </c>
      <c r="J619" s="29" t="s">
        <v>1010</v>
      </c>
      <c r="K619" s="29" t="s">
        <v>1011</v>
      </c>
      <c r="L619" s="29" t="s">
        <v>180</v>
      </c>
      <c r="M619" s="34"/>
    </row>
    <row r="620" spans="2:13" ht="30">
      <c r="B620" s="32" t="str">
        <f t="shared" si="63"/>
        <v>1</v>
      </c>
      <c r="C620" s="33" t="str">
        <f t="shared" si="64"/>
        <v>7</v>
      </c>
      <c r="D620" s="33" t="str">
        <f t="shared" si="65"/>
        <v>1</v>
      </c>
      <c r="E620" s="33" t="str">
        <f t="shared" si="66"/>
        <v>8</v>
      </c>
      <c r="F620" s="33" t="str">
        <f t="shared" si="67"/>
        <v>99</v>
      </c>
      <c r="G620" s="33" t="str">
        <f t="shared" si="68"/>
        <v>0</v>
      </c>
      <c r="H620" s="33" t="str">
        <f t="shared" si="69"/>
        <v>0</v>
      </c>
      <c r="I620" s="28">
        <v>17189900</v>
      </c>
      <c r="J620" s="29" t="s">
        <v>1012</v>
      </c>
      <c r="K620" s="29" t="s">
        <v>1013</v>
      </c>
      <c r="L620" s="29"/>
      <c r="M620" s="34"/>
    </row>
    <row r="621" spans="2:13" ht="74.25" customHeight="1">
      <c r="B621" s="32" t="str">
        <f t="shared" si="63"/>
        <v>1</v>
      </c>
      <c r="C621" s="33" t="str">
        <f t="shared" si="64"/>
        <v>7</v>
      </c>
      <c r="D621" s="33" t="str">
        <f t="shared" si="65"/>
        <v>1</v>
      </c>
      <c r="E621" s="33" t="str">
        <f t="shared" si="66"/>
        <v>8</v>
      </c>
      <c r="F621" s="33" t="str">
        <f t="shared" si="67"/>
        <v>99</v>
      </c>
      <c r="G621" s="33" t="str">
        <f t="shared" si="68"/>
        <v>1</v>
      </c>
      <c r="H621" s="33" t="str">
        <f t="shared" si="69"/>
        <v>0</v>
      </c>
      <c r="I621" s="28">
        <v>17189910</v>
      </c>
      <c r="J621" s="29" t="s">
        <v>1012</v>
      </c>
      <c r="K621" s="29" t="s">
        <v>1013</v>
      </c>
      <c r="L621" s="29"/>
      <c r="M621" s="34"/>
    </row>
    <row r="622" spans="2:13" ht="74.25" customHeight="1">
      <c r="B622" s="32" t="str">
        <f t="shared" si="63"/>
        <v>1</v>
      </c>
      <c r="C622" s="33" t="str">
        <f t="shared" si="64"/>
        <v>7</v>
      </c>
      <c r="D622" s="33" t="str">
        <f t="shared" si="65"/>
        <v>2</v>
      </c>
      <c r="E622" s="33" t="str">
        <f t="shared" si="66"/>
        <v>0</v>
      </c>
      <c r="F622" s="33" t="str">
        <f t="shared" si="67"/>
        <v>00</v>
      </c>
      <c r="G622" s="33" t="str">
        <f t="shared" si="68"/>
        <v>0</v>
      </c>
      <c r="H622" s="33" t="str">
        <f t="shared" si="69"/>
        <v>0</v>
      </c>
      <c r="I622" s="28">
        <v>17200000</v>
      </c>
      <c r="J622" s="29" t="s">
        <v>1014</v>
      </c>
      <c r="K622" s="29" t="s">
        <v>1015</v>
      </c>
      <c r="L622" s="29"/>
      <c r="M622" s="34"/>
    </row>
    <row r="623" spans="2:13" ht="60">
      <c r="B623" s="32" t="str">
        <f t="shared" si="63"/>
        <v>1</v>
      </c>
      <c r="C623" s="33" t="str">
        <f t="shared" si="64"/>
        <v>7</v>
      </c>
      <c r="D623" s="33" t="str">
        <f t="shared" si="65"/>
        <v>2</v>
      </c>
      <c r="E623" s="33" t="str">
        <f t="shared" si="66"/>
        <v>0</v>
      </c>
      <c r="F623" s="33" t="str">
        <f t="shared" si="67"/>
        <v>00</v>
      </c>
      <c r="G623" s="33" t="str">
        <f t="shared" si="68"/>
        <v>1</v>
      </c>
      <c r="H623" s="33" t="str">
        <f t="shared" si="69"/>
        <v>0</v>
      </c>
      <c r="I623" s="28">
        <v>17200010</v>
      </c>
      <c r="J623" s="29" t="s">
        <v>1014</v>
      </c>
      <c r="K623" s="29" t="s">
        <v>1015</v>
      </c>
      <c r="L623" s="29"/>
      <c r="M623" s="34"/>
    </row>
    <row r="624" spans="2:13" ht="45">
      <c r="B624" s="32" t="str">
        <f t="shared" si="63"/>
        <v>1</v>
      </c>
      <c r="C624" s="33" t="str">
        <f t="shared" si="64"/>
        <v>7</v>
      </c>
      <c r="D624" s="33" t="str">
        <f t="shared" si="65"/>
        <v>2</v>
      </c>
      <c r="E624" s="33" t="str">
        <f t="shared" si="66"/>
        <v>8</v>
      </c>
      <c r="F624" s="33" t="str">
        <f t="shared" si="67"/>
        <v>00</v>
      </c>
      <c r="G624" s="33" t="str">
        <f t="shared" si="68"/>
        <v>0</v>
      </c>
      <c r="H624" s="33" t="str">
        <f t="shared" si="69"/>
        <v>0</v>
      </c>
      <c r="I624" s="28">
        <v>17280000</v>
      </c>
      <c r="J624" s="29" t="s">
        <v>1016</v>
      </c>
      <c r="K624" s="29" t="s">
        <v>1017</v>
      </c>
      <c r="L624" s="29"/>
      <c r="M624" s="34"/>
    </row>
    <row r="625" spans="2:13" ht="120">
      <c r="B625" s="32" t="str">
        <f t="shared" si="63"/>
        <v>1</v>
      </c>
      <c r="C625" s="33" t="str">
        <f t="shared" si="64"/>
        <v>7</v>
      </c>
      <c r="D625" s="33" t="str">
        <f t="shared" si="65"/>
        <v>2</v>
      </c>
      <c r="E625" s="33" t="str">
        <f t="shared" si="66"/>
        <v>8</v>
      </c>
      <c r="F625" s="33" t="str">
        <f t="shared" si="67"/>
        <v>01</v>
      </c>
      <c r="G625" s="33" t="str">
        <f t="shared" si="68"/>
        <v>0</v>
      </c>
      <c r="H625" s="33" t="str">
        <f t="shared" si="69"/>
        <v>0</v>
      </c>
      <c r="I625" s="28">
        <v>17280100</v>
      </c>
      <c r="J625" s="29" t="s">
        <v>1018</v>
      </c>
      <c r="K625" s="29" t="s">
        <v>1019</v>
      </c>
      <c r="L625" s="29"/>
      <c r="M625" s="34"/>
    </row>
    <row r="626" spans="2:13" ht="45">
      <c r="B626" s="32" t="str">
        <f t="shared" si="63"/>
        <v>1</v>
      </c>
      <c r="C626" s="33" t="str">
        <f t="shared" si="64"/>
        <v>7</v>
      </c>
      <c r="D626" s="33" t="str">
        <f t="shared" si="65"/>
        <v>2</v>
      </c>
      <c r="E626" s="33" t="str">
        <f t="shared" si="66"/>
        <v>8</v>
      </c>
      <c r="F626" s="33" t="str">
        <f t="shared" si="67"/>
        <v>01</v>
      </c>
      <c r="G626" s="33" t="str">
        <f t="shared" si="68"/>
        <v>1</v>
      </c>
      <c r="H626" s="33" t="str">
        <f t="shared" si="69"/>
        <v>0</v>
      </c>
      <c r="I626" s="28">
        <v>17280110</v>
      </c>
      <c r="J626" s="29" t="s">
        <v>1020</v>
      </c>
      <c r="K626" s="29" t="s">
        <v>1021</v>
      </c>
      <c r="L626" s="29"/>
      <c r="M626" s="34"/>
    </row>
    <row r="627" spans="2:13" ht="45">
      <c r="B627" s="32" t="str">
        <f t="shared" si="63"/>
        <v>1</v>
      </c>
      <c r="C627" s="33" t="str">
        <f t="shared" si="64"/>
        <v>7</v>
      </c>
      <c r="D627" s="33" t="str">
        <f t="shared" si="65"/>
        <v>2</v>
      </c>
      <c r="E627" s="33" t="str">
        <f t="shared" si="66"/>
        <v>8</v>
      </c>
      <c r="F627" s="33" t="str">
        <f t="shared" si="67"/>
        <v>01</v>
      </c>
      <c r="G627" s="33" t="str">
        <f t="shared" si="68"/>
        <v>2</v>
      </c>
      <c r="H627" s="33" t="str">
        <f t="shared" si="69"/>
        <v>0</v>
      </c>
      <c r="I627" s="28">
        <v>17280120</v>
      </c>
      <c r="J627" s="29" t="s">
        <v>1022</v>
      </c>
      <c r="K627" s="29" t="s">
        <v>1023</v>
      </c>
      <c r="L627" s="29"/>
      <c r="M627" s="34"/>
    </row>
    <row r="628" spans="2:13" ht="45">
      <c r="B628" s="32" t="str">
        <f t="shared" si="63"/>
        <v>1</v>
      </c>
      <c r="C628" s="33" t="str">
        <f t="shared" si="64"/>
        <v>7</v>
      </c>
      <c r="D628" s="33" t="str">
        <f t="shared" si="65"/>
        <v>2</v>
      </c>
      <c r="E628" s="33" t="str">
        <f t="shared" si="66"/>
        <v>8</v>
      </c>
      <c r="F628" s="33" t="str">
        <f t="shared" si="67"/>
        <v>01</v>
      </c>
      <c r="G628" s="33" t="str">
        <f t="shared" si="68"/>
        <v>3</v>
      </c>
      <c r="H628" s="33" t="str">
        <f t="shared" si="69"/>
        <v>0</v>
      </c>
      <c r="I628" s="28">
        <v>17280130</v>
      </c>
      <c r="J628" s="29" t="s">
        <v>1024</v>
      </c>
      <c r="K628" s="29" t="s">
        <v>1025</v>
      </c>
      <c r="L628" s="29"/>
      <c r="M628" s="34"/>
    </row>
    <row r="629" spans="2:13" ht="45">
      <c r="B629" s="32" t="str">
        <f t="shared" si="63"/>
        <v>1</v>
      </c>
      <c r="C629" s="33" t="str">
        <f t="shared" si="64"/>
        <v>7</v>
      </c>
      <c r="D629" s="33" t="str">
        <f t="shared" si="65"/>
        <v>2</v>
      </c>
      <c r="E629" s="33" t="str">
        <f t="shared" si="66"/>
        <v>8</v>
      </c>
      <c r="F629" s="33" t="str">
        <f t="shared" si="67"/>
        <v>01</v>
      </c>
      <c r="G629" s="33" t="str">
        <f t="shared" si="68"/>
        <v>4</v>
      </c>
      <c r="H629" s="33" t="str">
        <f t="shared" si="69"/>
        <v>0</v>
      </c>
      <c r="I629" s="28">
        <v>17280140</v>
      </c>
      <c r="J629" s="29" t="s">
        <v>904</v>
      </c>
      <c r="K629" s="29" t="s">
        <v>1026</v>
      </c>
      <c r="L629" s="29"/>
      <c r="M629" s="34"/>
    </row>
    <row r="630" spans="2:13" ht="30">
      <c r="B630" s="32" t="str">
        <f t="shared" si="63"/>
        <v>1</v>
      </c>
      <c r="C630" s="33" t="str">
        <f t="shared" si="64"/>
        <v>7</v>
      </c>
      <c r="D630" s="33" t="str">
        <f t="shared" si="65"/>
        <v>2</v>
      </c>
      <c r="E630" s="33" t="str">
        <f t="shared" si="66"/>
        <v>8</v>
      </c>
      <c r="F630" s="33" t="str">
        <f t="shared" si="67"/>
        <v>01</v>
      </c>
      <c r="G630" s="33" t="str">
        <f t="shared" si="68"/>
        <v>5</v>
      </c>
      <c r="H630" s="33" t="str">
        <f t="shared" si="69"/>
        <v>0</v>
      </c>
      <c r="I630" s="28">
        <v>17280150</v>
      </c>
      <c r="J630" s="29" t="s">
        <v>1027</v>
      </c>
      <c r="K630" s="29" t="s">
        <v>1028</v>
      </c>
      <c r="L630" s="29"/>
      <c r="M630" s="34"/>
    </row>
    <row r="631" spans="2:13">
      <c r="B631" s="32" t="str">
        <f t="shared" si="63"/>
        <v>1</v>
      </c>
      <c r="C631" s="33" t="str">
        <f t="shared" si="64"/>
        <v>7</v>
      </c>
      <c r="D631" s="33" t="str">
        <f t="shared" si="65"/>
        <v>2</v>
      </c>
      <c r="E631" s="33" t="str">
        <f t="shared" si="66"/>
        <v>8</v>
      </c>
      <c r="F631" s="33" t="str">
        <f t="shared" si="67"/>
        <v>01</v>
      </c>
      <c r="G631" s="33" t="str">
        <f t="shared" si="68"/>
        <v>9</v>
      </c>
      <c r="H631" s="33" t="str">
        <f t="shared" si="69"/>
        <v>0</v>
      </c>
      <c r="I631" s="28">
        <v>17280190</v>
      </c>
      <c r="J631" s="29" t="s">
        <v>1029</v>
      </c>
      <c r="K631" s="29" t="s">
        <v>1030</v>
      </c>
      <c r="L631" s="29"/>
      <c r="M631" s="34"/>
    </row>
    <row r="632" spans="2:13" ht="30">
      <c r="B632" s="32" t="str">
        <f t="shared" si="63"/>
        <v>1</v>
      </c>
      <c r="C632" s="33" t="str">
        <f t="shared" si="64"/>
        <v>7</v>
      </c>
      <c r="D632" s="33" t="str">
        <f t="shared" si="65"/>
        <v>2</v>
      </c>
      <c r="E632" s="33" t="str">
        <f t="shared" si="66"/>
        <v>8</v>
      </c>
      <c r="F632" s="33" t="str">
        <f t="shared" si="67"/>
        <v>02</v>
      </c>
      <c r="G632" s="33" t="str">
        <f t="shared" si="68"/>
        <v>0</v>
      </c>
      <c r="H632" s="33" t="str">
        <f t="shared" si="69"/>
        <v>0</v>
      </c>
      <c r="I632" s="28">
        <v>17280200</v>
      </c>
      <c r="J632" s="29" t="s">
        <v>1031</v>
      </c>
      <c r="K632" s="29" t="s">
        <v>1032</v>
      </c>
      <c r="L632" s="29"/>
      <c r="M632" s="34"/>
    </row>
    <row r="633" spans="2:13" ht="30">
      <c r="B633" s="32" t="str">
        <f t="shared" si="63"/>
        <v>1</v>
      </c>
      <c r="C633" s="33" t="str">
        <f t="shared" si="64"/>
        <v>7</v>
      </c>
      <c r="D633" s="33" t="str">
        <f t="shared" si="65"/>
        <v>2</v>
      </c>
      <c r="E633" s="33" t="str">
        <f t="shared" si="66"/>
        <v>8</v>
      </c>
      <c r="F633" s="33" t="str">
        <f t="shared" si="67"/>
        <v>02</v>
      </c>
      <c r="G633" s="33" t="str">
        <f t="shared" si="68"/>
        <v>1</v>
      </c>
      <c r="H633" s="33" t="str">
        <f t="shared" si="69"/>
        <v>0</v>
      </c>
      <c r="I633" s="28">
        <v>17280210</v>
      </c>
      <c r="J633" s="29" t="s">
        <v>910</v>
      </c>
      <c r="K633" s="29" t="s">
        <v>1033</v>
      </c>
      <c r="L633" s="29"/>
      <c r="M633" s="34"/>
    </row>
    <row r="634" spans="2:13" ht="44.25" customHeight="1">
      <c r="B634" s="32" t="str">
        <f t="shared" si="63"/>
        <v>1</v>
      </c>
      <c r="C634" s="33" t="str">
        <f t="shared" si="64"/>
        <v>7</v>
      </c>
      <c r="D634" s="33" t="str">
        <f t="shared" si="65"/>
        <v>2</v>
      </c>
      <c r="E634" s="33" t="str">
        <f t="shared" si="66"/>
        <v>8</v>
      </c>
      <c r="F634" s="33" t="str">
        <f t="shared" si="67"/>
        <v>02</v>
      </c>
      <c r="G634" s="33" t="str">
        <f t="shared" si="68"/>
        <v>2</v>
      </c>
      <c r="H634" s="33" t="str">
        <f t="shared" si="69"/>
        <v>0</v>
      </c>
      <c r="I634" s="28">
        <v>17280220</v>
      </c>
      <c r="J634" s="29" t="s">
        <v>912</v>
      </c>
      <c r="K634" s="29" t="s">
        <v>1034</v>
      </c>
      <c r="L634" s="29"/>
      <c r="M634" s="34"/>
    </row>
    <row r="635" spans="2:13" ht="30">
      <c r="B635" s="32" t="str">
        <f t="shared" si="63"/>
        <v>1</v>
      </c>
      <c r="C635" s="33" t="str">
        <f t="shared" si="64"/>
        <v>7</v>
      </c>
      <c r="D635" s="33" t="str">
        <f t="shared" si="65"/>
        <v>2</v>
      </c>
      <c r="E635" s="33" t="str">
        <f t="shared" si="66"/>
        <v>8</v>
      </c>
      <c r="F635" s="33" t="str">
        <f t="shared" si="67"/>
        <v>02</v>
      </c>
      <c r="G635" s="33" t="str">
        <f t="shared" si="68"/>
        <v>3</v>
      </c>
      <c r="H635" s="33" t="str">
        <f t="shared" si="69"/>
        <v>0</v>
      </c>
      <c r="I635" s="28">
        <v>17280230</v>
      </c>
      <c r="J635" s="29" t="s">
        <v>1035</v>
      </c>
      <c r="K635" s="29" t="s">
        <v>1036</v>
      </c>
      <c r="L635" s="29"/>
      <c r="M635" s="34"/>
    </row>
    <row r="636" spans="2:13" ht="30">
      <c r="B636" s="32" t="str">
        <f t="shared" si="63"/>
        <v>1</v>
      </c>
      <c r="C636" s="33" t="str">
        <f t="shared" si="64"/>
        <v>7</v>
      </c>
      <c r="D636" s="33" t="str">
        <f t="shared" si="65"/>
        <v>2</v>
      </c>
      <c r="E636" s="33" t="str">
        <f t="shared" si="66"/>
        <v>8</v>
      </c>
      <c r="F636" s="33" t="str">
        <f t="shared" si="67"/>
        <v>02</v>
      </c>
      <c r="G636" s="33" t="str">
        <f t="shared" si="68"/>
        <v>9</v>
      </c>
      <c r="H636" s="33" t="str">
        <f t="shared" si="69"/>
        <v>0</v>
      </c>
      <c r="I636" s="28">
        <v>17280290</v>
      </c>
      <c r="J636" s="29" t="s">
        <v>1037</v>
      </c>
      <c r="K636" s="29" t="s">
        <v>1038</v>
      </c>
      <c r="L636" s="29"/>
      <c r="M636" s="34"/>
    </row>
    <row r="637" spans="2:13" ht="90">
      <c r="B637" s="32" t="str">
        <f t="shared" si="63"/>
        <v>1</v>
      </c>
      <c r="C637" s="33" t="str">
        <f t="shared" si="64"/>
        <v>7</v>
      </c>
      <c r="D637" s="33" t="str">
        <f t="shared" si="65"/>
        <v>2</v>
      </c>
      <c r="E637" s="33" t="str">
        <f t="shared" si="66"/>
        <v>8</v>
      </c>
      <c r="F637" s="33" t="str">
        <f t="shared" si="67"/>
        <v>03</v>
      </c>
      <c r="G637" s="33" t="str">
        <f t="shared" si="68"/>
        <v>0</v>
      </c>
      <c r="H637" s="33" t="str">
        <f t="shared" si="69"/>
        <v>0</v>
      </c>
      <c r="I637" s="28">
        <v>17280300</v>
      </c>
      <c r="J637" s="29" t="s">
        <v>1039</v>
      </c>
      <c r="K637" s="29" t="s">
        <v>1040</v>
      </c>
      <c r="L637" s="29"/>
      <c r="M637" s="34"/>
    </row>
    <row r="638" spans="2:13" ht="90">
      <c r="B638" s="32" t="str">
        <f t="shared" si="63"/>
        <v>1</v>
      </c>
      <c r="C638" s="33" t="str">
        <f t="shared" si="64"/>
        <v>7</v>
      </c>
      <c r="D638" s="33" t="str">
        <f t="shared" si="65"/>
        <v>2</v>
      </c>
      <c r="E638" s="33" t="str">
        <f t="shared" si="66"/>
        <v>8</v>
      </c>
      <c r="F638" s="33" t="str">
        <f t="shared" si="67"/>
        <v>03</v>
      </c>
      <c r="G638" s="33" t="str">
        <f t="shared" si="68"/>
        <v>1</v>
      </c>
      <c r="H638" s="33" t="str">
        <f t="shared" si="69"/>
        <v>0</v>
      </c>
      <c r="I638" s="28">
        <v>17280310</v>
      </c>
      <c r="J638" s="29" t="s">
        <v>1039</v>
      </c>
      <c r="K638" s="29" t="s">
        <v>1040</v>
      </c>
      <c r="L638" s="29"/>
      <c r="M638" s="34"/>
    </row>
    <row r="639" spans="2:13" ht="30">
      <c r="B639" s="32" t="str">
        <f t="shared" si="63"/>
        <v>1</v>
      </c>
      <c r="C639" s="33" t="str">
        <f t="shared" si="64"/>
        <v>7</v>
      </c>
      <c r="D639" s="33" t="str">
        <f t="shared" si="65"/>
        <v>2</v>
      </c>
      <c r="E639" s="33" t="str">
        <f t="shared" si="66"/>
        <v>8</v>
      </c>
      <c r="F639" s="33" t="str">
        <f t="shared" si="67"/>
        <v>04</v>
      </c>
      <c r="G639" s="33" t="str">
        <f t="shared" si="68"/>
        <v>0</v>
      </c>
      <c r="H639" s="33" t="str">
        <f t="shared" si="69"/>
        <v>0</v>
      </c>
      <c r="I639" s="28">
        <v>17280400</v>
      </c>
      <c r="J639" s="29" t="s">
        <v>1041</v>
      </c>
      <c r="K639" s="29" t="s">
        <v>1042</v>
      </c>
      <c r="L639" s="29"/>
      <c r="M639" s="34"/>
    </row>
    <row r="640" spans="2:13" ht="30">
      <c r="B640" s="32" t="str">
        <f t="shared" si="63"/>
        <v>1</v>
      </c>
      <c r="C640" s="33" t="str">
        <f t="shared" si="64"/>
        <v>7</v>
      </c>
      <c r="D640" s="33" t="str">
        <f t="shared" si="65"/>
        <v>2</v>
      </c>
      <c r="E640" s="33" t="str">
        <f t="shared" si="66"/>
        <v>8</v>
      </c>
      <c r="F640" s="33" t="str">
        <f t="shared" si="67"/>
        <v>04</v>
      </c>
      <c r="G640" s="33" t="str">
        <f t="shared" si="68"/>
        <v>1</v>
      </c>
      <c r="H640" s="33" t="str">
        <f t="shared" si="69"/>
        <v>0</v>
      </c>
      <c r="I640" s="28">
        <v>17280410</v>
      </c>
      <c r="J640" s="29" t="s">
        <v>1041</v>
      </c>
      <c r="K640" s="29" t="s">
        <v>1042</v>
      </c>
      <c r="L640" s="29"/>
      <c r="M640" s="34"/>
    </row>
    <row r="641" spans="2:13" ht="30">
      <c r="B641" s="32" t="str">
        <f t="shared" si="63"/>
        <v>1</v>
      </c>
      <c r="C641" s="33" t="str">
        <f t="shared" si="64"/>
        <v>7</v>
      </c>
      <c r="D641" s="33" t="str">
        <f t="shared" si="65"/>
        <v>2</v>
      </c>
      <c r="E641" s="33" t="str">
        <f t="shared" si="66"/>
        <v>8</v>
      </c>
      <c r="F641" s="33" t="str">
        <f t="shared" si="67"/>
        <v>07</v>
      </c>
      <c r="G641" s="33" t="str">
        <f t="shared" si="68"/>
        <v>0</v>
      </c>
      <c r="H641" s="33" t="str">
        <f t="shared" si="69"/>
        <v>0</v>
      </c>
      <c r="I641" s="28">
        <v>17280700</v>
      </c>
      <c r="J641" s="29" t="s">
        <v>1043</v>
      </c>
      <c r="K641" s="29" t="s">
        <v>1044</v>
      </c>
      <c r="L641" s="29"/>
      <c r="M641" s="34"/>
    </row>
    <row r="642" spans="2:13" ht="30">
      <c r="B642" s="32" t="str">
        <f t="shared" si="63"/>
        <v>1</v>
      </c>
      <c r="C642" s="33" t="str">
        <f t="shared" si="64"/>
        <v>7</v>
      </c>
      <c r="D642" s="33" t="str">
        <f t="shared" si="65"/>
        <v>2</v>
      </c>
      <c r="E642" s="33" t="str">
        <f t="shared" si="66"/>
        <v>8</v>
      </c>
      <c r="F642" s="33" t="str">
        <f t="shared" si="67"/>
        <v>07</v>
      </c>
      <c r="G642" s="33" t="str">
        <f t="shared" si="68"/>
        <v>1</v>
      </c>
      <c r="H642" s="33" t="str">
        <f t="shared" si="69"/>
        <v>0</v>
      </c>
      <c r="I642" s="28">
        <v>17280710</v>
      </c>
      <c r="J642" s="29" t="s">
        <v>1043</v>
      </c>
      <c r="K642" s="29" t="s">
        <v>1044</v>
      </c>
      <c r="L642" s="29"/>
      <c r="M642" s="34"/>
    </row>
    <row r="643" spans="2:13" ht="60">
      <c r="B643" s="32" t="str">
        <f t="shared" si="63"/>
        <v>1</v>
      </c>
      <c r="C643" s="33" t="str">
        <f t="shared" si="64"/>
        <v>7</v>
      </c>
      <c r="D643" s="33" t="str">
        <f t="shared" si="65"/>
        <v>2</v>
      </c>
      <c r="E643" s="33" t="str">
        <f t="shared" si="66"/>
        <v>8</v>
      </c>
      <c r="F643" s="33" t="str">
        <f t="shared" si="67"/>
        <v>10</v>
      </c>
      <c r="G643" s="33" t="str">
        <f t="shared" si="68"/>
        <v>0</v>
      </c>
      <c r="H643" s="33" t="str">
        <f t="shared" si="69"/>
        <v>0</v>
      </c>
      <c r="I643" s="28">
        <v>17281000</v>
      </c>
      <c r="J643" s="29" t="s">
        <v>1045</v>
      </c>
      <c r="K643" s="29" t="s">
        <v>1046</v>
      </c>
      <c r="L643" s="29"/>
      <c r="M643" s="34"/>
    </row>
    <row r="644" spans="2:13" ht="60">
      <c r="B644" s="32" t="str">
        <f t="shared" si="63"/>
        <v>1</v>
      </c>
      <c r="C644" s="33" t="str">
        <f t="shared" si="64"/>
        <v>7</v>
      </c>
      <c r="D644" s="33" t="str">
        <f t="shared" si="65"/>
        <v>2</v>
      </c>
      <c r="E644" s="33" t="str">
        <f t="shared" si="66"/>
        <v>8</v>
      </c>
      <c r="F644" s="33" t="str">
        <f t="shared" si="67"/>
        <v>10</v>
      </c>
      <c r="G644" s="33" t="str">
        <f t="shared" si="68"/>
        <v>1</v>
      </c>
      <c r="H644" s="33" t="str">
        <f t="shared" si="69"/>
        <v>0</v>
      </c>
      <c r="I644" s="28">
        <v>17281010</v>
      </c>
      <c r="J644" s="29" t="s">
        <v>1047</v>
      </c>
      <c r="K644" s="29" t="s">
        <v>1048</v>
      </c>
      <c r="L644" s="29"/>
      <c r="M644" s="34"/>
    </row>
    <row r="645" spans="2:13" ht="60">
      <c r="B645" s="32" t="str">
        <f t="shared" si="63"/>
        <v>1</v>
      </c>
      <c r="C645" s="33" t="str">
        <f t="shared" si="64"/>
        <v>7</v>
      </c>
      <c r="D645" s="33" t="str">
        <f t="shared" si="65"/>
        <v>2</v>
      </c>
      <c r="E645" s="33" t="str">
        <f t="shared" si="66"/>
        <v>8</v>
      </c>
      <c r="F645" s="33" t="str">
        <f t="shared" si="67"/>
        <v>10</v>
      </c>
      <c r="G645" s="33" t="str">
        <f t="shared" si="68"/>
        <v>2</v>
      </c>
      <c r="H645" s="33" t="str">
        <f t="shared" si="69"/>
        <v>0</v>
      </c>
      <c r="I645" s="28">
        <v>17281020</v>
      </c>
      <c r="J645" s="29" t="s">
        <v>1049</v>
      </c>
      <c r="K645" s="29" t="s">
        <v>1050</v>
      </c>
      <c r="L645" s="29"/>
      <c r="M645" s="34"/>
    </row>
    <row r="646" spans="2:13" ht="75">
      <c r="B646" s="32" t="str">
        <f t="shared" si="63"/>
        <v>1</v>
      </c>
      <c r="C646" s="33" t="str">
        <f t="shared" si="64"/>
        <v>7</v>
      </c>
      <c r="D646" s="33" t="str">
        <f t="shared" si="65"/>
        <v>2</v>
      </c>
      <c r="E646" s="33" t="str">
        <f t="shared" si="66"/>
        <v>8</v>
      </c>
      <c r="F646" s="33" t="str">
        <f t="shared" si="67"/>
        <v>10</v>
      </c>
      <c r="G646" s="33" t="str">
        <f t="shared" si="68"/>
        <v>9</v>
      </c>
      <c r="H646" s="33" t="str">
        <f t="shared" si="69"/>
        <v>0</v>
      </c>
      <c r="I646" s="28">
        <v>17281090</v>
      </c>
      <c r="J646" s="29" t="s">
        <v>1051</v>
      </c>
      <c r="K646" s="29" t="s">
        <v>1052</v>
      </c>
      <c r="L646" s="29"/>
      <c r="M646" s="34"/>
    </row>
    <row r="647" spans="2:13" ht="45">
      <c r="B647" s="32" t="str">
        <f t="shared" si="63"/>
        <v>1</v>
      </c>
      <c r="C647" s="33" t="str">
        <f t="shared" si="64"/>
        <v>7</v>
      </c>
      <c r="D647" s="33" t="str">
        <f t="shared" si="65"/>
        <v>2</v>
      </c>
      <c r="E647" s="33" t="str">
        <f t="shared" si="66"/>
        <v>8</v>
      </c>
      <c r="F647" s="33" t="str">
        <f t="shared" si="67"/>
        <v>99</v>
      </c>
      <c r="G647" s="33" t="str">
        <f t="shared" si="68"/>
        <v>0</v>
      </c>
      <c r="H647" s="33" t="str">
        <f t="shared" si="69"/>
        <v>0</v>
      </c>
      <c r="I647" s="28">
        <v>17289900</v>
      </c>
      <c r="J647" s="29" t="s">
        <v>1029</v>
      </c>
      <c r="K647" s="29" t="s">
        <v>1053</v>
      </c>
      <c r="L647" s="29"/>
      <c r="M647" s="34"/>
    </row>
    <row r="648" spans="2:13" ht="45">
      <c r="B648" s="32" t="str">
        <f t="shared" si="63"/>
        <v>1</v>
      </c>
      <c r="C648" s="33" t="str">
        <f t="shared" si="64"/>
        <v>7</v>
      </c>
      <c r="D648" s="33" t="str">
        <f t="shared" si="65"/>
        <v>2</v>
      </c>
      <c r="E648" s="33" t="str">
        <f t="shared" si="66"/>
        <v>8</v>
      </c>
      <c r="F648" s="33" t="str">
        <f t="shared" si="67"/>
        <v>99</v>
      </c>
      <c r="G648" s="33" t="str">
        <f t="shared" si="68"/>
        <v>1</v>
      </c>
      <c r="H648" s="33" t="str">
        <f t="shared" si="69"/>
        <v>0</v>
      </c>
      <c r="I648" s="28">
        <v>17289910</v>
      </c>
      <c r="J648" s="29" t="s">
        <v>1029</v>
      </c>
      <c r="K648" s="29" t="s">
        <v>1053</v>
      </c>
      <c r="L648" s="29"/>
      <c r="M648" s="34"/>
    </row>
    <row r="649" spans="2:13" ht="60">
      <c r="B649" s="32" t="str">
        <f t="shared" si="63"/>
        <v>1</v>
      </c>
      <c r="C649" s="33" t="str">
        <f t="shared" si="64"/>
        <v>7</v>
      </c>
      <c r="D649" s="33" t="str">
        <f t="shared" si="65"/>
        <v>3</v>
      </c>
      <c r="E649" s="33" t="str">
        <f t="shared" si="66"/>
        <v>0</v>
      </c>
      <c r="F649" s="33" t="str">
        <f t="shared" si="67"/>
        <v>00</v>
      </c>
      <c r="G649" s="33" t="str">
        <f t="shared" si="68"/>
        <v>0</v>
      </c>
      <c r="H649" s="33" t="str">
        <f t="shared" si="69"/>
        <v>0</v>
      </c>
      <c r="I649" s="28">
        <v>17300000</v>
      </c>
      <c r="J649" s="29" t="s">
        <v>1054</v>
      </c>
      <c r="K649" s="29" t="s">
        <v>1055</v>
      </c>
      <c r="L649" s="29"/>
      <c r="M649" s="34"/>
    </row>
    <row r="650" spans="2:13" ht="60">
      <c r="B650" s="32" t="str">
        <f t="shared" si="63"/>
        <v>1</v>
      </c>
      <c r="C650" s="33" t="str">
        <f t="shared" si="64"/>
        <v>7</v>
      </c>
      <c r="D650" s="33" t="str">
        <f t="shared" si="65"/>
        <v>3</v>
      </c>
      <c r="E650" s="33" t="str">
        <f t="shared" si="66"/>
        <v>0</v>
      </c>
      <c r="F650" s="33" t="str">
        <f t="shared" si="67"/>
        <v>00</v>
      </c>
      <c r="G650" s="33" t="str">
        <f t="shared" si="68"/>
        <v>1</v>
      </c>
      <c r="H650" s="33" t="str">
        <f t="shared" si="69"/>
        <v>0</v>
      </c>
      <c r="I650" s="28">
        <v>17300010</v>
      </c>
      <c r="J650" s="29" t="s">
        <v>1054</v>
      </c>
      <c r="K650" s="29" t="s">
        <v>1055</v>
      </c>
      <c r="L650" s="29"/>
      <c r="M650" s="34"/>
    </row>
    <row r="651" spans="2:13" ht="60">
      <c r="B651" s="32" t="str">
        <f t="shared" ref="B651:B714" si="70">MID($I651,1,1)</f>
        <v>1</v>
      </c>
      <c r="C651" s="33" t="str">
        <f t="shared" ref="C651:C714" si="71">MID($I651,2,1)</f>
        <v>7</v>
      </c>
      <c r="D651" s="33" t="str">
        <f t="shared" ref="D651:D714" si="72">MID($I651,3,1)</f>
        <v>3</v>
      </c>
      <c r="E651" s="33" t="str">
        <f t="shared" ref="E651:E714" si="73">MID($I651,4,1)</f>
        <v>8</v>
      </c>
      <c r="F651" s="33" t="str">
        <f t="shared" ref="F651:F714" si="74">MID($I651,5,2)</f>
        <v>00</v>
      </c>
      <c r="G651" s="33" t="str">
        <f t="shared" ref="G651:G714" si="75">MID($I651,7,1)</f>
        <v>0</v>
      </c>
      <c r="H651" s="33" t="str">
        <f t="shared" ref="H651:H714" si="76">MID($I651,8,1)</f>
        <v>0</v>
      </c>
      <c r="I651" s="28">
        <v>17380000</v>
      </c>
      <c r="J651" s="29" t="s">
        <v>1056</v>
      </c>
      <c r="K651" s="29" t="s">
        <v>1057</v>
      </c>
      <c r="L651" s="29"/>
      <c r="M651" s="34"/>
    </row>
    <row r="652" spans="2:13" ht="45">
      <c r="B652" s="32" t="str">
        <f t="shared" si="70"/>
        <v>1</v>
      </c>
      <c r="C652" s="33" t="str">
        <f t="shared" si="71"/>
        <v>7</v>
      </c>
      <c r="D652" s="33" t="str">
        <f t="shared" si="72"/>
        <v>3</v>
      </c>
      <c r="E652" s="33" t="str">
        <f t="shared" si="73"/>
        <v>8</v>
      </c>
      <c r="F652" s="33" t="str">
        <f t="shared" si="74"/>
        <v>01</v>
      </c>
      <c r="G652" s="33" t="str">
        <f t="shared" si="75"/>
        <v>0</v>
      </c>
      <c r="H652" s="33" t="str">
        <f t="shared" si="76"/>
        <v>0</v>
      </c>
      <c r="I652" s="28">
        <v>17380100</v>
      </c>
      <c r="J652" s="29" t="s">
        <v>1058</v>
      </c>
      <c r="K652" s="29" t="s">
        <v>1059</v>
      </c>
      <c r="L652" s="29"/>
      <c r="M652" s="34"/>
    </row>
    <row r="653" spans="2:13" ht="45">
      <c r="B653" s="32" t="str">
        <f t="shared" si="70"/>
        <v>1</v>
      </c>
      <c r="C653" s="33" t="str">
        <f t="shared" si="71"/>
        <v>7</v>
      </c>
      <c r="D653" s="33" t="str">
        <f t="shared" si="72"/>
        <v>3</v>
      </c>
      <c r="E653" s="33" t="str">
        <f t="shared" si="73"/>
        <v>8</v>
      </c>
      <c r="F653" s="33" t="str">
        <f t="shared" si="74"/>
        <v>01</v>
      </c>
      <c r="G653" s="33" t="str">
        <f t="shared" si="75"/>
        <v>1</v>
      </c>
      <c r="H653" s="33" t="str">
        <f t="shared" si="76"/>
        <v>0</v>
      </c>
      <c r="I653" s="28">
        <v>17380110</v>
      </c>
      <c r="J653" s="29" t="s">
        <v>1058</v>
      </c>
      <c r="K653" s="29" t="s">
        <v>1059</v>
      </c>
      <c r="L653" s="29"/>
      <c r="M653" s="34"/>
    </row>
    <row r="654" spans="2:13" ht="30">
      <c r="B654" s="32" t="str">
        <f t="shared" si="70"/>
        <v>1</v>
      </c>
      <c r="C654" s="33" t="str">
        <f t="shared" si="71"/>
        <v>7</v>
      </c>
      <c r="D654" s="33" t="str">
        <f t="shared" si="72"/>
        <v>3</v>
      </c>
      <c r="E654" s="33" t="str">
        <f t="shared" si="73"/>
        <v>8</v>
      </c>
      <c r="F654" s="33" t="str">
        <f t="shared" si="74"/>
        <v>02</v>
      </c>
      <c r="G654" s="33" t="str">
        <f t="shared" si="75"/>
        <v>0</v>
      </c>
      <c r="H654" s="33" t="str">
        <f t="shared" si="76"/>
        <v>0</v>
      </c>
      <c r="I654" s="28">
        <v>17380200</v>
      </c>
      <c r="J654" s="29" t="s">
        <v>1060</v>
      </c>
      <c r="K654" s="29" t="s">
        <v>1061</v>
      </c>
      <c r="L654" s="29"/>
      <c r="M654" s="34"/>
    </row>
    <row r="655" spans="2:13" ht="30">
      <c r="B655" s="32" t="str">
        <f t="shared" si="70"/>
        <v>1</v>
      </c>
      <c r="C655" s="33" t="str">
        <f t="shared" si="71"/>
        <v>7</v>
      </c>
      <c r="D655" s="33" t="str">
        <f t="shared" si="72"/>
        <v>3</v>
      </c>
      <c r="E655" s="33" t="str">
        <f t="shared" si="73"/>
        <v>8</v>
      </c>
      <c r="F655" s="33" t="str">
        <f t="shared" si="74"/>
        <v>02</v>
      </c>
      <c r="G655" s="33" t="str">
        <f t="shared" si="75"/>
        <v>1</v>
      </c>
      <c r="H655" s="33" t="str">
        <f t="shared" si="76"/>
        <v>0</v>
      </c>
      <c r="I655" s="28">
        <v>17380210</v>
      </c>
      <c r="J655" s="29" t="s">
        <v>1060</v>
      </c>
      <c r="K655" s="29" t="s">
        <v>1061</v>
      </c>
      <c r="L655" s="29"/>
      <c r="M655" s="34"/>
    </row>
    <row r="656" spans="2:13" ht="60">
      <c r="B656" s="32" t="str">
        <f t="shared" si="70"/>
        <v>1</v>
      </c>
      <c r="C656" s="33" t="str">
        <f t="shared" si="71"/>
        <v>7</v>
      </c>
      <c r="D656" s="33" t="str">
        <f t="shared" si="72"/>
        <v>3</v>
      </c>
      <c r="E656" s="33" t="str">
        <f t="shared" si="73"/>
        <v>8</v>
      </c>
      <c r="F656" s="33" t="str">
        <f t="shared" si="74"/>
        <v>10</v>
      </c>
      <c r="G656" s="33" t="str">
        <f t="shared" si="75"/>
        <v>0</v>
      </c>
      <c r="H656" s="33" t="str">
        <f t="shared" si="76"/>
        <v>0</v>
      </c>
      <c r="I656" s="28">
        <v>17381000</v>
      </c>
      <c r="J656" s="29" t="s">
        <v>1062</v>
      </c>
      <c r="K656" s="29" t="s">
        <v>1063</v>
      </c>
      <c r="L656" s="29"/>
      <c r="M656" s="34"/>
    </row>
    <row r="657" spans="2:13" ht="60">
      <c r="B657" s="32" t="str">
        <f t="shared" si="70"/>
        <v>1</v>
      </c>
      <c r="C657" s="33" t="str">
        <f t="shared" si="71"/>
        <v>7</v>
      </c>
      <c r="D657" s="33" t="str">
        <f t="shared" si="72"/>
        <v>3</v>
      </c>
      <c r="E657" s="33" t="str">
        <f t="shared" si="73"/>
        <v>8</v>
      </c>
      <c r="F657" s="33" t="str">
        <f t="shared" si="74"/>
        <v>10</v>
      </c>
      <c r="G657" s="33" t="str">
        <f t="shared" si="75"/>
        <v>1</v>
      </c>
      <c r="H657" s="33" t="str">
        <f t="shared" si="76"/>
        <v>0</v>
      </c>
      <c r="I657" s="28">
        <v>17381010</v>
      </c>
      <c r="J657" s="29" t="s">
        <v>1064</v>
      </c>
      <c r="K657" s="29" t="s">
        <v>1065</v>
      </c>
      <c r="L657" s="29"/>
      <c r="M657" s="34"/>
    </row>
    <row r="658" spans="2:13" ht="60">
      <c r="B658" s="32" t="str">
        <f t="shared" si="70"/>
        <v>1</v>
      </c>
      <c r="C658" s="33" t="str">
        <f t="shared" si="71"/>
        <v>7</v>
      </c>
      <c r="D658" s="33" t="str">
        <f t="shared" si="72"/>
        <v>3</v>
      </c>
      <c r="E658" s="33" t="str">
        <f t="shared" si="73"/>
        <v>8</v>
      </c>
      <c r="F658" s="33" t="str">
        <f t="shared" si="74"/>
        <v>10</v>
      </c>
      <c r="G658" s="33" t="str">
        <f t="shared" si="75"/>
        <v>2</v>
      </c>
      <c r="H658" s="33" t="str">
        <f t="shared" si="76"/>
        <v>0</v>
      </c>
      <c r="I658" s="28">
        <v>17381020</v>
      </c>
      <c r="J658" s="29" t="s">
        <v>1066</v>
      </c>
      <c r="K658" s="29" t="s">
        <v>1067</v>
      </c>
      <c r="L658" s="29"/>
      <c r="M658" s="34"/>
    </row>
    <row r="659" spans="2:13" ht="60">
      <c r="B659" s="32" t="str">
        <f t="shared" si="70"/>
        <v>1</v>
      </c>
      <c r="C659" s="33" t="str">
        <f t="shared" si="71"/>
        <v>7</v>
      </c>
      <c r="D659" s="33" t="str">
        <f t="shared" si="72"/>
        <v>3</v>
      </c>
      <c r="E659" s="33" t="str">
        <f t="shared" si="73"/>
        <v>8</v>
      </c>
      <c r="F659" s="33" t="str">
        <f t="shared" si="74"/>
        <v>10</v>
      </c>
      <c r="G659" s="33" t="str">
        <f t="shared" si="75"/>
        <v>9</v>
      </c>
      <c r="H659" s="33" t="str">
        <f t="shared" si="76"/>
        <v>0</v>
      </c>
      <c r="I659" s="28">
        <v>17381090</v>
      </c>
      <c r="J659" s="29" t="s">
        <v>1068</v>
      </c>
      <c r="K659" s="29" t="s">
        <v>1069</v>
      </c>
      <c r="L659" s="29"/>
      <c r="M659" s="34"/>
    </row>
    <row r="660" spans="2:13" ht="60">
      <c r="B660" s="32" t="str">
        <f t="shared" si="70"/>
        <v>1</v>
      </c>
      <c r="C660" s="33" t="str">
        <f t="shared" si="71"/>
        <v>7</v>
      </c>
      <c r="D660" s="33" t="str">
        <f t="shared" si="72"/>
        <v>3</v>
      </c>
      <c r="E660" s="33" t="str">
        <f t="shared" si="73"/>
        <v>8</v>
      </c>
      <c r="F660" s="33" t="str">
        <f t="shared" si="74"/>
        <v>99</v>
      </c>
      <c r="G660" s="33" t="str">
        <f t="shared" si="75"/>
        <v>0</v>
      </c>
      <c r="H660" s="33" t="str">
        <f t="shared" si="76"/>
        <v>0</v>
      </c>
      <c r="I660" s="28">
        <v>17389900</v>
      </c>
      <c r="J660" s="29" t="s">
        <v>1070</v>
      </c>
      <c r="K660" s="29" t="s">
        <v>1071</v>
      </c>
      <c r="L660" s="29"/>
      <c r="M660" s="34"/>
    </row>
    <row r="661" spans="2:13" ht="60">
      <c r="B661" s="32" t="str">
        <f t="shared" si="70"/>
        <v>1</v>
      </c>
      <c r="C661" s="33" t="str">
        <f t="shared" si="71"/>
        <v>7</v>
      </c>
      <c r="D661" s="33" t="str">
        <f t="shared" si="72"/>
        <v>3</v>
      </c>
      <c r="E661" s="33" t="str">
        <f t="shared" si="73"/>
        <v>8</v>
      </c>
      <c r="F661" s="33" t="str">
        <f t="shared" si="74"/>
        <v>99</v>
      </c>
      <c r="G661" s="33" t="str">
        <f t="shared" si="75"/>
        <v>1</v>
      </c>
      <c r="H661" s="33" t="str">
        <f t="shared" si="76"/>
        <v>0</v>
      </c>
      <c r="I661" s="28">
        <v>17389910</v>
      </c>
      <c r="J661" s="29" t="s">
        <v>1070</v>
      </c>
      <c r="K661" s="29" t="s">
        <v>1071</v>
      </c>
      <c r="L661" s="29"/>
      <c r="M661" s="34"/>
    </row>
    <row r="662" spans="2:13" ht="75">
      <c r="B662" s="32" t="str">
        <f t="shared" si="70"/>
        <v>1</v>
      </c>
      <c r="C662" s="33" t="str">
        <f t="shared" si="71"/>
        <v>7</v>
      </c>
      <c r="D662" s="33" t="str">
        <f t="shared" si="72"/>
        <v>4</v>
      </c>
      <c r="E662" s="33" t="str">
        <f t="shared" si="73"/>
        <v>0</v>
      </c>
      <c r="F662" s="33" t="str">
        <f t="shared" si="74"/>
        <v>00</v>
      </c>
      <c r="G662" s="33" t="str">
        <f t="shared" si="75"/>
        <v>0</v>
      </c>
      <c r="H662" s="33" t="str">
        <f t="shared" si="76"/>
        <v>0</v>
      </c>
      <c r="I662" s="28">
        <v>17400000</v>
      </c>
      <c r="J662" s="29" t="s">
        <v>1072</v>
      </c>
      <c r="K662" s="29" t="s">
        <v>1073</v>
      </c>
      <c r="L662" s="29"/>
      <c r="M662" s="34"/>
    </row>
    <row r="663" spans="2:13" ht="75">
      <c r="B663" s="32" t="str">
        <f t="shared" si="70"/>
        <v>1</v>
      </c>
      <c r="C663" s="33" t="str">
        <f t="shared" si="71"/>
        <v>7</v>
      </c>
      <c r="D663" s="33" t="str">
        <f t="shared" si="72"/>
        <v>4</v>
      </c>
      <c r="E663" s="33" t="str">
        <f t="shared" si="73"/>
        <v>1</v>
      </c>
      <c r="F663" s="33" t="str">
        <f t="shared" si="74"/>
        <v>01</v>
      </c>
      <c r="G663" s="33" t="str">
        <f t="shared" si="75"/>
        <v>0</v>
      </c>
      <c r="H663" s="33" t="str">
        <f t="shared" si="76"/>
        <v>0</v>
      </c>
      <c r="I663" s="28">
        <v>17410100</v>
      </c>
      <c r="J663" s="29" t="s">
        <v>1074</v>
      </c>
      <c r="K663" s="29" t="s">
        <v>1073</v>
      </c>
      <c r="L663" s="29"/>
      <c r="M663" s="34"/>
    </row>
    <row r="664" spans="2:13" ht="90">
      <c r="B664" s="32" t="str">
        <f t="shared" si="70"/>
        <v>1</v>
      </c>
      <c r="C664" s="33" t="str">
        <f t="shared" si="71"/>
        <v>7</v>
      </c>
      <c r="D664" s="33" t="str">
        <f t="shared" si="72"/>
        <v>4</v>
      </c>
      <c r="E664" s="33" t="str">
        <f t="shared" si="73"/>
        <v>8</v>
      </c>
      <c r="F664" s="33" t="str">
        <f t="shared" si="74"/>
        <v>00</v>
      </c>
      <c r="G664" s="33" t="str">
        <f t="shared" si="75"/>
        <v>0</v>
      </c>
      <c r="H664" s="33" t="str">
        <f t="shared" si="76"/>
        <v>0</v>
      </c>
      <c r="I664" s="28">
        <v>17480000</v>
      </c>
      <c r="J664" s="29" t="s">
        <v>1075</v>
      </c>
      <c r="K664" s="29" t="s">
        <v>1076</v>
      </c>
      <c r="L664" s="29"/>
      <c r="M664" s="34"/>
    </row>
    <row r="665" spans="2:13" ht="60">
      <c r="B665" s="32" t="str">
        <f t="shared" si="70"/>
        <v>1</v>
      </c>
      <c r="C665" s="33" t="str">
        <f t="shared" si="71"/>
        <v>7</v>
      </c>
      <c r="D665" s="33" t="str">
        <f t="shared" si="72"/>
        <v>4</v>
      </c>
      <c r="E665" s="33" t="str">
        <f t="shared" si="73"/>
        <v>8</v>
      </c>
      <c r="F665" s="33" t="str">
        <f t="shared" si="74"/>
        <v>01</v>
      </c>
      <c r="G665" s="33" t="str">
        <f t="shared" si="75"/>
        <v>0</v>
      </c>
      <c r="H665" s="33" t="str">
        <f t="shared" si="76"/>
        <v>0</v>
      </c>
      <c r="I665" s="28">
        <v>17480100</v>
      </c>
      <c r="J665" s="29" t="s">
        <v>1077</v>
      </c>
      <c r="K665" s="29" t="s">
        <v>1078</v>
      </c>
      <c r="L665" s="29"/>
      <c r="M665" s="34"/>
    </row>
    <row r="666" spans="2:13" ht="75">
      <c r="B666" s="32" t="str">
        <f t="shared" si="70"/>
        <v>1</v>
      </c>
      <c r="C666" s="33" t="str">
        <f t="shared" si="71"/>
        <v>7</v>
      </c>
      <c r="D666" s="33" t="str">
        <f t="shared" si="72"/>
        <v>4</v>
      </c>
      <c r="E666" s="33" t="str">
        <f t="shared" si="73"/>
        <v>8</v>
      </c>
      <c r="F666" s="33" t="str">
        <f t="shared" si="74"/>
        <v>01</v>
      </c>
      <c r="G666" s="33" t="str">
        <f t="shared" si="75"/>
        <v>1</v>
      </c>
      <c r="H666" s="33" t="str">
        <f t="shared" si="76"/>
        <v>0</v>
      </c>
      <c r="I666" s="28">
        <v>17480110</v>
      </c>
      <c r="J666" s="29" t="s">
        <v>1079</v>
      </c>
      <c r="K666" s="29" t="s">
        <v>1080</v>
      </c>
      <c r="L666" s="29"/>
      <c r="M666" s="34"/>
    </row>
    <row r="667" spans="2:13" ht="75">
      <c r="B667" s="32" t="str">
        <f t="shared" si="70"/>
        <v>1</v>
      </c>
      <c r="C667" s="33" t="str">
        <f t="shared" si="71"/>
        <v>7</v>
      </c>
      <c r="D667" s="33" t="str">
        <f t="shared" si="72"/>
        <v>4</v>
      </c>
      <c r="E667" s="33" t="str">
        <f t="shared" si="73"/>
        <v>8</v>
      </c>
      <c r="F667" s="33" t="str">
        <f t="shared" si="74"/>
        <v>01</v>
      </c>
      <c r="G667" s="33" t="str">
        <f t="shared" si="75"/>
        <v>2</v>
      </c>
      <c r="H667" s="33" t="str">
        <f t="shared" si="76"/>
        <v>0</v>
      </c>
      <c r="I667" s="28">
        <v>17480120</v>
      </c>
      <c r="J667" s="29" t="s">
        <v>1081</v>
      </c>
      <c r="K667" s="29" t="s">
        <v>1082</v>
      </c>
      <c r="L667" s="29" t="s">
        <v>180</v>
      </c>
      <c r="M667" s="34"/>
    </row>
    <row r="668" spans="2:13" ht="60">
      <c r="B668" s="32" t="str">
        <f t="shared" si="70"/>
        <v>1</v>
      </c>
      <c r="C668" s="33" t="str">
        <f t="shared" si="71"/>
        <v>7</v>
      </c>
      <c r="D668" s="33" t="str">
        <f t="shared" si="72"/>
        <v>4</v>
      </c>
      <c r="E668" s="33" t="str">
        <f t="shared" si="73"/>
        <v>8</v>
      </c>
      <c r="F668" s="33" t="str">
        <f t="shared" si="74"/>
        <v>01</v>
      </c>
      <c r="G668" s="33" t="str">
        <f t="shared" si="75"/>
        <v>9</v>
      </c>
      <c r="H668" s="33" t="str">
        <f t="shared" si="76"/>
        <v>0</v>
      </c>
      <c r="I668" s="28">
        <v>17480190</v>
      </c>
      <c r="J668" s="29" t="s">
        <v>1083</v>
      </c>
      <c r="K668" s="29" t="s">
        <v>1084</v>
      </c>
      <c r="L668" s="29" t="s">
        <v>180</v>
      </c>
      <c r="M668" s="34"/>
    </row>
    <row r="669" spans="2:13" ht="45">
      <c r="B669" s="32" t="str">
        <f t="shared" si="70"/>
        <v>1</v>
      </c>
      <c r="C669" s="33" t="str">
        <f t="shared" si="71"/>
        <v>7</v>
      </c>
      <c r="D669" s="33" t="str">
        <f t="shared" si="72"/>
        <v>4</v>
      </c>
      <c r="E669" s="33" t="str">
        <f t="shared" si="73"/>
        <v>8</v>
      </c>
      <c r="F669" s="33" t="str">
        <f t="shared" si="74"/>
        <v>10</v>
      </c>
      <c r="G669" s="33" t="str">
        <f t="shared" si="75"/>
        <v>0</v>
      </c>
      <c r="H669" s="33" t="str">
        <f t="shared" si="76"/>
        <v>0</v>
      </c>
      <c r="I669" s="28">
        <v>17481000</v>
      </c>
      <c r="J669" s="29" t="s">
        <v>1085</v>
      </c>
      <c r="K669" s="29" t="s">
        <v>1086</v>
      </c>
      <c r="L669" s="29"/>
      <c r="M669" s="34"/>
    </row>
    <row r="670" spans="2:13" ht="45">
      <c r="B670" s="32" t="str">
        <f t="shared" si="70"/>
        <v>1</v>
      </c>
      <c r="C670" s="33" t="str">
        <f t="shared" si="71"/>
        <v>7</v>
      </c>
      <c r="D670" s="33" t="str">
        <f t="shared" si="72"/>
        <v>4</v>
      </c>
      <c r="E670" s="33" t="str">
        <f t="shared" si="73"/>
        <v>8</v>
      </c>
      <c r="F670" s="33" t="str">
        <f t="shared" si="74"/>
        <v>10</v>
      </c>
      <c r="G670" s="33" t="str">
        <f t="shared" si="75"/>
        <v>1</v>
      </c>
      <c r="H670" s="33" t="str">
        <f t="shared" si="76"/>
        <v>0</v>
      </c>
      <c r="I670" s="28">
        <v>17481010</v>
      </c>
      <c r="J670" s="29" t="s">
        <v>1085</v>
      </c>
      <c r="K670" s="29" t="s">
        <v>1086</v>
      </c>
      <c r="L670" s="29"/>
      <c r="M670" s="34"/>
    </row>
    <row r="671" spans="2:13" ht="75">
      <c r="B671" s="32" t="str">
        <f t="shared" si="70"/>
        <v>1</v>
      </c>
      <c r="C671" s="33" t="str">
        <f t="shared" si="71"/>
        <v>7</v>
      </c>
      <c r="D671" s="33" t="str">
        <f t="shared" si="72"/>
        <v>5</v>
      </c>
      <c r="E671" s="33" t="str">
        <f t="shared" si="73"/>
        <v>0</v>
      </c>
      <c r="F671" s="33" t="str">
        <f t="shared" si="74"/>
        <v>00</v>
      </c>
      <c r="G671" s="33" t="str">
        <f t="shared" si="75"/>
        <v>0</v>
      </c>
      <c r="H671" s="33" t="str">
        <f t="shared" si="76"/>
        <v>0</v>
      </c>
      <c r="I671" s="28">
        <v>17500000</v>
      </c>
      <c r="J671" s="29" t="s">
        <v>1087</v>
      </c>
      <c r="K671" s="29" t="s">
        <v>1088</v>
      </c>
      <c r="L671" s="29"/>
      <c r="M671" s="34"/>
    </row>
    <row r="672" spans="2:13" ht="75">
      <c r="B672" s="32" t="str">
        <f t="shared" si="70"/>
        <v>1</v>
      </c>
      <c r="C672" s="33" t="str">
        <f t="shared" si="71"/>
        <v>7</v>
      </c>
      <c r="D672" s="33" t="str">
        <f t="shared" si="72"/>
        <v>5</v>
      </c>
      <c r="E672" s="33" t="str">
        <f t="shared" si="73"/>
        <v>0</v>
      </c>
      <c r="F672" s="33" t="str">
        <f t="shared" si="74"/>
        <v>00</v>
      </c>
      <c r="G672" s="33" t="str">
        <f t="shared" si="75"/>
        <v>1</v>
      </c>
      <c r="H672" s="33" t="str">
        <f t="shared" si="76"/>
        <v>0</v>
      </c>
      <c r="I672" s="28">
        <v>17500010</v>
      </c>
      <c r="J672" s="29" t="s">
        <v>1087</v>
      </c>
      <c r="K672" s="29" t="s">
        <v>1088</v>
      </c>
      <c r="L672" s="29"/>
      <c r="M672" s="34"/>
    </row>
    <row r="673" spans="2:13" ht="90">
      <c r="B673" s="32" t="str">
        <f t="shared" si="70"/>
        <v>1</v>
      </c>
      <c r="C673" s="33" t="str">
        <f t="shared" si="71"/>
        <v>7</v>
      </c>
      <c r="D673" s="33" t="str">
        <f t="shared" si="72"/>
        <v>5</v>
      </c>
      <c r="E673" s="33" t="str">
        <f t="shared" si="73"/>
        <v>8</v>
      </c>
      <c r="F673" s="33" t="str">
        <f t="shared" si="74"/>
        <v>00</v>
      </c>
      <c r="G673" s="33" t="str">
        <f t="shared" si="75"/>
        <v>0</v>
      </c>
      <c r="H673" s="33" t="str">
        <f t="shared" si="76"/>
        <v>0</v>
      </c>
      <c r="I673" s="28">
        <v>17580000</v>
      </c>
      <c r="J673" s="29" t="s">
        <v>1089</v>
      </c>
      <c r="K673" s="29" t="s">
        <v>1090</v>
      </c>
      <c r="L673" s="29"/>
      <c r="M673" s="34"/>
    </row>
    <row r="674" spans="2:13" ht="45">
      <c r="B674" s="32" t="str">
        <f t="shared" si="70"/>
        <v>1</v>
      </c>
      <c r="C674" s="33" t="str">
        <f t="shared" si="71"/>
        <v>7</v>
      </c>
      <c r="D674" s="33" t="str">
        <f t="shared" si="72"/>
        <v>5</v>
      </c>
      <c r="E674" s="33" t="str">
        <f t="shared" si="73"/>
        <v>8</v>
      </c>
      <c r="F674" s="33" t="str">
        <f t="shared" si="74"/>
        <v>01</v>
      </c>
      <c r="G674" s="33" t="str">
        <f t="shared" si="75"/>
        <v>0</v>
      </c>
      <c r="H674" s="33" t="str">
        <f t="shared" si="76"/>
        <v>0</v>
      </c>
      <c r="I674" s="28">
        <v>17580100</v>
      </c>
      <c r="J674" s="29" t="s">
        <v>1091</v>
      </c>
      <c r="K674" s="29" t="s">
        <v>1092</v>
      </c>
      <c r="L674" s="29"/>
      <c r="M674" s="34"/>
    </row>
    <row r="675" spans="2:13" s="12" customFormat="1" ht="45">
      <c r="B675" s="32" t="str">
        <f t="shared" si="70"/>
        <v>1</v>
      </c>
      <c r="C675" s="33" t="str">
        <f t="shared" si="71"/>
        <v>7</v>
      </c>
      <c r="D675" s="33" t="str">
        <f t="shared" si="72"/>
        <v>5</v>
      </c>
      <c r="E675" s="33" t="str">
        <f t="shared" si="73"/>
        <v>8</v>
      </c>
      <c r="F675" s="33" t="str">
        <f t="shared" si="74"/>
        <v>01</v>
      </c>
      <c r="G675" s="33" t="str">
        <f t="shared" si="75"/>
        <v>1</v>
      </c>
      <c r="H675" s="33" t="str">
        <f t="shared" si="76"/>
        <v>0</v>
      </c>
      <c r="I675" s="28">
        <v>17580110</v>
      </c>
      <c r="J675" s="29" t="s">
        <v>1091</v>
      </c>
      <c r="K675" s="29" t="s">
        <v>1092</v>
      </c>
      <c r="L675" s="29"/>
      <c r="M675" s="34"/>
    </row>
    <row r="676" spans="2:13" ht="30">
      <c r="B676" s="32" t="str">
        <f t="shared" si="70"/>
        <v>1</v>
      </c>
      <c r="C676" s="33" t="str">
        <f t="shared" si="71"/>
        <v>7</v>
      </c>
      <c r="D676" s="33" t="str">
        <f t="shared" si="72"/>
        <v>5</v>
      </c>
      <c r="E676" s="33" t="str">
        <f t="shared" si="73"/>
        <v>8</v>
      </c>
      <c r="F676" s="33" t="str">
        <f t="shared" si="74"/>
        <v>99</v>
      </c>
      <c r="G676" s="33" t="str">
        <f t="shared" si="75"/>
        <v>0</v>
      </c>
      <c r="H676" s="33" t="str">
        <f t="shared" si="76"/>
        <v>0</v>
      </c>
      <c r="I676" s="28">
        <v>17589900</v>
      </c>
      <c r="J676" s="29" t="s">
        <v>1093</v>
      </c>
      <c r="K676" s="29" t="s">
        <v>1094</v>
      </c>
      <c r="L676" s="29"/>
      <c r="M676" s="34"/>
    </row>
    <row r="677" spans="2:13" ht="61.5" customHeight="1">
      <c r="B677" s="32" t="str">
        <f t="shared" si="70"/>
        <v>1</v>
      </c>
      <c r="C677" s="33" t="str">
        <f t="shared" si="71"/>
        <v>7</v>
      </c>
      <c r="D677" s="33" t="str">
        <f t="shared" si="72"/>
        <v>5</v>
      </c>
      <c r="E677" s="33" t="str">
        <f t="shared" si="73"/>
        <v>8</v>
      </c>
      <c r="F677" s="33" t="str">
        <f t="shared" si="74"/>
        <v>99</v>
      </c>
      <c r="G677" s="33" t="str">
        <f t="shared" si="75"/>
        <v>1</v>
      </c>
      <c r="H677" s="33" t="str">
        <f t="shared" si="76"/>
        <v>0</v>
      </c>
      <c r="I677" s="28">
        <v>17589910</v>
      </c>
      <c r="J677" s="29" t="s">
        <v>1093</v>
      </c>
      <c r="K677" s="29" t="s">
        <v>1094</v>
      </c>
      <c r="L677" s="29"/>
      <c r="M677" s="34"/>
    </row>
    <row r="678" spans="2:13" ht="45">
      <c r="B678" s="32" t="str">
        <f t="shared" si="70"/>
        <v>1</v>
      </c>
      <c r="C678" s="33" t="str">
        <f t="shared" si="71"/>
        <v>7</v>
      </c>
      <c r="D678" s="33" t="str">
        <f t="shared" si="72"/>
        <v>6</v>
      </c>
      <c r="E678" s="33" t="str">
        <f t="shared" si="73"/>
        <v>0</v>
      </c>
      <c r="F678" s="33" t="str">
        <f t="shared" si="74"/>
        <v>00</v>
      </c>
      <c r="G678" s="33" t="str">
        <f t="shared" si="75"/>
        <v>0</v>
      </c>
      <c r="H678" s="33" t="str">
        <f t="shared" si="76"/>
        <v>0</v>
      </c>
      <c r="I678" s="28">
        <v>17600000</v>
      </c>
      <c r="J678" s="29" t="s">
        <v>1095</v>
      </c>
      <c r="K678" s="29" t="s">
        <v>1096</v>
      </c>
      <c r="L678" s="29"/>
      <c r="M678" s="34"/>
    </row>
    <row r="679" spans="2:13" ht="45">
      <c r="B679" s="32" t="str">
        <f t="shared" si="70"/>
        <v>1</v>
      </c>
      <c r="C679" s="33" t="str">
        <f t="shared" si="71"/>
        <v>7</v>
      </c>
      <c r="D679" s="33" t="str">
        <f t="shared" si="72"/>
        <v>6</v>
      </c>
      <c r="E679" s="33" t="str">
        <f t="shared" si="73"/>
        <v>0</v>
      </c>
      <c r="F679" s="33" t="str">
        <f t="shared" si="74"/>
        <v>00</v>
      </c>
      <c r="G679" s="33" t="str">
        <f t="shared" si="75"/>
        <v>1</v>
      </c>
      <c r="H679" s="33" t="str">
        <f t="shared" si="76"/>
        <v>0</v>
      </c>
      <c r="I679" s="28">
        <v>17600010</v>
      </c>
      <c r="J679" s="29" t="s">
        <v>1095</v>
      </c>
      <c r="K679" s="29" t="s">
        <v>1096</v>
      </c>
      <c r="L679" s="29"/>
      <c r="M679" s="34"/>
    </row>
    <row r="680" spans="2:13" ht="60">
      <c r="B680" s="32" t="str">
        <f t="shared" si="70"/>
        <v>1</v>
      </c>
      <c r="C680" s="33" t="str">
        <f t="shared" si="71"/>
        <v>7</v>
      </c>
      <c r="D680" s="33" t="str">
        <f t="shared" si="72"/>
        <v>6</v>
      </c>
      <c r="E680" s="33" t="str">
        <f t="shared" si="73"/>
        <v>8</v>
      </c>
      <c r="F680" s="33" t="str">
        <f t="shared" si="74"/>
        <v>00</v>
      </c>
      <c r="G680" s="33" t="str">
        <f t="shared" si="75"/>
        <v>0</v>
      </c>
      <c r="H680" s="33" t="str">
        <f t="shared" si="76"/>
        <v>0</v>
      </c>
      <c r="I680" s="28">
        <v>17680000</v>
      </c>
      <c r="J680" s="29" t="s">
        <v>1097</v>
      </c>
      <c r="K680" s="29" t="s">
        <v>1098</v>
      </c>
      <c r="L680" s="29"/>
      <c r="M680" s="34"/>
    </row>
    <row r="681" spans="2:13" ht="45">
      <c r="B681" s="32" t="str">
        <f t="shared" si="70"/>
        <v>1</v>
      </c>
      <c r="C681" s="33" t="str">
        <f t="shared" si="71"/>
        <v>7</v>
      </c>
      <c r="D681" s="33" t="str">
        <f t="shared" si="72"/>
        <v>6</v>
      </c>
      <c r="E681" s="33" t="str">
        <f t="shared" si="73"/>
        <v>8</v>
      </c>
      <c r="F681" s="33" t="str">
        <f t="shared" si="74"/>
        <v>01</v>
      </c>
      <c r="G681" s="33" t="str">
        <f t="shared" si="75"/>
        <v>0</v>
      </c>
      <c r="H681" s="33" t="str">
        <f t="shared" si="76"/>
        <v>0</v>
      </c>
      <c r="I681" s="28">
        <v>17680100</v>
      </c>
      <c r="J681" s="29" t="s">
        <v>1099</v>
      </c>
      <c r="K681" s="29" t="s">
        <v>1100</v>
      </c>
      <c r="L681" s="29"/>
      <c r="M681" s="34"/>
    </row>
    <row r="682" spans="2:13" ht="45">
      <c r="B682" s="32" t="str">
        <f t="shared" si="70"/>
        <v>1</v>
      </c>
      <c r="C682" s="33" t="str">
        <f t="shared" si="71"/>
        <v>7</v>
      </c>
      <c r="D682" s="33" t="str">
        <f t="shared" si="72"/>
        <v>6</v>
      </c>
      <c r="E682" s="33" t="str">
        <f t="shared" si="73"/>
        <v>8</v>
      </c>
      <c r="F682" s="33" t="str">
        <f t="shared" si="74"/>
        <v>01</v>
      </c>
      <c r="G682" s="33" t="str">
        <f t="shared" si="75"/>
        <v>1</v>
      </c>
      <c r="H682" s="33" t="str">
        <f t="shared" si="76"/>
        <v>0</v>
      </c>
      <c r="I682" s="28">
        <v>17680110</v>
      </c>
      <c r="J682" s="29" t="s">
        <v>1101</v>
      </c>
      <c r="K682" s="29" t="s">
        <v>1102</v>
      </c>
      <c r="L682" s="29"/>
      <c r="M682" s="34"/>
    </row>
    <row r="683" spans="2:13" ht="45">
      <c r="B683" s="32" t="str">
        <f t="shared" si="70"/>
        <v>1</v>
      </c>
      <c r="C683" s="33" t="str">
        <f t="shared" si="71"/>
        <v>7</v>
      </c>
      <c r="D683" s="33" t="str">
        <f t="shared" si="72"/>
        <v>6</v>
      </c>
      <c r="E683" s="33" t="str">
        <f t="shared" si="73"/>
        <v>8</v>
      </c>
      <c r="F683" s="33" t="str">
        <f t="shared" si="74"/>
        <v>01</v>
      </c>
      <c r="G683" s="33" t="str">
        <f t="shared" si="75"/>
        <v>2</v>
      </c>
      <c r="H683" s="33" t="str">
        <f t="shared" si="76"/>
        <v>0</v>
      </c>
      <c r="I683" s="28">
        <v>17680120</v>
      </c>
      <c r="J683" s="29" t="s">
        <v>1103</v>
      </c>
      <c r="K683" s="29" t="s">
        <v>1104</v>
      </c>
      <c r="L683" s="29" t="s">
        <v>180</v>
      </c>
      <c r="M683" s="34"/>
    </row>
    <row r="684" spans="2:13" ht="30">
      <c r="B684" s="32" t="str">
        <f t="shared" si="70"/>
        <v>1</v>
      </c>
      <c r="C684" s="33" t="str">
        <f t="shared" si="71"/>
        <v>7</v>
      </c>
      <c r="D684" s="33" t="str">
        <f t="shared" si="72"/>
        <v>6</v>
      </c>
      <c r="E684" s="33" t="str">
        <f t="shared" si="73"/>
        <v>8</v>
      </c>
      <c r="F684" s="33" t="str">
        <f t="shared" si="74"/>
        <v>01</v>
      </c>
      <c r="G684" s="33" t="str">
        <f t="shared" si="75"/>
        <v>9</v>
      </c>
      <c r="H684" s="33" t="str">
        <f t="shared" si="76"/>
        <v>0</v>
      </c>
      <c r="I684" s="28">
        <v>17680190</v>
      </c>
      <c r="J684" s="29" t="s">
        <v>1105</v>
      </c>
      <c r="K684" s="29" t="s">
        <v>1105</v>
      </c>
      <c r="L684" s="29" t="s">
        <v>180</v>
      </c>
      <c r="M684" s="34"/>
    </row>
    <row r="685" spans="2:13" ht="45">
      <c r="B685" s="32" t="str">
        <f t="shared" si="70"/>
        <v>1</v>
      </c>
      <c r="C685" s="33" t="str">
        <f t="shared" si="71"/>
        <v>7</v>
      </c>
      <c r="D685" s="33" t="str">
        <f t="shared" si="72"/>
        <v>6</v>
      </c>
      <c r="E685" s="33" t="str">
        <f t="shared" si="73"/>
        <v>8</v>
      </c>
      <c r="F685" s="33" t="str">
        <f t="shared" si="74"/>
        <v>10</v>
      </c>
      <c r="G685" s="33" t="str">
        <f t="shared" si="75"/>
        <v>1</v>
      </c>
      <c r="H685" s="33" t="str">
        <f t="shared" si="76"/>
        <v>0</v>
      </c>
      <c r="I685" s="28">
        <v>17681010</v>
      </c>
      <c r="J685" s="29" t="s">
        <v>1105</v>
      </c>
      <c r="K685" s="29" t="s">
        <v>1106</v>
      </c>
      <c r="L685" s="29" t="s">
        <v>979</v>
      </c>
      <c r="M685" s="34" t="s">
        <v>22</v>
      </c>
    </row>
    <row r="686" spans="2:13" ht="60">
      <c r="B686" s="32" t="str">
        <f t="shared" si="70"/>
        <v>1</v>
      </c>
      <c r="C686" s="33" t="str">
        <f t="shared" si="71"/>
        <v>7</v>
      </c>
      <c r="D686" s="33" t="str">
        <f t="shared" si="72"/>
        <v>7</v>
      </c>
      <c r="E686" s="33" t="str">
        <f t="shared" si="73"/>
        <v>0</v>
      </c>
      <c r="F686" s="33" t="str">
        <f t="shared" si="74"/>
        <v>00</v>
      </c>
      <c r="G686" s="33" t="str">
        <f t="shared" si="75"/>
        <v>0</v>
      </c>
      <c r="H686" s="33" t="str">
        <f t="shared" si="76"/>
        <v>0</v>
      </c>
      <c r="I686" s="28">
        <v>17700000</v>
      </c>
      <c r="J686" s="29" t="s">
        <v>1107</v>
      </c>
      <c r="K686" s="29" t="s">
        <v>1108</v>
      </c>
      <c r="L686" s="29"/>
      <c r="M686" s="34"/>
    </row>
    <row r="687" spans="2:13" ht="60">
      <c r="B687" s="32" t="str">
        <f t="shared" si="70"/>
        <v>1</v>
      </c>
      <c r="C687" s="33" t="str">
        <f t="shared" si="71"/>
        <v>7</v>
      </c>
      <c r="D687" s="33" t="str">
        <f t="shared" si="72"/>
        <v>7</v>
      </c>
      <c r="E687" s="33" t="str">
        <f t="shared" si="73"/>
        <v>0</v>
      </c>
      <c r="F687" s="33" t="str">
        <f t="shared" si="74"/>
        <v>00</v>
      </c>
      <c r="G687" s="33" t="str">
        <f t="shared" si="75"/>
        <v>1</v>
      </c>
      <c r="H687" s="33" t="str">
        <f t="shared" si="76"/>
        <v>0</v>
      </c>
      <c r="I687" s="28">
        <v>17700010</v>
      </c>
      <c r="J687" s="29" t="s">
        <v>1107</v>
      </c>
      <c r="K687" s="29" t="s">
        <v>1108</v>
      </c>
      <c r="L687" s="29"/>
      <c r="M687" s="34"/>
    </row>
    <row r="688" spans="2:13" ht="75">
      <c r="B688" s="32" t="str">
        <f t="shared" si="70"/>
        <v>1</v>
      </c>
      <c r="C688" s="33" t="str">
        <f t="shared" si="71"/>
        <v>7</v>
      </c>
      <c r="D688" s="33" t="str">
        <f t="shared" si="72"/>
        <v>7</v>
      </c>
      <c r="E688" s="33" t="str">
        <f t="shared" si="73"/>
        <v>8</v>
      </c>
      <c r="F688" s="33" t="str">
        <f t="shared" si="74"/>
        <v>00</v>
      </c>
      <c r="G688" s="33" t="str">
        <f t="shared" si="75"/>
        <v>0</v>
      </c>
      <c r="H688" s="33" t="str">
        <f t="shared" si="76"/>
        <v>0</v>
      </c>
      <c r="I688" s="28">
        <v>17780000</v>
      </c>
      <c r="J688" s="29" t="s">
        <v>1109</v>
      </c>
      <c r="K688" s="29" t="s">
        <v>1110</v>
      </c>
      <c r="L688" s="29"/>
      <c r="M688" s="34"/>
    </row>
    <row r="689" spans="2:13" ht="75">
      <c r="B689" s="32" t="str">
        <f t="shared" si="70"/>
        <v>1</v>
      </c>
      <c r="C689" s="33" t="str">
        <f t="shared" si="71"/>
        <v>7</v>
      </c>
      <c r="D689" s="33" t="str">
        <f t="shared" si="72"/>
        <v>7</v>
      </c>
      <c r="E689" s="33" t="str">
        <f t="shared" si="73"/>
        <v>8</v>
      </c>
      <c r="F689" s="33" t="str">
        <f t="shared" si="74"/>
        <v>01</v>
      </c>
      <c r="G689" s="33" t="str">
        <f t="shared" si="75"/>
        <v>0</v>
      </c>
      <c r="H689" s="33" t="str">
        <f t="shared" si="76"/>
        <v>0</v>
      </c>
      <c r="I689" s="28">
        <v>17780100</v>
      </c>
      <c r="J689" s="29" t="s">
        <v>1111</v>
      </c>
      <c r="K689" s="29" t="s">
        <v>1110</v>
      </c>
      <c r="L689" s="29"/>
      <c r="M689" s="34"/>
    </row>
    <row r="690" spans="2:13" s="5" customFormat="1" ht="60">
      <c r="B690" s="32" t="str">
        <f t="shared" si="70"/>
        <v>1</v>
      </c>
      <c r="C690" s="33" t="str">
        <f t="shared" si="71"/>
        <v>7</v>
      </c>
      <c r="D690" s="33" t="str">
        <f t="shared" si="72"/>
        <v>7</v>
      </c>
      <c r="E690" s="33" t="str">
        <f t="shared" si="73"/>
        <v>8</v>
      </c>
      <c r="F690" s="33" t="str">
        <f t="shared" si="74"/>
        <v>01</v>
      </c>
      <c r="G690" s="33" t="str">
        <f t="shared" si="75"/>
        <v>1</v>
      </c>
      <c r="H690" s="33" t="str">
        <f t="shared" si="76"/>
        <v>0</v>
      </c>
      <c r="I690" s="28">
        <v>17780110</v>
      </c>
      <c r="J690" s="29" t="s">
        <v>1112</v>
      </c>
      <c r="K690" s="29" t="s">
        <v>1113</v>
      </c>
      <c r="L690" s="29"/>
      <c r="M690" s="34"/>
    </row>
    <row r="691" spans="2:13" s="5" customFormat="1" ht="60">
      <c r="B691" s="32" t="str">
        <f t="shared" si="70"/>
        <v>1</v>
      </c>
      <c r="C691" s="33" t="str">
        <f t="shared" si="71"/>
        <v>7</v>
      </c>
      <c r="D691" s="33" t="str">
        <f t="shared" si="72"/>
        <v>7</v>
      </c>
      <c r="E691" s="33" t="str">
        <f t="shared" si="73"/>
        <v>8</v>
      </c>
      <c r="F691" s="33" t="str">
        <f t="shared" si="74"/>
        <v>01</v>
      </c>
      <c r="G691" s="33" t="str">
        <f t="shared" si="75"/>
        <v>2</v>
      </c>
      <c r="H691" s="33" t="str">
        <f t="shared" si="76"/>
        <v>0</v>
      </c>
      <c r="I691" s="28">
        <v>17780120</v>
      </c>
      <c r="J691" s="29" t="s">
        <v>1114</v>
      </c>
      <c r="K691" s="29" t="s">
        <v>1115</v>
      </c>
      <c r="L691" s="29"/>
      <c r="M691" s="34"/>
    </row>
    <row r="692" spans="2:13" s="5" customFormat="1" ht="75">
      <c r="B692" s="32" t="str">
        <f t="shared" si="70"/>
        <v>1</v>
      </c>
      <c r="C692" s="33" t="str">
        <f t="shared" si="71"/>
        <v>7</v>
      </c>
      <c r="D692" s="33" t="str">
        <f t="shared" si="72"/>
        <v>7</v>
      </c>
      <c r="E692" s="33" t="str">
        <f t="shared" si="73"/>
        <v>8</v>
      </c>
      <c r="F692" s="33" t="str">
        <f t="shared" si="74"/>
        <v>01</v>
      </c>
      <c r="G692" s="33" t="str">
        <f t="shared" si="75"/>
        <v>9</v>
      </c>
      <c r="H692" s="33" t="str">
        <f t="shared" si="76"/>
        <v>0</v>
      </c>
      <c r="I692" s="28">
        <v>17780190</v>
      </c>
      <c r="J692" s="29" t="s">
        <v>1116</v>
      </c>
      <c r="K692" s="29" t="s">
        <v>1117</v>
      </c>
      <c r="L692" s="29"/>
      <c r="M692" s="34"/>
    </row>
    <row r="693" spans="2:13" ht="75">
      <c r="B693" s="32" t="str">
        <f t="shared" si="70"/>
        <v>1</v>
      </c>
      <c r="C693" s="33" t="str">
        <f t="shared" si="71"/>
        <v>7</v>
      </c>
      <c r="D693" s="33" t="str">
        <f t="shared" si="72"/>
        <v>7</v>
      </c>
      <c r="E693" s="33" t="str">
        <f t="shared" si="73"/>
        <v>8</v>
      </c>
      <c r="F693" s="33" t="str">
        <f t="shared" si="74"/>
        <v>10</v>
      </c>
      <c r="G693" s="33" t="str">
        <f t="shared" si="75"/>
        <v>1</v>
      </c>
      <c r="H693" s="33" t="str">
        <f t="shared" si="76"/>
        <v>0</v>
      </c>
      <c r="I693" s="28">
        <v>17781010</v>
      </c>
      <c r="J693" s="29" t="s">
        <v>1116</v>
      </c>
      <c r="K693" s="29" t="s">
        <v>1117</v>
      </c>
      <c r="L693" s="29" t="s">
        <v>979</v>
      </c>
      <c r="M693" s="34" t="s">
        <v>22</v>
      </c>
    </row>
    <row r="694" spans="2:13" ht="30">
      <c r="B694" s="32" t="str">
        <f t="shared" si="70"/>
        <v>1</v>
      </c>
      <c r="C694" s="33" t="str">
        <f t="shared" si="71"/>
        <v>7</v>
      </c>
      <c r="D694" s="33" t="str">
        <f t="shared" si="72"/>
        <v>8</v>
      </c>
      <c r="E694" s="33" t="str">
        <f t="shared" si="73"/>
        <v>0</v>
      </c>
      <c r="F694" s="33" t="str">
        <f t="shared" si="74"/>
        <v>00</v>
      </c>
      <c r="G694" s="33" t="str">
        <f t="shared" si="75"/>
        <v>0</v>
      </c>
      <c r="H694" s="33" t="str">
        <f t="shared" si="76"/>
        <v>0</v>
      </c>
      <c r="I694" s="28">
        <v>17800000</v>
      </c>
      <c r="J694" s="29" t="s">
        <v>1118</v>
      </c>
      <c r="K694" s="29" t="s">
        <v>1119</v>
      </c>
      <c r="L694" s="29"/>
      <c r="M694" s="34"/>
    </row>
    <row r="695" spans="2:13" ht="30">
      <c r="B695" s="32" t="str">
        <f t="shared" si="70"/>
        <v>1</v>
      </c>
      <c r="C695" s="33" t="str">
        <f t="shared" si="71"/>
        <v>7</v>
      </c>
      <c r="D695" s="33" t="str">
        <f t="shared" si="72"/>
        <v>8</v>
      </c>
      <c r="E695" s="33" t="str">
        <f t="shared" si="73"/>
        <v>0</v>
      </c>
      <c r="F695" s="33" t="str">
        <f t="shared" si="74"/>
        <v>00</v>
      </c>
      <c r="G695" s="33" t="str">
        <f t="shared" si="75"/>
        <v>1</v>
      </c>
      <c r="H695" s="33" t="str">
        <f t="shared" si="76"/>
        <v>0</v>
      </c>
      <c r="I695" s="28">
        <v>17800010</v>
      </c>
      <c r="J695" s="29" t="s">
        <v>1118</v>
      </c>
      <c r="K695" s="29" t="s">
        <v>1119</v>
      </c>
      <c r="L695" s="29"/>
      <c r="M695" s="34"/>
    </row>
    <row r="696" spans="2:13">
      <c r="B696" s="32" t="str">
        <f t="shared" si="70"/>
        <v>1</v>
      </c>
      <c r="C696" s="33" t="str">
        <f t="shared" si="71"/>
        <v>9</v>
      </c>
      <c r="D696" s="33" t="str">
        <f t="shared" si="72"/>
        <v>0</v>
      </c>
      <c r="E696" s="33" t="str">
        <f t="shared" si="73"/>
        <v>0</v>
      </c>
      <c r="F696" s="33" t="str">
        <f t="shared" si="74"/>
        <v>00</v>
      </c>
      <c r="G696" s="33" t="str">
        <f t="shared" si="75"/>
        <v>0</v>
      </c>
      <c r="H696" s="33" t="str">
        <f t="shared" si="76"/>
        <v>0</v>
      </c>
      <c r="I696" s="28">
        <v>19000000</v>
      </c>
      <c r="J696" s="29" t="s">
        <v>1120</v>
      </c>
      <c r="K696" s="29" t="s">
        <v>1121</v>
      </c>
      <c r="L696" s="29"/>
      <c r="M696" s="34"/>
    </row>
    <row r="697" spans="2:13" ht="126.75" customHeight="1">
      <c r="B697" s="32" t="str">
        <f t="shared" si="70"/>
        <v>1</v>
      </c>
      <c r="C697" s="33" t="str">
        <f t="shared" si="71"/>
        <v>9</v>
      </c>
      <c r="D697" s="33" t="str">
        <f t="shared" si="72"/>
        <v>1</v>
      </c>
      <c r="E697" s="33" t="str">
        <f t="shared" si="73"/>
        <v>0</v>
      </c>
      <c r="F697" s="33" t="str">
        <f t="shared" si="74"/>
        <v>00</v>
      </c>
      <c r="G697" s="33" t="str">
        <f t="shared" si="75"/>
        <v>0</v>
      </c>
      <c r="H697" s="33" t="str">
        <f t="shared" si="76"/>
        <v>0</v>
      </c>
      <c r="I697" s="28">
        <v>19100000</v>
      </c>
      <c r="J697" s="29" t="s">
        <v>1122</v>
      </c>
      <c r="K697" s="29" t="s">
        <v>1123</v>
      </c>
      <c r="L697" s="29"/>
      <c r="M697" s="34"/>
    </row>
    <row r="698" spans="2:13" ht="90.75" customHeight="1">
      <c r="B698" s="32" t="str">
        <f t="shared" si="70"/>
        <v>1</v>
      </c>
      <c r="C698" s="33" t="str">
        <f t="shared" si="71"/>
        <v>9</v>
      </c>
      <c r="D698" s="33" t="str">
        <f t="shared" si="72"/>
        <v>1</v>
      </c>
      <c r="E698" s="33" t="str">
        <f t="shared" si="73"/>
        <v>0</v>
      </c>
      <c r="F698" s="33" t="str">
        <f t="shared" si="74"/>
        <v>01</v>
      </c>
      <c r="G698" s="33" t="str">
        <f t="shared" si="75"/>
        <v>0</v>
      </c>
      <c r="H698" s="33" t="str">
        <f t="shared" si="76"/>
        <v>0</v>
      </c>
      <c r="I698" s="28">
        <v>19100100</v>
      </c>
      <c r="J698" s="29" t="s">
        <v>1124</v>
      </c>
      <c r="K698" s="29" t="s">
        <v>1125</v>
      </c>
      <c r="L698" s="29"/>
      <c r="M698" s="34"/>
    </row>
    <row r="699" spans="2:13" ht="75">
      <c r="B699" s="32" t="str">
        <f t="shared" si="70"/>
        <v>1</v>
      </c>
      <c r="C699" s="33" t="str">
        <f t="shared" si="71"/>
        <v>9</v>
      </c>
      <c r="D699" s="33" t="str">
        <f t="shared" si="72"/>
        <v>1</v>
      </c>
      <c r="E699" s="33" t="str">
        <f t="shared" si="73"/>
        <v>0</v>
      </c>
      <c r="F699" s="33" t="str">
        <f t="shared" si="74"/>
        <v>01</v>
      </c>
      <c r="G699" s="33" t="str">
        <f t="shared" si="75"/>
        <v>1</v>
      </c>
      <c r="H699" s="33" t="str">
        <f t="shared" si="76"/>
        <v>0</v>
      </c>
      <c r="I699" s="28">
        <v>19100110</v>
      </c>
      <c r="J699" s="29" t="s">
        <v>1124</v>
      </c>
      <c r="K699" s="29" t="s">
        <v>1125</v>
      </c>
      <c r="L699" s="29"/>
      <c r="M699" s="34"/>
    </row>
    <row r="700" spans="2:13" ht="45">
      <c r="B700" s="32" t="str">
        <f t="shared" si="70"/>
        <v>1</v>
      </c>
      <c r="C700" s="33" t="str">
        <f t="shared" si="71"/>
        <v>9</v>
      </c>
      <c r="D700" s="33" t="str">
        <f t="shared" si="72"/>
        <v>1</v>
      </c>
      <c r="E700" s="33" t="str">
        <f t="shared" si="73"/>
        <v>0</v>
      </c>
      <c r="F700" s="33" t="str">
        <f t="shared" si="74"/>
        <v>02</v>
      </c>
      <c r="G700" s="33" t="str">
        <f t="shared" si="75"/>
        <v>0</v>
      </c>
      <c r="H700" s="33" t="str">
        <f t="shared" si="76"/>
        <v>0</v>
      </c>
      <c r="I700" s="28">
        <v>19100200</v>
      </c>
      <c r="J700" s="29" t="s">
        <v>1126</v>
      </c>
      <c r="K700" s="29" t="s">
        <v>1127</v>
      </c>
      <c r="L700" s="29"/>
      <c r="M700" s="34"/>
    </row>
    <row r="701" spans="2:13" ht="45">
      <c r="B701" s="32" t="str">
        <f t="shared" si="70"/>
        <v>1</v>
      </c>
      <c r="C701" s="33" t="str">
        <f t="shared" si="71"/>
        <v>9</v>
      </c>
      <c r="D701" s="33" t="str">
        <f t="shared" si="72"/>
        <v>1</v>
      </c>
      <c r="E701" s="33" t="str">
        <f t="shared" si="73"/>
        <v>0</v>
      </c>
      <c r="F701" s="33" t="str">
        <f t="shared" si="74"/>
        <v>02</v>
      </c>
      <c r="G701" s="33" t="str">
        <f t="shared" si="75"/>
        <v>1</v>
      </c>
      <c r="H701" s="33" t="str">
        <f t="shared" si="76"/>
        <v>0</v>
      </c>
      <c r="I701" s="28">
        <v>19100210</v>
      </c>
      <c r="J701" s="29" t="s">
        <v>1126</v>
      </c>
      <c r="K701" s="29" t="s">
        <v>1127</v>
      </c>
      <c r="L701" s="29" t="s">
        <v>152</v>
      </c>
      <c r="M701" s="34"/>
    </row>
    <row r="702" spans="2:13" ht="45">
      <c r="B702" s="32" t="str">
        <f t="shared" si="70"/>
        <v>1</v>
      </c>
      <c r="C702" s="33" t="str">
        <f t="shared" si="71"/>
        <v>9</v>
      </c>
      <c r="D702" s="33" t="str">
        <f t="shared" si="72"/>
        <v>1</v>
      </c>
      <c r="E702" s="33" t="str">
        <f t="shared" si="73"/>
        <v>0</v>
      </c>
      <c r="F702" s="33" t="str">
        <f t="shared" si="74"/>
        <v>02</v>
      </c>
      <c r="G702" s="33" t="str">
        <f t="shared" si="75"/>
        <v>2</v>
      </c>
      <c r="H702" s="33" t="str">
        <f t="shared" si="76"/>
        <v>0</v>
      </c>
      <c r="I702" s="28">
        <v>19100220</v>
      </c>
      <c r="J702" s="29" t="s">
        <v>1128</v>
      </c>
      <c r="K702" s="29" t="s">
        <v>1127</v>
      </c>
      <c r="L702" s="29" t="s">
        <v>152</v>
      </c>
      <c r="M702" s="34"/>
    </row>
    <row r="703" spans="2:13" ht="30">
      <c r="B703" s="32" t="str">
        <f t="shared" si="70"/>
        <v>1</v>
      </c>
      <c r="C703" s="33" t="str">
        <f t="shared" si="71"/>
        <v>9</v>
      </c>
      <c r="D703" s="33" t="str">
        <f t="shared" si="72"/>
        <v>1</v>
      </c>
      <c r="E703" s="33" t="str">
        <f t="shared" si="73"/>
        <v>0</v>
      </c>
      <c r="F703" s="33" t="str">
        <f t="shared" si="74"/>
        <v>03</v>
      </c>
      <c r="G703" s="33" t="str">
        <f t="shared" si="75"/>
        <v>0</v>
      </c>
      <c r="H703" s="33" t="str">
        <f t="shared" si="76"/>
        <v>0</v>
      </c>
      <c r="I703" s="28">
        <v>19100300</v>
      </c>
      <c r="J703" s="29" t="s">
        <v>1129</v>
      </c>
      <c r="K703" s="29" t="s">
        <v>1130</v>
      </c>
      <c r="L703" s="29"/>
      <c r="M703" s="34"/>
    </row>
    <row r="704" spans="2:13" ht="30">
      <c r="B704" s="32" t="str">
        <f t="shared" si="70"/>
        <v>1</v>
      </c>
      <c r="C704" s="33" t="str">
        <f t="shared" si="71"/>
        <v>9</v>
      </c>
      <c r="D704" s="33" t="str">
        <f t="shared" si="72"/>
        <v>1</v>
      </c>
      <c r="E704" s="33" t="str">
        <f t="shared" si="73"/>
        <v>0</v>
      </c>
      <c r="F704" s="33" t="str">
        <f t="shared" si="74"/>
        <v>03</v>
      </c>
      <c r="G704" s="33" t="str">
        <f t="shared" si="75"/>
        <v>1</v>
      </c>
      <c r="H704" s="33" t="str">
        <f t="shared" si="76"/>
        <v>0</v>
      </c>
      <c r="I704" s="28">
        <v>19100310</v>
      </c>
      <c r="J704" s="29" t="s">
        <v>1129</v>
      </c>
      <c r="K704" s="29" t="s">
        <v>1130</v>
      </c>
      <c r="L704" s="29"/>
      <c r="M704" s="34"/>
    </row>
    <row r="705" spans="2:13" ht="30">
      <c r="B705" s="32" t="str">
        <f t="shared" si="70"/>
        <v>1</v>
      </c>
      <c r="C705" s="33" t="str">
        <f t="shared" si="71"/>
        <v>9</v>
      </c>
      <c r="D705" s="33" t="str">
        <f t="shared" si="72"/>
        <v>1</v>
      </c>
      <c r="E705" s="33" t="str">
        <f t="shared" si="73"/>
        <v>0</v>
      </c>
      <c r="F705" s="33" t="str">
        <f t="shared" si="74"/>
        <v>04</v>
      </c>
      <c r="G705" s="33" t="str">
        <f t="shared" si="75"/>
        <v>0</v>
      </c>
      <c r="H705" s="33" t="str">
        <f t="shared" si="76"/>
        <v>0</v>
      </c>
      <c r="I705" s="28">
        <v>19100400</v>
      </c>
      <c r="J705" s="29" t="s">
        <v>1131</v>
      </c>
      <c r="K705" s="29" t="s">
        <v>1132</v>
      </c>
      <c r="L705" s="29"/>
      <c r="M705" s="34"/>
    </row>
    <row r="706" spans="2:13" ht="30">
      <c r="B706" s="32" t="str">
        <f t="shared" si="70"/>
        <v>1</v>
      </c>
      <c r="C706" s="33" t="str">
        <f t="shared" si="71"/>
        <v>9</v>
      </c>
      <c r="D706" s="33" t="str">
        <f t="shared" si="72"/>
        <v>1</v>
      </c>
      <c r="E706" s="33" t="str">
        <f t="shared" si="73"/>
        <v>0</v>
      </c>
      <c r="F706" s="33" t="str">
        <f t="shared" si="74"/>
        <v>04</v>
      </c>
      <c r="G706" s="33" t="str">
        <f t="shared" si="75"/>
        <v>1</v>
      </c>
      <c r="H706" s="33" t="str">
        <f t="shared" si="76"/>
        <v>0</v>
      </c>
      <c r="I706" s="28">
        <v>19100410</v>
      </c>
      <c r="J706" s="29" t="s">
        <v>1131</v>
      </c>
      <c r="K706" s="29" t="s">
        <v>1132</v>
      </c>
      <c r="L706" s="29"/>
      <c r="M706" s="34"/>
    </row>
    <row r="707" spans="2:13" ht="30">
      <c r="B707" s="32" t="str">
        <f t="shared" si="70"/>
        <v>1</v>
      </c>
      <c r="C707" s="33" t="str">
        <f t="shared" si="71"/>
        <v>9</v>
      </c>
      <c r="D707" s="33" t="str">
        <f t="shared" si="72"/>
        <v>1</v>
      </c>
      <c r="E707" s="33" t="str">
        <f t="shared" si="73"/>
        <v>0</v>
      </c>
      <c r="F707" s="33" t="str">
        <f t="shared" si="74"/>
        <v>05</v>
      </c>
      <c r="G707" s="33" t="str">
        <f t="shared" si="75"/>
        <v>0</v>
      </c>
      <c r="H707" s="33" t="str">
        <f t="shared" si="76"/>
        <v>0</v>
      </c>
      <c r="I707" s="28">
        <v>19100500</v>
      </c>
      <c r="J707" s="29" t="s">
        <v>1133</v>
      </c>
      <c r="K707" s="29" t="s">
        <v>1134</v>
      </c>
      <c r="L707" s="29"/>
      <c r="M707" s="34"/>
    </row>
    <row r="708" spans="2:13" ht="30">
      <c r="B708" s="32" t="str">
        <f t="shared" si="70"/>
        <v>1</v>
      </c>
      <c r="C708" s="33" t="str">
        <f t="shared" si="71"/>
        <v>9</v>
      </c>
      <c r="D708" s="33" t="str">
        <f t="shared" si="72"/>
        <v>1</v>
      </c>
      <c r="E708" s="33" t="str">
        <f t="shared" si="73"/>
        <v>0</v>
      </c>
      <c r="F708" s="33" t="str">
        <f t="shared" si="74"/>
        <v>05</v>
      </c>
      <c r="G708" s="33" t="str">
        <f t="shared" si="75"/>
        <v>1</v>
      </c>
      <c r="H708" s="33" t="str">
        <f t="shared" si="76"/>
        <v>0</v>
      </c>
      <c r="I708" s="28">
        <v>19100510</v>
      </c>
      <c r="J708" s="29" t="s">
        <v>1133</v>
      </c>
      <c r="K708" s="29" t="s">
        <v>1134</v>
      </c>
      <c r="L708" s="29"/>
      <c r="M708" s="34"/>
    </row>
    <row r="709" spans="2:13" ht="30">
      <c r="B709" s="32" t="str">
        <f t="shared" si="70"/>
        <v>1</v>
      </c>
      <c r="C709" s="33" t="str">
        <f t="shared" si="71"/>
        <v>9</v>
      </c>
      <c r="D709" s="33" t="str">
        <f t="shared" si="72"/>
        <v>1</v>
      </c>
      <c r="E709" s="33" t="str">
        <f t="shared" si="73"/>
        <v>0</v>
      </c>
      <c r="F709" s="33" t="str">
        <f t="shared" si="74"/>
        <v>06</v>
      </c>
      <c r="G709" s="33" t="str">
        <f t="shared" si="75"/>
        <v>0</v>
      </c>
      <c r="H709" s="33" t="str">
        <f t="shared" si="76"/>
        <v>0</v>
      </c>
      <c r="I709" s="28">
        <v>19100600</v>
      </c>
      <c r="J709" s="29" t="s">
        <v>1135</v>
      </c>
      <c r="K709" s="29" t="s">
        <v>1136</v>
      </c>
      <c r="L709" s="29"/>
      <c r="M709" s="34"/>
    </row>
    <row r="710" spans="2:13" ht="30">
      <c r="B710" s="32" t="str">
        <f t="shared" si="70"/>
        <v>1</v>
      </c>
      <c r="C710" s="33" t="str">
        <f t="shared" si="71"/>
        <v>9</v>
      </c>
      <c r="D710" s="33" t="str">
        <f t="shared" si="72"/>
        <v>1</v>
      </c>
      <c r="E710" s="33" t="str">
        <f t="shared" si="73"/>
        <v>0</v>
      </c>
      <c r="F710" s="33" t="str">
        <f t="shared" si="74"/>
        <v>06</v>
      </c>
      <c r="G710" s="33" t="str">
        <f t="shared" si="75"/>
        <v>1</v>
      </c>
      <c r="H710" s="33" t="str">
        <f t="shared" si="76"/>
        <v>0</v>
      </c>
      <c r="I710" s="28">
        <v>19100610</v>
      </c>
      <c r="J710" s="29" t="s">
        <v>1137</v>
      </c>
      <c r="K710" s="29" t="s">
        <v>1138</v>
      </c>
      <c r="L710" s="29"/>
      <c r="M710" s="34"/>
    </row>
    <row r="711" spans="2:13" ht="30">
      <c r="B711" s="32" t="str">
        <f t="shared" si="70"/>
        <v>1</v>
      </c>
      <c r="C711" s="33" t="str">
        <f t="shared" si="71"/>
        <v>9</v>
      </c>
      <c r="D711" s="33" t="str">
        <f t="shared" si="72"/>
        <v>1</v>
      </c>
      <c r="E711" s="33" t="str">
        <f t="shared" si="73"/>
        <v>0</v>
      </c>
      <c r="F711" s="33" t="str">
        <f t="shared" si="74"/>
        <v>06</v>
      </c>
      <c r="G711" s="33" t="str">
        <f t="shared" si="75"/>
        <v>2</v>
      </c>
      <c r="H711" s="33" t="str">
        <f t="shared" si="76"/>
        <v>0</v>
      </c>
      <c r="I711" s="28">
        <v>19100620</v>
      </c>
      <c r="J711" s="29" t="s">
        <v>1139</v>
      </c>
      <c r="K711" s="29" t="s">
        <v>1140</v>
      </c>
      <c r="L711" s="29"/>
      <c r="M711" s="34"/>
    </row>
    <row r="712" spans="2:13" ht="30">
      <c r="B712" s="32" t="str">
        <f t="shared" si="70"/>
        <v>1</v>
      </c>
      <c r="C712" s="33" t="str">
        <f t="shared" si="71"/>
        <v>9</v>
      </c>
      <c r="D712" s="33" t="str">
        <f t="shared" si="72"/>
        <v>1</v>
      </c>
      <c r="E712" s="33" t="str">
        <f t="shared" si="73"/>
        <v>0</v>
      </c>
      <c r="F712" s="33" t="str">
        <f t="shared" si="74"/>
        <v>07</v>
      </c>
      <c r="G712" s="33" t="str">
        <f t="shared" si="75"/>
        <v>0</v>
      </c>
      <c r="H712" s="33" t="str">
        <f t="shared" si="76"/>
        <v>0</v>
      </c>
      <c r="I712" s="28">
        <v>19100700</v>
      </c>
      <c r="J712" s="29" t="s">
        <v>1141</v>
      </c>
      <c r="K712" s="29" t="s">
        <v>1142</v>
      </c>
      <c r="L712" s="29"/>
      <c r="M712" s="34"/>
    </row>
    <row r="713" spans="2:13" ht="30">
      <c r="B713" s="32" t="str">
        <f t="shared" si="70"/>
        <v>1</v>
      </c>
      <c r="C713" s="33" t="str">
        <f t="shared" si="71"/>
        <v>9</v>
      </c>
      <c r="D713" s="33" t="str">
        <f t="shared" si="72"/>
        <v>1</v>
      </c>
      <c r="E713" s="33" t="str">
        <f t="shared" si="73"/>
        <v>0</v>
      </c>
      <c r="F713" s="33" t="str">
        <f t="shared" si="74"/>
        <v>07</v>
      </c>
      <c r="G713" s="33" t="str">
        <f t="shared" si="75"/>
        <v>1</v>
      </c>
      <c r="H713" s="33" t="str">
        <f t="shared" si="76"/>
        <v>0</v>
      </c>
      <c r="I713" s="28">
        <v>19100710</v>
      </c>
      <c r="J713" s="29" t="s">
        <v>1141</v>
      </c>
      <c r="K713" s="29" t="s">
        <v>1142</v>
      </c>
      <c r="L713" s="29"/>
      <c r="M713" s="34"/>
    </row>
    <row r="714" spans="2:13">
      <c r="B714" s="32" t="str">
        <f t="shared" si="70"/>
        <v>1</v>
      </c>
      <c r="C714" s="33" t="str">
        <f t="shared" si="71"/>
        <v>9</v>
      </c>
      <c r="D714" s="33" t="str">
        <f t="shared" si="72"/>
        <v>1</v>
      </c>
      <c r="E714" s="33" t="str">
        <f t="shared" si="73"/>
        <v>0</v>
      </c>
      <c r="F714" s="33" t="str">
        <f t="shared" si="74"/>
        <v>08</v>
      </c>
      <c r="G714" s="33" t="str">
        <f t="shared" si="75"/>
        <v>0</v>
      </c>
      <c r="H714" s="33" t="str">
        <f t="shared" si="76"/>
        <v>0</v>
      </c>
      <c r="I714" s="28">
        <v>19100800</v>
      </c>
      <c r="J714" s="29" t="s">
        <v>1143</v>
      </c>
      <c r="K714" s="29" t="s">
        <v>1144</v>
      </c>
      <c r="L714" s="29"/>
      <c r="M714" s="34"/>
    </row>
    <row r="715" spans="2:13">
      <c r="B715" s="32" t="str">
        <f t="shared" ref="B715:B778" si="77">MID($I715,1,1)</f>
        <v>1</v>
      </c>
      <c r="C715" s="33" t="str">
        <f t="shared" ref="C715:C778" si="78">MID($I715,2,1)</f>
        <v>9</v>
      </c>
      <c r="D715" s="33" t="str">
        <f t="shared" ref="D715:D778" si="79">MID($I715,3,1)</f>
        <v>1</v>
      </c>
      <c r="E715" s="33" t="str">
        <f t="shared" ref="E715:E778" si="80">MID($I715,4,1)</f>
        <v>0</v>
      </c>
      <c r="F715" s="33" t="str">
        <f t="shared" ref="F715:F778" si="81">MID($I715,5,2)</f>
        <v>08</v>
      </c>
      <c r="G715" s="33" t="str">
        <f t="shared" ref="G715:G778" si="82">MID($I715,7,1)</f>
        <v>1</v>
      </c>
      <c r="H715" s="33" t="str">
        <f t="shared" ref="H715:H778" si="83">MID($I715,8,1)</f>
        <v>0</v>
      </c>
      <c r="I715" s="28">
        <v>19100810</v>
      </c>
      <c r="J715" s="29" t="s">
        <v>1143</v>
      </c>
      <c r="K715" s="29" t="s">
        <v>1144</v>
      </c>
      <c r="L715" s="29"/>
      <c r="M715" s="34"/>
    </row>
    <row r="716" spans="2:13" ht="45">
      <c r="B716" s="32" t="str">
        <f t="shared" si="77"/>
        <v>1</v>
      </c>
      <c r="C716" s="33" t="str">
        <f t="shared" si="78"/>
        <v>9</v>
      </c>
      <c r="D716" s="33" t="str">
        <f t="shared" si="79"/>
        <v>1</v>
      </c>
      <c r="E716" s="33" t="str">
        <f t="shared" si="80"/>
        <v>0</v>
      </c>
      <c r="F716" s="33" t="str">
        <f t="shared" si="81"/>
        <v>09</v>
      </c>
      <c r="G716" s="33" t="str">
        <f t="shared" si="82"/>
        <v>0</v>
      </c>
      <c r="H716" s="33" t="str">
        <f t="shared" si="83"/>
        <v>0</v>
      </c>
      <c r="I716" s="28">
        <v>19100900</v>
      </c>
      <c r="J716" s="29" t="s">
        <v>1145</v>
      </c>
      <c r="K716" s="29" t="s">
        <v>1146</v>
      </c>
      <c r="L716" s="29"/>
      <c r="M716" s="34"/>
    </row>
    <row r="717" spans="2:13" ht="45">
      <c r="B717" s="32" t="str">
        <f t="shared" si="77"/>
        <v>1</v>
      </c>
      <c r="C717" s="33" t="str">
        <f t="shared" si="78"/>
        <v>9</v>
      </c>
      <c r="D717" s="33" t="str">
        <f t="shared" si="79"/>
        <v>1</v>
      </c>
      <c r="E717" s="33" t="str">
        <f t="shared" si="80"/>
        <v>0</v>
      </c>
      <c r="F717" s="33" t="str">
        <f t="shared" si="81"/>
        <v>09</v>
      </c>
      <c r="G717" s="33" t="str">
        <f t="shared" si="82"/>
        <v>1</v>
      </c>
      <c r="H717" s="33" t="str">
        <f t="shared" si="83"/>
        <v>0</v>
      </c>
      <c r="I717" s="28">
        <v>19100910</v>
      </c>
      <c r="J717" s="29" t="s">
        <v>1145</v>
      </c>
      <c r="K717" s="29" t="s">
        <v>1146</v>
      </c>
      <c r="L717" s="29"/>
      <c r="M717" s="34"/>
    </row>
    <row r="718" spans="2:13" ht="45">
      <c r="B718" s="32" t="str">
        <f t="shared" si="77"/>
        <v>1</v>
      </c>
      <c r="C718" s="33" t="str">
        <f t="shared" si="78"/>
        <v>9</v>
      </c>
      <c r="D718" s="33" t="str">
        <f t="shared" si="79"/>
        <v>1</v>
      </c>
      <c r="E718" s="33" t="str">
        <f t="shared" si="80"/>
        <v>0</v>
      </c>
      <c r="F718" s="33" t="str">
        <f t="shared" si="81"/>
        <v>10</v>
      </c>
      <c r="G718" s="33" t="str">
        <f t="shared" si="82"/>
        <v>0</v>
      </c>
      <c r="H718" s="33" t="str">
        <f t="shared" si="83"/>
        <v>0</v>
      </c>
      <c r="I718" s="28">
        <v>19101000</v>
      </c>
      <c r="J718" s="29" t="s">
        <v>1147</v>
      </c>
      <c r="K718" s="29" t="s">
        <v>1148</v>
      </c>
      <c r="L718" s="29"/>
      <c r="M718" s="34"/>
    </row>
    <row r="719" spans="2:13" ht="45">
      <c r="B719" s="32" t="str">
        <f t="shared" si="77"/>
        <v>1</v>
      </c>
      <c r="C719" s="33" t="str">
        <f t="shared" si="78"/>
        <v>9</v>
      </c>
      <c r="D719" s="33" t="str">
        <f t="shared" si="79"/>
        <v>1</v>
      </c>
      <c r="E719" s="33" t="str">
        <f t="shared" si="80"/>
        <v>0</v>
      </c>
      <c r="F719" s="33" t="str">
        <f t="shared" si="81"/>
        <v>10</v>
      </c>
      <c r="G719" s="33" t="str">
        <f t="shared" si="82"/>
        <v>1</v>
      </c>
      <c r="H719" s="33" t="str">
        <f t="shared" si="83"/>
        <v>0</v>
      </c>
      <c r="I719" s="28">
        <v>19101010</v>
      </c>
      <c r="J719" s="29" t="s">
        <v>1147</v>
      </c>
      <c r="K719" s="29" t="s">
        <v>1148</v>
      </c>
      <c r="L719" s="29"/>
      <c r="M719" s="34"/>
    </row>
    <row r="720" spans="2:13" ht="210">
      <c r="B720" s="32" t="str">
        <f t="shared" si="77"/>
        <v>1</v>
      </c>
      <c r="C720" s="33" t="str">
        <f t="shared" si="78"/>
        <v>9</v>
      </c>
      <c r="D720" s="33" t="str">
        <f t="shared" si="79"/>
        <v>1</v>
      </c>
      <c r="E720" s="33" t="str">
        <f t="shared" si="80"/>
        <v>0</v>
      </c>
      <c r="F720" s="33" t="str">
        <f t="shared" si="81"/>
        <v>11</v>
      </c>
      <c r="G720" s="33" t="str">
        <f t="shared" si="82"/>
        <v>0</v>
      </c>
      <c r="H720" s="33" t="str">
        <f t="shared" si="83"/>
        <v>0</v>
      </c>
      <c r="I720" s="28">
        <v>19101100</v>
      </c>
      <c r="J720" s="29" t="s">
        <v>1149</v>
      </c>
      <c r="K720" s="29" t="s">
        <v>1150</v>
      </c>
      <c r="L720" s="29"/>
      <c r="M720" s="34"/>
    </row>
    <row r="721" spans="2:13" ht="210">
      <c r="B721" s="32" t="str">
        <f t="shared" si="77"/>
        <v>1</v>
      </c>
      <c r="C721" s="33" t="str">
        <f t="shared" si="78"/>
        <v>9</v>
      </c>
      <c r="D721" s="33" t="str">
        <f t="shared" si="79"/>
        <v>1</v>
      </c>
      <c r="E721" s="33" t="str">
        <f t="shared" si="80"/>
        <v>0</v>
      </c>
      <c r="F721" s="33" t="str">
        <f t="shared" si="81"/>
        <v>11</v>
      </c>
      <c r="G721" s="33" t="str">
        <f t="shared" si="82"/>
        <v>1</v>
      </c>
      <c r="H721" s="33" t="str">
        <f t="shared" si="83"/>
        <v>0</v>
      </c>
      <c r="I721" s="28">
        <v>19101110</v>
      </c>
      <c r="J721" s="29" t="s">
        <v>1149</v>
      </c>
      <c r="K721" s="29" t="s">
        <v>1150</v>
      </c>
      <c r="L721" s="29"/>
      <c r="M721" s="34"/>
    </row>
    <row r="722" spans="2:13" ht="60">
      <c r="B722" s="32" t="str">
        <f t="shared" si="77"/>
        <v>1</v>
      </c>
      <c r="C722" s="33" t="str">
        <f t="shared" si="78"/>
        <v>9</v>
      </c>
      <c r="D722" s="33" t="str">
        <f t="shared" si="79"/>
        <v>1</v>
      </c>
      <c r="E722" s="33" t="str">
        <f t="shared" si="80"/>
        <v>0</v>
      </c>
      <c r="F722" s="33" t="str">
        <f t="shared" si="81"/>
        <v>12</v>
      </c>
      <c r="G722" s="33" t="str">
        <f t="shared" si="82"/>
        <v>0</v>
      </c>
      <c r="H722" s="33" t="str">
        <f t="shared" si="83"/>
        <v>0</v>
      </c>
      <c r="I722" s="28">
        <v>19101200</v>
      </c>
      <c r="J722" s="29" t="s">
        <v>1151</v>
      </c>
      <c r="K722" s="29" t="s">
        <v>1152</v>
      </c>
      <c r="L722" s="29"/>
      <c r="M722" s="34"/>
    </row>
    <row r="723" spans="2:13" ht="60">
      <c r="B723" s="32" t="str">
        <f t="shared" si="77"/>
        <v>1</v>
      </c>
      <c r="C723" s="33" t="str">
        <f t="shared" si="78"/>
        <v>9</v>
      </c>
      <c r="D723" s="33" t="str">
        <f t="shared" si="79"/>
        <v>1</v>
      </c>
      <c r="E723" s="33" t="str">
        <f t="shared" si="80"/>
        <v>0</v>
      </c>
      <c r="F723" s="33" t="str">
        <f t="shared" si="81"/>
        <v>12</v>
      </c>
      <c r="G723" s="33" t="str">
        <f t="shared" si="82"/>
        <v>1</v>
      </c>
      <c r="H723" s="33" t="str">
        <f t="shared" si="83"/>
        <v>0</v>
      </c>
      <c r="I723" s="28">
        <v>19101210</v>
      </c>
      <c r="J723" s="29" t="s">
        <v>1151</v>
      </c>
      <c r="K723" s="29" t="s">
        <v>1152</v>
      </c>
      <c r="L723" s="29"/>
      <c r="M723" s="34"/>
    </row>
    <row r="724" spans="2:13" ht="45">
      <c r="B724" s="32" t="str">
        <f t="shared" si="77"/>
        <v>1</v>
      </c>
      <c r="C724" s="33" t="str">
        <f t="shared" si="78"/>
        <v>9</v>
      </c>
      <c r="D724" s="33" t="str">
        <f t="shared" si="79"/>
        <v>1</v>
      </c>
      <c r="E724" s="33" t="str">
        <f t="shared" si="80"/>
        <v>0</v>
      </c>
      <c r="F724" s="33" t="str">
        <f t="shared" si="81"/>
        <v>13</v>
      </c>
      <c r="G724" s="33" t="str">
        <f t="shared" si="82"/>
        <v>0</v>
      </c>
      <c r="H724" s="33" t="str">
        <f t="shared" si="83"/>
        <v>0</v>
      </c>
      <c r="I724" s="28">
        <v>19101300</v>
      </c>
      <c r="J724" s="29" t="s">
        <v>1153</v>
      </c>
      <c r="K724" s="29" t="s">
        <v>1154</v>
      </c>
      <c r="L724" s="29"/>
      <c r="M724" s="34"/>
    </row>
    <row r="725" spans="2:13" customFormat="1" ht="60">
      <c r="B725" s="32" t="str">
        <f t="shared" si="77"/>
        <v>1</v>
      </c>
      <c r="C725" s="33" t="str">
        <f t="shared" si="78"/>
        <v>9</v>
      </c>
      <c r="D725" s="33" t="str">
        <f t="shared" si="79"/>
        <v>1</v>
      </c>
      <c r="E725" s="33" t="str">
        <f t="shared" si="80"/>
        <v>0</v>
      </c>
      <c r="F725" s="33" t="str">
        <f t="shared" si="81"/>
        <v>13</v>
      </c>
      <c r="G725" s="33" t="str">
        <f t="shared" si="82"/>
        <v>1</v>
      </c>
      <c r="H725" s="33" t="str">
        <f t="shared" si="83"/>
        <v>0</v>
      </c>
      <c r="I725" s="28">
        <v>19101310</v>
      </c>
      <c r="J725" s="29" t="s">
        <v>1155</v>
      </c>
      <c r="K725" s="29" t="s">
        <v>1156</v>
      </c>
      <c r="L725" s="29"/>
      <c r="M725" s="34"/>
    </row>
    <row r="726" spans="2:13" ht="60">
      <c r="B726" s="32" t="str">
        <f t="shared" si="77"/>
        <v>1</v>
      </c>
      <c r="C726" s="33" t="str">
        <f t="shared" si="78"/>
        <v>9</v>
      </c>
      <c r="D726" s="33" t="str">
        <f t="shared" si="79"/>
        <v>1</v>
      </c>
      <c r="E726" s="33" t="str">
        <f t="shared" si="80"/>
        <v>0</v>
      </c>
      <c r="F726" s="33" t="str">
        <f t="shared" si="81"/>
        <v>13</v>
      </c>
      <c r="G726" s="33" t="str">
        <f t="shared" si="82"/>
        <v>2</v>
      </c>
      <c r="H726" s="33" t="str">
        <f t="shared" si="83"/>
        <v>0</v>
      </c>
      <c r="I726" s="28">
        <v>19101320</v>
      </c>
      <c r="J726" s="29" t="s">
        <v>1157</v>
      </c>
      <c r="K726" s="29" t="s">
        <v>1158</v>
      </c>
      <c r="L726" s="29"/>
      <c r="M726" s="34"/>
    </row>
    <row r="727" spans="2:13" ht="30">
      <c r="B727" s="32" t="str">
        <f t="shared" si="77"/>
        <v>1</v>
      </c>
      <c r="C727" s="33" t="str">
        <f t="shared" si="78"/>
        <v>9</v>
      </c>
      <c r="D727" s="33" t="str">
        <f t="shared" si="79"/>
        <v>2</v>
      </c>
      <c r="E727" s="33" t="str">
        <f t="shared" si="80"/>
        <v>0</v>
      </c>
      <c r="F727" s="33" t="str">
        <f t="shared" si="81"/>
        <v>00</v>
      </c>
      <c r="G727" s="33" t="str">
        <f t="shared" si="82"/>
        <v>0</v>
      </c>
      <c r="H727" s="33" t="str">
        <f t="shared" si="83"/>
        <v>0</v>
      </c>
      <c r="I727" s="28">
        <v>19200000</v>
      </c>
      <c r="J727" s="29" t="s">
        <v>1159</v>
      </c>
      <c r="K727" s="29" t="s">
        <v>1160</v>
      </c>
      <c r="L727" s="29"/>
      <c r="M727" s="34"/>
    </row>
    <row r="728" spans="2:13" ht="30">
      <c r="B728" s="32" t="str">
        <f t="shared" si="77"/>
        <v>1</v>
      </c>
      <c r="C728" s="33" t="str">
        <f t="shared" si="78"/>
        <v>9</v>
      </c>
      <c r="D728" s="33" t="str">
        <f t="shared" si="79"/>
        <v>2</v>
      </c>
      <c r="E728" s="33" t="str">
        <f t="shared" si="80"/>
        <v>1</v>
      </c>
      <c r="F728" s="33" t="str">
        <f t="shared" si="81"/>
        <v>00</v>
      </c>
      <c r="G728" s="33" t="str">
        <f t="shared" si="82"/>
        <v>0</v>
      </c>
      <c r="H728" s="33" t="str">
        <f t="shared" si="83"/>
        <v>0</v>
      </c>
      <c r="I728" s="28">
        <v>19210000</v>
      </c>
      <c r="J728" s="29" t="s">
        <v>1161</v>
      </c>
      <c r="K728" s="29" t="s">
        <v>1162</v>
      </c>
      <c r="L728" s="29"/>
      <c r="M728" s="34"/>
    </row>
    <row r="729" spans="2:13" ht="30">
      <c r="B729" s="32" t="str">
        <f t="shared" si="77"/>
        <v>1</v>
      </c>
      <c r="C729" s="33" t="str">
        <f t="shared" si="78"/>
        <v>9</v>
      </c>
      <c r="D729" s="33" t="str">
        <f t="shared" si="79"/>
        <v>2</v>
      </c>
      <c r="E729" s="33" t="str">
        <f t="shared" si="80"/>
        <v>1</v>
      </c>
      <c r="F729" s="33" t="str">
        <f t="shared" si="81"/>
        <v>01</v>
      </c>
      <c r="G729" s="33" t="str">
        <f t="shared" si="82"/>
        <v>0</v>
      </c>
      <c r="H729" s="33" t="str">
        <f t="shared" si="83"/>
        <v>0</v>
      </c>
      <c r="I729" s="28">
        <v>19210100</v>
      </c>
      <c r="J729" s="29" t="s">
        <v>1163</v>
      </c>
      <c r="K729" s="29" t="s">
        <v>1164</v>
      </c>
      <c r="L729" s="29"/>
      <c r="M729" s="34"/>
    </row>
    <row r="730" spans="2:13" ht="30">
      <c r="B730" s="32" t="str">
        <f t="shared" si="77"/>
        <v>1</v>
      </c>
      <c r="C730" s="33" t="str">
        <f t="shared" si="78"/>
        <v>9</v>
      </c>
      <c r="D730" s="33" t="str">
        <f t="shared" si="79"/>
        <v>2</v>
      </c>
      <c r="E730" s="33" t="str">
        <f t="shared" si="80"/>
        <v>1</v>
      </c>
      <c r="F730" s="33" t="str">
        <f t="shared" si="81"/>
        <v>01</v>
      </c>
      <c r="G730" s="33" t="str">
        <f t="shared" si="82"/>
        <v>1</v>
      </c>
      <c r="H730" s="33" t="str">
        <f t="shared" si="83"/>
        <v>0</v>
      </c>
      <c r="I730" s="28">
        <v>19210110</v>
      </c>
      <c r="J730" s="29" t="s">
        <v>1163</v>
      </c>
      <c r="K730" s="29" t="s">
        <v>1164</v>
      </c>
      <c r="L730" s="29"/>
      <c r="M730" s="34"/>
    </row>
    <row r="731" spans="2:13" ht="30">
      <c r="B731" s="32" t="str">
        <f t="shared" si="77"/>
        <v>1</v>
      </c>
      <c r="C731" s="33" t="str">
        <f t="shared" si="78"/>
        <v>9</v>
      </c>
      <c r="D731" s="33" t="str">
        <f t="shared" si="79"/>
        <v>2</v>
      </c>
      <c r="E731" s="33" t="str">
        <f t="shared" si="80"/>
        <v>1</v>
      </c>
      <c r="F731" s="33" t="str">
        <f t="shared" si="81"/>
        <v>02</v>
      </c>
      <c r="G731" s="33" t="str">
        <f t="shared" si="82"/>
        <v>0</v>
      </c>
      <c r="H731" s="33" t="str">
        <f t="shared" si="83"/>
        <v>0</v>
      </c>
      <c r="I731" s="28">
        <v>19210200</v>
      </c>
      <c r="J731" s="29" t="s">
        <v>1165</v>
      </c>
      <c r="K731" s="29" t="s">
        <v>1166</v>
      </c>
      <c r="L731" s="29"/>
      <c r="M731" s="34"/>
    </row>
    <row r="732" spans="2:13" ht="30">
      <c r="B732" s="32" t="str">
        <f t="shared" si="77"/>
        <v>1</v>
      </c>
      <c r="C732" s="33" t="str">
        <f t="shared" si="78"/>
        <v>9</v>
      </c>
      <c r="D732" s="33" t="str">
        <f t="shared" si="79"/>
        <v>2</v>
      </c>
      <c r="E732" s="33" t="str">
        <f t="shared" si="80"/>
        <v>1</v>
      </c>
      <c r="F732" s="33" t="str">
        <f t="shared" si="81"/>
        <v>02</v>
      </c>
      <c r="G732" s="33" t="str">
        <f t="shared" si="82"/>
        <v>1</v>
      </c>
      <c r="H732" s="33" t="str">
        <f t="shared" si="83"/>
        <v>0</v>
      </c>
      <c r="I732" s="28">
        <v>19210210</v>
      </c>
      <c r="J732" s="29" t="s">
        <v>1165</v>
      </c>
      <c r="K732" s="29" t="s">
        <v>1166</v>
      </c>
      <c r="L732" s="29"/>
      <c r="M732" s="34"/>
    </row>
    <row r="733" spans="2:13" ht="75">
      <c r="B733" s="32" t="str">
        <f t="shared" si="77"/>
        <v>1</v>
      </c>
      <c r="C733" s="33" t="str">
        <f t="shared" si="78"/>
        <v>9</v>
      </c>
      <c r="D733" s="33" t="str">
        <f t="shared" si="79"/>
        <v>2</v>
      </c>
      <c r="E733" s="33" t="str">
        <f t="shared" si="80"/>
        <v>1</v>
      </c>
      <c r="F733" s="33" t="str">
        <f t="shared" si="81"/>
        <v>03</v>
      </c>
      <c r="G733" s="33" t="str">
        <f t="shared" si="82"/>
        <v>0</v>
      </c>
      <c r="H733" s="33" t="str">
        <f t="shared" si="83"/>
        <v>0</v>
      </c>
      <c r="I733" s="28">
        <v>19210300</v>
      </c>
      <c r="J733" s="29" t="s">
        <v>1167</v>
      </c>
      <c r="K733" s="29" t="s">
        <v>1168</v>
      </c>
      <c r="L733" s="29"/>
      <c r="M733" s="34"/>
    </row>
    <row r="734" spans="2:13" ht="75">
      <c r="B734" s="32" t="str">
        <f t="shared" si="77"/>
        <v>1</v>
      </c>
      <c r="C734" s="33" t="str">
        <f t="shared" si="78"/>
        <v>9</v>
      </c>
      <c r="D734" s="33" t="str">
        <f t="shared" si="79"/>
        <v>2</v>
      </c>
      <c r="E734" s="33" t="str">
        <f t="shared" si="80"/>
        <v>1</v>
      </c>
      <c r="F734" s="33" t="str">
        <f t="shared" si="81"/>
        <v>03</v>
      </c>
      <c r="G734" s="33" t="str">
        <f t="shared" si="82"/>
        <v>1</v>
      </c>
      <c r="H734" s="33" t="str">
        <f t="shared" si="83"/>
        <v>0</v>
      </c>
      <c r="I734" s="28">
        <v>19210310</v>
      </c>
      <c r="J734" s="29" t="s">
        <v>1167</v>
      </c>
      <c r="K734" s="29" t="s">
        <v>1168</v>
      </c>
      <c r="L734" s="29"/>
      <c r="M734" s="34"/>
    </row>
    <row r="735" spans="2:13" ht="30">
      <c r="B735" s="32" t="str">
        <f t="shared" si="77"/>
        <v>1</v>
      </c>
      <c r="C735" s="33" t="str">
        <f t="shared" si="78"/>
        <v>9</v>
      </c>
      <c r="D735" s="33" t="str">
        <f t="shared" si="79"/>
        <v>2</v>
      </c>
      <c r="E735" s="33" t="str">
        <f t="shared" si="80"/>
        <v>1</v>
      </c>
      <c r="F735" s="33" t="str">
        <f t="shared" si="81"/>
        <v>99</v>
      </c>
      <c r="G735" s="33" t="str">
        <f t="shared" si="82"/>
        <v>0</v>
      </c>
      <c r="H735" s="33" t="str">
        <f t="shared" si="83"/>
        <v>0</v>
      </c>
      <c r="I735" s="28">
        <v>19219900</v>
      </c>
      <c r="J735" s="29" t="s">
        <v>1169</v>
      </c>
      <c r="K735" s="29" t="s">
        <v>1170</v>
      </c>
      <c r="L735" s="29"/>
      <c r="M735" s="34"/>
    </row>
    <row r="736" spans="2:13" ht="30">
      <c r="B736" s="32" t="str">
        <f t="shared" si="77"/>
        <v>1</v>
      </c>
      <c r="C736" s="33" t="str">
        <f t="shared" si="78"/>
        <v>9</v>
      </c>
      <c r="D736" s="33" t="str">
        <f t="shared" si="79"/>
        <v>2</v>
      </c>
      <c r="E736" s="33" t="str">
        <f t="shared" si="80"/>
        <v>1</v>
      </c>
      <c r="F736" s="33" t="str">
        <f t="shared" si="81"/>
        <v>99</v>
      </c>
      <c r="G736" s="33" t="str">
        <f t="shared" si="82"/>
        <v>1</v>
      </c>
      <c r="H736" s="33" t="str">
        <f t="shared" si="83"/>
        <v>0</v>
      </c>
      <c r="I736" s="28">
        <v>19219910</v>
      </c>
      <c r="J736" s="29" t="s">
        <v>1169</v>
      </c>
      <c r="K736" s="29" t="s">
        <v>1170</v>
      </c>
      <c r="L736" s="29"/>
      <c r="M736" s="34"/>
    </row>
    <row r="737" spans="2:13" ht="45">
      <c r="B737" s="32" t="str">
        <f t="shared" si="77"/>
        <v>1</v>
      </c>
      <c r="C737" s="33" t="str">
        <f t="shared" si="78"/>
        <v>9</v>
      </c>
      <c r="D737" s="33" t="str">
        <f t="shared" si="79"/>
        <v>2</v>
      </c>
      <c r="E737" s="33" t="str">
        <f t="shared" si="80"/>
        <v>2</v>
      </c>
      <c r="F737" s="33" t="str">
        <f t="shared" si="81"/>
        <v>00</v>
      </c>
      <c r="G737" s="33" t="str">
        <f t="shared" si="82"/>
        <v>0</v>
      </c>
      <c r="H737" s="33" t="str">
        <f t="shared" si="83"/>
        <v>0</v>
      </c>
      <c r="I737" s="28">
        <v>19220000</v>
      </c>
      <c r="J737" s="29" t="s">
        <v>1171</v>
      </c>
      <c r="K737" s="29" t="s">
        <v>1172</v>
      </c>
      <c r="L737" s="29"/>
      <c r="M737" s="34"/>
    </row>
    <row r="738" spans="2:13" ht="60">
      <c r="B738" s="32" t="str">
        <f t="shared" si="77"/>
        <v>1</v>
      </c>
      <c r="C738" s="33" t="str">
        <f t="shared" si="78"/>
        <v>9</v>
      </c>
      <c r="D738" s="33" t="str">
        <f t="shared" si="79"/>
        <v>2</v>
      </c>
      <c r="E738" s="33" t="str">
        <f t="shared" si="80"/>
        <v>2</v>
      </c>
      <c r="F738" s="33" t="str">
        <f t="shared" si="81"/>
        <v>01</v>
      </c>
      <c r="G738" s="33" t="str">
        <f t="shared" si="82"/>
        <v>0</v>
      </c>
      <c r="H738" s="33" t="str">
        <f t="shared" si="83"/>
        <v>0</v>
      </c>
      <c r="I738" s="28">
        <v>19220100</v>
      </c>
      <c r="J738" s="29" t="s">
        <v>1173</v>
      </c>
      <c r="K738" s="29" t="s">
        <v>1174</v>
      </c>
      <c r="L738" s="29"/>
      <c r="M738" s="34"/>
    </row>
    <row r="739" spans="2:13" ht="60">
      <c r="B739" s="32" t="str">
        <f t="shared" si="77"/>
        <v>1</v>
      </c>
      <c r="C739" s="33" t="str">
        <f t="shared" si="78"/>
        <v>9</v>
      </c>
      <c r="D739" s="33" t="str">
        <f t="shared" si="79"/>
        <v>2</v>
      </c>
      <c r="E739" s="33" t="str">
        <f t="shared" si="80"/>
        <v>2</v>
      </c>
      <c r="F739" s="33" t="str">
        <f t="shared" si="81"/>
        <v>01</v>
      </c>
      <c r="G739" s="33" t="str">
        <f t="shared" si="82"/>
        <v>1</v>
      </c>
      <c r="H739" s="33" t="str">
        <f t="shared" si="83"/>
        <v>0</v>
      </c>
      <c r="I739" s="28">
        <v>19220110</v>
      </c>
      <c r="J739" s="29" t="s">
        <v>1175</v>
      </c>
      <c r="K739" s="29" t="s">
        <v>1176</v>
      </c>
      <c r="L739" s="29"/>
      <c r="M739" s="34"/>
    </row>
    <row r="740" spans="2:13" ht="60">
      <c r="B740" s="32" t="str">
        <f t="shared" si="77"/>
        <v>1</v>
      </c>
      <c r="C740" s="33" t="str">
        <f t="shared" si="78"/>
        <v>9</v>
      </c>
      <c r="D740" s="33" t="str">
        <f t="shared" si="79"/>
        <v>2</v>
      </c>
      <c r="E740" s="33" t="str">
        <f t="shared" si="80"/>
        <v>2</v>
      </c>
      <c r="F740" s="33" t="str">
        <f t="shared" si="81"/>
        <v>01</v>
      </c>
      <c r="G740" s="33" t="str">
        <f t="shared" si="82"/>
        <v>2</v>
      </c>
      <c r="H740" s="33" t="str">
        <f t="shared" si="83"/>
        <v>0</v>
      </c>
      <c r="I740" s="28">
        <v>19220120</v>
      </c>
      <c r="J740" s="29" t="s">
        <v>1177</v>
      </c>
      <c r="K740" s="29" t="s">
        <v>1176</v>
      </c>
      <c r="L740" s="29"/>
      <c r="M740" s="34"/>
    </row>
    <row r="741" spans="2:13" ht="45">
      <c r="B741" s="32" t="str">
        <f t="shared" si="77"/>
        <v>1</v>
      </c>
      <c r="C741" s="33" t="str">
        <f t="shared" si="78"/>
        <v>9</v>
      </c>
      <c r="D741" s="33" t="str">
        <f t="shared" si="79"/>
        <v>2</v>
      </c>
      <c r="E741" s="33" t="str">
        <f t="shared" si="80"/>
        <v>2</v>
      </c>
      <c r="F741" s="33" t="str">
        <f t="shared" si="81"/>
        <v>02</v>
      </c>
      <c r="G741" s="33" t="str">
        <f t="shared" si="82"/>
        <v>0</v>
      </c>
      <c r="H741" s="33" t="str">
        <f t="shared" si="83"/>
        <v>0</v>
      </c>
      <c r="I741" s="28">
        <v>19220200</v>
      </c>
      <c r="J741" s="29" t="s">
        <v>1178</v>
      </c>
      <c r="K741" s="29" t="s">
        <v>1179</v>
      </c>
      <c r="L741" s="29"/>
      <c r="M741" s="34"/>
    </row>
    <row r="742" spans="2:13" ht="45">
      <c r="B742" s="32" t="str">
        <f t="shared" si="77"/>
        <v>1</v>
      </c>
      <c r="C742" s="33" t="str">
        <f t="shared" si="78"/>
        <v>9</v>
      </c>
      <c r="D742" s="33" t="str">
        <f t="shared" si="79"/>
        <v>2</v>
      </c>
      <c r="E742" s="33" t="str">
        <f t="shared" si="80"/>
        <v>2</v>
      </c>
      <c r="F742" s="33" t="str">
        <f t="shared" si="81"/>
        <v>02</v>
      </c>
      <c r="G742" s="33" t="str">
        <f t="shared" si="82"/>
        <v>1</v>
      </c>
      <c r="H742" s="33" t="str">
        <f t="shared" si="83"/>
        <v>0</v>
      </c>
      <c r="I742" s="28">
        <v>19220210</v>
      </c>
      <c r="J742" s="29" t="s">
        <v>1178</v>
      </c>
      <c r="K742" s="29" t="s">
        <v>1179</v>
      </c>
      <c r="L742" s="29"/>
      <c r="M742" s="34"/>
    </row>
    <row r="743" spans="2:13">
      <c r="B743" s="32" t="str">
        <f t="shared" si="77"/>
        <v>1</v>
      </c>
      <c r="C743" s="33" t="str">
        <f t="shared" si="78"/>
        <v>9</v>
      </c>
      <c r="D743" s="33" t="str">
        <f t="shared" si="79"/>
        <v>2</v>
      </c>
      <c r="E743" s="33" t="str">
        <f t="shared" si="80"/>
        <v>2</v>
      </c>
      <c r="F743" s="33" t="str">
        <f t="shared" si="81"/>
        <v>03</v>
      </c>
      <c r="G743" s="33" t="str">
        <f t="shared" si="82"/>
        <v>0</v>
      </c>
      <c r="H743" s="33" t="str">
        <f t="shared" si="83"/>
        <v>0</v>
      </c>
      <c r="I743" s="28">
        <v>19220300</v>
      </c>
      <c r="J743" s="29" t="s">
        <v>1180</v>
      </c>
      <c r="K743" s="29" t="s">
        <v>1181</v>
      </c>
      <c r="L743" s="29"/>
      <c r="M743" s="34"/>
    </row>
    <row r="744" spans="2:13">
      <c r="B744" s="32" t="str">
        <f t="shared" si="77"/>
        <v>1</v>
      </c>
      <c r="C744" s="33" t="str">
        <f t="shared" si="78"/>
        <v>9</v>
      </c>
      <c r="D744" s="33" t="str">
        <f t="shared" si="79"/>
        <v>2</v>
      </c>
      <c r="E744" s="33" t="str">
        <f t="shared" si="80"/>
        <v>2</v>
      </c>
      <c r="F744" s="33" t="str">
        <f t="shared" si="81"/>
        <v>03</v>
      </c>
      <c r="G744" s="33" t="str">
        <f t="shared" si="82"/>
        <v>1</v>
      </c>
      <c r="H744" s="33" t="str">
        <f t="shared" si="83"/>
        <v>0</v>
      </c>
      <c r="I744" s="28">
        <v>19220310</v>
      </c>
      <c r="J744" s="29" t="s">
        <v>1180</v>
      </c>
      <c r="K744" s="29" t="s">
        <v>1181</v>
      </c>
      <c r="L744" s="29"/>
      <c r="M744" s="34"/>
    </row>
    <row r="745" spans="2:13" ht="60">
      <c r="B745" s="32" t="str">
        <f t="shared" si="77"/>
        <v>1</v>
      </c>
      <c r="C745" s="33" t="str">
        <f t="shared" si="78"/>
        <v>9</v>
      </c>
      <c r="D745" s="33" t="str">
        <f t="shared" si="79"/>
        <v>2</v>
      </c>
      <c r="E745" s="33" t="str">
        <f t="shared" si="80"/>
        <v>2</v>
      </c>
      <c r="F745" s="33" t="str">
        <f t="shared" si="81"/>
        <v>04</v>
      </c>
      <c r="G745" s="33" t="str">
        <f t="shared" si="82"/>
        <v>0</v>
      </c>
      <c r="H745" s="33" t="str">
        <f t="shared" si="83"/>
        <v>0</v>
      </c>
      <c r="I745" s="28">
        <v>19220400</v>
      </c>
      <c r="J745" s="29" t="s">
        <v>1182</v>
      </c>
      <c r="K745" s="29" t="s">
        <v>1183</v>
      </c>
      <c r="L745" s="29"/>
      <c r="M745" s="34"/>
    </row>
    <row r="746" spans="2:13" ht="60">
      <c r="B746" s="32" t="str">
        <f t="shared" si="77"/>
        <v>1</v>
      </c>
      <c r="C746" s="33" t="str">
        <f t="shared" si="78"/>
        <v>9</v>
      </c>
      <c r="D746" s="33" t="str">
        <f t="shared" si="79"/>
        <v>2</v>
      </c>
      <c r="E746" s="33" t="str">
        <f t="shared" si="80"/>
        <v>2</v>
      </c>
      <c r="F746" s="33" t="str">
        <f t="shared" si="81"/>
        <v>04</v>
      </c>
      <c r="G746" s="33" t="str">
        <f t="shared" si="82"/>
        <v>1</v>
      </c>
      <c r="H746" s="33" t="str">
        <f t="shared" si="83"/>
        <v>0</v>
      </c>
      <c r="I746" s="28">
        <v>19220410</v>
      </c>
      <c r="J746" s="29" t="s">
        <v>1182</v>
      </c>
      <c r="K746" s="29" t="s">
        <v>1183</v>
      </c>
      <c r="L746" s="29"/>
      <c r="M746" s="34"/>
    </row>
    <row r="747" spans="2:13" ht="45">
      <c r="B747" s="32" t="str">
        <f t="shared" si="77"/>
        <v>1</v>
      </c>
      <c r="C747" s="33" t="str">
        <f t="shared" si="78"/>
        <v>9</v>
      </c>
      <c r="D747" s="33" t="str">
        <f t="shared" si="79"/>
        <v>2</v>
      </c>
      <c r="E747" s="33" t="str">
        <f t="shared" si="80"/>
        <v>2</v>
      </c>
      <c r="F747" s="33" t="str">
        <f t="shared" si="81"/>
        <v>05</v>
      </c>
      <c r="G747" s="33" t="str">
        <f t="shared" si="82"/>
        <v>0</v>
      </c>
      <c r="H747" s="33" t="str">
        <f t="shared" si="83"/>
        <v>0</v>
      </c>
      <c r="I747" s="28">
        <v>19220500</v>
      </c>
      <c r="J747" s="29" t="s">
        <v>1184</v>
      </c>
      <c r="K747" s="29" t="s">
        <v>1185</v>
      </c>
      <c r="L747" s="29"/>
      <c r="M747" s="34"/>
    </row>
    <row r="748" spans="2:13" ht="45">
      <c r="B748" s="32" t="str">
        <f t="shared" si="77"/>
        <v>1</v>
      </c>
      <c r="C748" s="33" t="str">
        <f t="shared" si="78"/>
        <v>9</v>
      </c>
      <c r="D748" s="33" t="str">
        <f t="shared" si="79"/>
        <v>2</v>
      </c>
      <c r="E748" s="33" t="str">
        <f t="shared" si="80"/>
        <v>2</v>
      </c>
      <c r="F748" s="33" t="str">
        <f t="shared" si="81"/>
        <v>05</v>
      </c>
      <c r="G748" s="33" t="str">
        <f t="shared" si="82"/>
        <v>1</v>
      </c>
      <c r="H748" s="33" t="str">
        <f t="shared" si="83"/>
        <v>0</v>
      </c>
      <c r="I748" s="28">
        <v>19220510</v>
      </c>
      <c r="J748" s="29" t="s">
        <v>1184</v>
      </c>
      <c r="K748" s="29" t="s">
        <v>1185</v>
      </c>
      <c r="L748" s="29"/>
      <c r="M748" s="34"/>
    </row>
    <row r="749" spans="2:13" ht="60">
      <c r="B749" s="32" t="str">
        <f t="shared" si="77"/>
        <v>1</v>
      </c>
      <c r="C749" s="33" t="str">
        <f t="shared" si="78"/>
        <v>9</v>
      </c>
      <c r="D749" s="33" t="str">
        <f t="shared" si="79"/>
        <v>2</v>
      </c>
      <c r="E749" s="33" t="str">
        <f t="shared" si="80"/>
        <v>2</v>
      </c>
      <c r="F749" s="33" t="str">
        <f t="shared" si="81"/>
        <v>06</v>
      </c>
      <c r="G749" s="33" t="str">
        <f t="shared" si="82"/>
        <v>0</v>
      </c>
      <c r="H749" s="33" t="str">
        <f t="shared" si="83"/>
        <v>0</v>
      </c>
      <c r="I749" s="28">
        <v>19220600</v>
      </c>
      <c r="J749" s="29" t="s">
        <v>1186</v>
      </c>
      <c r="K749" s="29" t="s">
        <v>1187</v>
      </c>
      <c r="L749" s="29"/>
      <c r="M749" s="34"/>
    </row>
    <row r="750" spans="2:13" ht="60">
      <c r="B750" s="32" t="str">
        <f t="shared" si="77"/>
        <v>1</v>
      </c>
      <c r="C750" s="33" t="str">
        <f t="shared" si="78"/>
        <v>9</v>
      </c>
      <c r="D750" s="33" t="str">
        <f t="shared" si="79"/>
        <v>2</v>
      </c>
      <c r="E750" s="33" t="str">
        <f t="shared" si="80"/>
        <v>2</v>
      </c>
      <c r="F750" s="33" t="str">
        <f t="shared" si="81"/>
        <v>06</v>
      </c>
      <c r="G750" s="33" t="str">
        <f t="shared" si="82"/>
        <v>1</v>
      </c>
      <c r="H750" s="33" t="str">
        <f t="shared" si="83"/>
        <v>0</v>
      </c>
      <c r="I750" s="28">
        <v>19220610</v>
      </c>
      <c r="J750" s="29" t="s">
        <v>1186</v>
      </c>
      <c r="K750" s="29" t="s">
        <v>1187</v>
      </c>
      <c r="L750" s="29"/>
      <c r="M750" s="34"/>
    </row>
    <row r="751" spans="2:13" ht="90">
      <c r="B751" s="32" t="str">
        <f t="shared" si="77"/>
        <v>1</v>
      </c>
      <c r="C751" s="33" t="str">
        <f t="shared" si="78"/>
        <v>9</v>
      </c>
      <c r="D751" s="33" t="str">
        <f t="shared" si="79"/>
        <v>2</v>
      </c>
      <c r="E751" s="33" t="str">
        <f t="shared" si="80"/>
        <v>2</v>
      </c>
      <c r="F751" s="33" t="str">
        <f t="shared" si="81"/>
        <v>07</v>
      </c>
      <c r="G751" s="33" t="str">
        <f t="shared" si="82"/>
        <v>0</v>
      </c>
      <c r="H751" s="33" t="str">
        <f t="shared" si="83"/>
        <v>0</v>
      </c>
      <c r="I751" s="28">
        <v>19220700</v>
      </c>
      <c r="J751" s="29" t="s">
        <v>1188</v>
      </c>
      <c r="K751" s="29" t="s">
        <v>1189</v>
      </c>
      <c r="L751" s="29"/>
      <c r="M751" s="34"/>
    </row>
    <row r="752" spans="2:13" ht="90">
      <c r="B752" s="32" t="str">
        <f t="shared" si="77"/>
        <v>1</v>
      </c>
      <c r="C752" s="33" t="str">
        <f t="shared" si="78"/>
        <v>9</v>
      </c>
      <c r="D752" s="33" t="str">
        <f t="shared" si="79"/>
        <v>2</v>
      </c>
      <c r="E752" s="33" t="str">
        <f t="shared" si="80"/>
        <v>2</v>
      </c>
      <c r="F752" s="33" t="str">
        <f t="shared" si="81"/>
        <v>07</v>
      </c>
      <c r="G752" s="33" t="str">
        <f t="shared" si="82"/>
        <v>1</v>
      </c>
      <c r="H752" s="33" t="str">
        <f t="shared" si="83"/>
        <v>0</v>
      </c>
      <c r="I752" s="28">
        <v>19220710</v>
      </c>
      <c r="J752" s="29" t="s">
        <v>1188</v>
      </c>
      <c r="K752" s="29" t="s">
        <v>1189</v>
      </c>
      <c r="L752" s="29"/>
      <c r="M752" s="34"/>
    </row>
    <row r="753" spans="2:13" ht="75">
      <c r="B753" s="32" t="str">
        <f t="shared" si="77"/>
        <v>1</v>
      </c>
      <c r="C753" s="33" t="str">
        <f t="shared" si="78"/>
        <v>9</v>
      </c>
      <c r="D753" s="33" t="str">
        <f t="shared" si="79"/>
        <v>2</v>
      </c>
      <c r="E753" s="33" t="str">
        <f t="shared" si="80"/>
        <v>2</v>
      </c>
      <c r="F753" s="33" t="str">
        <f t="shared" si="81"/>
        <v>08</v>
      </c>
      <c r="G753" s="33" t="str">
        <f t="shared" si="82"/>
        <v>0</v>
      </c>
      <c r="H753" s="33" t="str">
        <f t="shared" si="83"/>
        <v>0</v>
      </c>
      <c r="I753" s="28">
        <v>19220800</v>
      </c>
      <c r="J753" s="29" t="s">
        <v>1190</v>
      </c>
      <c r="K753" s="29" t="s">
        <v>1191</v>
      </c>
      <c r="L753" s="29"/>
      <c r="M753" s="34"/>
    </row>
    <row r="754" spans="2:13" ht="75">
      <c r="B754" s="32" t="str">
        <f t="shared" si="77"/>
        <v>1</v>
      </c>
      <c r="C754" s="33" t="str">
        <f t="shared" si="78"/>
        <v>9</v>
      </c>
      <c r="D754" s="33" t="str">
        <f t="shared" si="79"/>
        <v>2</v>
      </c>
      <c r="E754" s="33" t="str">
        <f t="shared" si="80"/>
        <v>2</v>
      </c>
      <c r="F754" s="33" t="str">
        <f t="shared" si="81"/>
        <v>08</v>
      </c>
      <c r="G754" s="33" t="str">
        <f t="shared" si="82"/>
        <v>1</v>
      </c>
      <c r="H754" s="33" t="str">
        <f t="shared" si="83"/>
        <v>0</v>
      </c>
      <c r="I754" s="28">
        <v>19220810</v>
      </c>
      <c r="J754" s="29" t="s">
        <v>1190</v>
      </c>
      <c r="K754" s="29" t="s">
        <v>1191</v>
      </c>
      <c r="L754" s="29"/>
      <c r="M754" s="34"/>
    </row>
    <row r="755" spans="2:13" ht="75">
      <c r="B755" s="32" t="str">
        <f t="shared" si="77"/>
        <v>1</v>
      </c>
      <c r="C755" s="33" t="str">
        <f t="shared" si="78"/>
        <v>9</v>
      </c>
      <c r="D755" s="33" t="str">
        <f t="shared" si="79"/>
        <v>2</v>
      </c>
      <c r="E755" s="33" t="str">
        <f t="shared" si="80"/>
        <v>2</v>
      </c>
      <c r="F755" s="33" t="str">
        <f t="shared" si="81"/>
        <v>09</v>
      </c>
      <c r="G755" s="33" t="str">
        <f t="shared" si="82"/>
        <v>0</v>
      </c>
      <c r="H755" s="33" t="str">
        <f t="shared" si="83"/>
        <v>0</v>
      </c>
      <c r="I755" s="28">
        <v>19220900</v>
      </c>
      <c r="J755" s="29" t="s">
        <v>1192</v>
      </c>
      <c r="K755" s="29" t="s">
        <v>1193</v>
      </c>
      <c r="L755" s="29"/>
      <c r="M755" s="34"/>
    </row>
    <row r="756" spans="2:13" ht="75">
      <c r="B756" s="32" t="str">
        <f t="shared" si="77"/>
        <v>1</v>
      </c>
      <c r="C756" s="33" t="str">
        <f t="shared" si="78"/>
        <v>9</v>
      </c>
      <c r="D756" s="33" t="str">
        <f t="shared" si="79"/>
        <v>2</v>
      </c>
      <c r="E756" s="33" t="str">
        <f t="shared" si="80"/>
        <v>2</v>
      </c>
      <c r="F756" s="33" t="str">
        <f t="shared" si="81"/>
        <v>09</v>
      </c>
      <c r="G756" s="33" t="str">
        <f t="shared" si="82"/>
        <v>1</v>
      </c>
      <c r="H756" s="33" t="str">
        <f t="shared" si="83"/>
        <v>0</v>
      </c>
      <c r="I756" s="28">
        <v>19220910</v>
      </c>
      <c r="J756" s="29" t="s">
        <v>1192</v>
      </c>
      <c r="K756" s="29" t="s">
        <v>1193</v>
      </c>
      <c r="L756" s="29"/>
      <c r="M756" s="34"/>
    </row>
    <row r="757" spans="2:13" ht="75">
      <c r="B757" s="32" t="str">
        <f t="shared" si="77"/>
        <v>1</v>
      </c>
      <c r="C757" s="33" t="str">
        <f t="shared" si="78"/>
        <v>9</v>
      </c>
      <c r="D757" s="33" t="str">
        <f t="shared" si="79"/>
        <v>2</v>
      </c>
      <c r="E757" s="33" t="str">
        <f t="shared" si="80"/>
        <v>2</v>
      </c>
      <c r="F757" s="33" t="str">
        <f t="shared" si="81"/>
        <v>10</v>
      </c>
      <c r="G757" s="33" t="str">
        <f t="shared" si="82"/>
        <v>0</v>
      </c>
      <c r="H757" s="33" t="str">
        <f t="shared" si="83"/>
        <v>0</v>
      </c>
      <c r="I757" s="28">
        <v>19221000</v>
      </c>
      <c r="J757" s="29" t="s">
        <v>1194</v>
      </c>
      <c r="K757" s="29" t="s">
        <v>1195</v>
      </c>
      <c r="L757" s="29"/>
      <c r="M757" s="34"/>
    </row>
    <row r="758" spans="2:13" ht="75">
      <c r="B758" s="32" t="str">
        <f t="shared" si="77"/>
        <v>1</v>
      </c>
      <c r="C758" s="33" t="str">
        <f t="shared" si="78"/>
        <v>9</v>
      </c>
      <c r="D758" s="33" t="str">
        <f t="shared" si="79"/>
        <v>2</v>
      </c>
      <c r="E758" s="33" t="str">
        <f t="shared" si="80"/>
        <v>2</v>
      </c>
      <c r="F758" s="33" t="str">
        <f t="shared" si="81"/>
        <v>10</v>
      </c>
      <c r="G758" s="33" t="str">
        <f t="shared" si="82"/>
        <v>1</v>
      </c>
      <c r="H758" s="33" t="str">
        <f t="shared" si="83"/>
        <v>0</v>
      </c>
      <c r="I758" s="28">
        <v>19221010</v>
      </c>
      <c r="J758" s="29" t="s">
        <v>1196</v>
      </c>
      <c r="K758" s="29" t="s">
        <v>1195</v>
      </c>
      <c r="L758" s="29"/>
      <c r="M758" s="34"/>
    </row>
    <row r="759" spans="2:13" ht="75">
      <c r="B759" s="32" t="str">
        <f t="shared" si="77"/>
        <v>1</v>
      </c>
      <c r="C759" s="33" t="str">
        <f t="shared" si="78"/>
        <v>9</v>
      </c>
      <c r="D759" s="33" t="str">
        <f t="shared" si="79"/>
        <v>2</v>
      </c>
      <c r="E759" s="33" t="str">
        <f t="shared" si="80"/>
        <v>2</v>
      </c>
      <c r="F759" s="33" t="str">
        <f t="shared" si="81"/>
        <v>10</v>
      </c>
      <c r="G759" s="33" t="str">
        <f t="shared" si="82"/>
        <v>2</v>
      </c>
      <c r="H759" s="33" t="str">
        <f t="shared" si="83"/>
        <v>0</v>
      </c>
      <c r="I759" s="28">
        <v>19221020</v>
      </c>
      <c r="J759" s="29" t="s">
        <v>1197</v>
      </c>
      <c r="K759" s="29" t="s">
        <v>1198</v>
      </c>
      <c r="L759" s="29"/>
      <c r="M759" s="34"/>
    </row>
    <row r="760" spans="2:13" ht="60">
      <c r="B760" s="32" t="str">
        <f t="shared" si="77"/>
        <v>1</v>
      </c>
      <c r="C760" s="33" t="str">
        <f t="shared" si="78"/>
        <v>9</v>
      </c>
      <c r="D760" s="33" t="str">
        <f t="shared" si="79"/>
        <v>2</v>
      </c>
      <c r="E760" s="33" t="str">
        <f t="shared" si="80"/>
        <v>2</v>
      </c>
      <c r="F760" s="33" t="str">
        <f t="shared" si="81"/>
        <v>11</v>
      </c>
      <c r="G760" s="33" t="str">
        <f t="shared" si="82"/>
        <v>0</v>
      </c>
      <c r="H760" s="33" t="str">
        <f t="shared" si="83"/>
        <v>0</v>
      </c>
      <c r="I760" s="28">
        <v>19221100</v>
      </c>
      <c r="J760" s="29" t="s">
        <v>1199</v>
      </c>
      <c r="K760" s="29" t="s">
        <v>1200</v>
      </c>
      <c r="L760" s="29"/>
      <c r="M760" s="34"/>
    </row>
    <row r="761" spans="2:13" ht="30" customHeight="1">
      <c r="B761" s="32" t="str">
        <f t="shared" si="77"/>
        <v>1</v>
      </c>
      <c r="C761" s="33" t="str">
        <f t="shared" si="78"/>
        <v>9</v>
      </c>
      <c r="D761" s="33" t="str">
        <f t="shared" si="79"/>
        <v>2</v>
      </c>
      <c r="E761" s="33" t="str">
        <f t="shared" si="80"/>
        <v>2</v>
      </c>
      <c r="F761" s="33" t="str">
        <f t="shared" si="81"/>
        <v>11</v>
      </c>
      <c r="G761" s="33" t="str">
        <f t="shared" si="82"/>
        <v>1</v>
      </c>
      <c r="H761" s="33" t="str">
        <f t="shared" si="83"/>
        <v>0</v>
      </c>
      <c r="I761" s="28">
        <v>19221110</v>
      </c>
      <c r="J761" s="29" t="s">
        <v>1199</v>
      </c>
      <c r="K761" s="29" t="s">
        <v>1200</v>
      </c>
      <c r="L761" s="29"/>
      <c r="M761" s="34"/>
    </row>
    <row r="762" spans="2:13" ht="48.75" customHeight="1">
      <c r="B762" s="32" t="str">
        <f t="shared" si="77"/>
        <v>1</v>
      </c>
      <c r="C762" s="33" t="str">
        <f t="shared" si="78"/>
        <v>9</v>
      </c>
      <c r="D762" s="33" t="str">
        <f t="shared" si="79"/>
        <v>2</v>
      </c>
      <c r="E762" s="33" t="str">
        <f t="shared" si="80"/>
        <v>2</v>
      </c>
      <c r="F762" s="33" t="str">
        <f t="shared" si="81"/>
        <v>12</v>
      </c>
      <c r="G762" s="33" t="str">
        <f t="shared" si="82"/>
        <v>0</v>
      </c>
      <c r="H762" s="33" t="str">
        <f t="shared" si="83"/>
        <v>0</v>
      </c>
      <c r="I762" s="28">
        <v>19221200</v>
      </c>
      <c r="J762" s="29" t="s">
        <v>1201</v>
      </c>
      <c r="K762" s="29" t="s">
        <v>1202</v>
      </c>
      <c r="L762" s="29"/>
      <c r="M762" s="34"/>
    </row>
    <row r="763" spans="2:13" ht="48.75" customHeight="1">
      <c r="B763" s="32" t="str">
        <f t="shared" si="77"/>
        <v>1</v>
      </c>
      <c r="C763" s="33" t="str">
        <f t="shared" si="78"/>
        <v>9</v>
      </c>
      <c r="D763" s="33" t="str">
        <f t="shared" si="79"/>
        <v>2</v>
      </c>
      <c r="E763" s="33" t="str">
        <f t="shared" si="80"/>
        <v>2</v>
      </c>
      <c r="F763" s="33" t="str">
        <f t="shared" si="81"/>
        <v>12</v>
      </c>
      <c r="G763" s="33" t="str">
        <f t="shared" si="82"/>
        <v>1</v>
      </c>
      <c r="H763" s="33" t="str">
        <f t="shared" si="83"/>
        <v>0</v>
      </c>
      <c r="I763" s="28">
        <v>19221210</v>
      </c>
      <c r="J763" s="29" t="s">
        <v>1201</v>
      </c>
      <c r="K763" s="29" t="s">
        <v>1202</v>
      </c>
      <c r="L763" s="29"/>
      <c r="M763" s="34"/>
    </row>
    <row r="764" spans="2:13" ht="48.75" customHeight="1">
      <c r="B764" s="32" t="str">
        <f t="shared" si="77"/>
        <v>1</v>
      </c>
      <c r="C764" s="33" t="str">
        <f t="shared" si="78"/>
        <v>9</v>
      </c>
      <c r="D764" s="33" t="str">
        <f t="shared" si="79"/>
        <v>2</v>
      </c>
      <c r="E764" s="33" t="str">
        <f t="shared" si="80"/>
        <v>2</v>
      </c>
      <c r="F764" s="33" t="str">
        <f t="shared" si="81"/>
        <v>13</v>
      </c>
      <c r="G764" s="33" t="str">
        <f t="shared" si="82"/>
        <v>0</v>
      </c>
      <c r="H764" s="33" t="str">
        <f t="shared" si="83"/>
        <v>0</v>
      </c>
      <c r="I764" s="28">
        <v>19221300</v>
      </c>
      <c r="J764" s="29" t="s">
        <v>1203</v>
      </c>
      <c r="K764" s="29" t="s">
        <v>1204</v>
      </c>
      <c r="L764" s="29" t="s">
        <v>1205</v>
      </c>
      <c r="M764" s="34"/>
    </row>
    <row r="765" spans="2:13" ht="48.75" customHeight="1">
      <c r="B765" s="32" t="str">
        <f t="shared" si="77"/>
        <v>1</v>
      </c>
      <c r="C765" s="33" t="str">
        <f t="shared" si="78"/>
        <v>9</v>
      </c>
      <c r="D765" s="33" t="str">
        <f t="shared" si="79"/>
        <v>2</v>
      </c>
      <c r="E765" s="33" t="str">
        <f t="shared" si="80"/>
        <v>2</v>
      </c>
      <c r="F765" s="33" t="str">
        <f t="shared" si="81"/>
        <v>13</v>
      </c>
      <c r="G765" s="33" t="str">
        <f t="shared" si="82"/>
        <v>1</v>
      </c>
      <c r="H765" s="33" t="str">
        <f t="shared" si="83"/>
        <v>0</v>
      </c>
      <c r="I765" s="28">
        <v>19221310</v>
      </c>
      <c r="J765" s="29" t="s">
        <v>1203</v>
      </c>
      <c r="K765" s="29" t="s">
        <v>1204</v>
      </c>
      <c r="L765" s="29" t="s">
        <v>1205</v>
      </c>
      <c r="M765" s="34"/>
    </row>
    <row r="766" spans="2:13">
      <c r="B766" s="32" t="str">
        <f t="shared" si="77"/>
        <v>1</v>
      </c>
      <c r="C766" s="33" t="str">
        <f t="shared" si="78"/>
        <v>9</v>
      </c>
      <c r="D766" s="33" t="str">
        <f t="shared" si="79"/>
        <v>2</v>
      </c>
      <c r="E766" s="33" t="str">
        <f t="shared" si="80"/>
        <v>2</v>
      </c>
      <c r="F766" s="33" t="str">
        <f t="shared" si="81"/>
        <v>99</v>
      </c>
      <c r="G766" s="33" t="str">
        <f t="shared" si="82"/>
        <v>0</v>
      </c>
      <c r="H766" s="33" t="str">
        <f t="shared" si="83"/>
        <v>0</v>
      </c>
      <c r="I766" s="28">
        <v>19229900</v>
      </c>
      <c r="J766" s="29" t="s">
        <v>1206</v>
      </c>
      <c r="K766" s="29"/>
      <c r="L766" s="29"/>
      <c r="M766" s="34"/>
    </row>
    <row r="767" spans="2:13">
      <c r="B767" s="32" t="str">
        <f t="shared" si="77"/>
        <v>1</v>
      </c>
      <c r="C767" s="33" t="str">
        <f t="shared" si="78"/>
        <v>9</v>
      </c>
      <c r="D767" s="33" t="str">
        <f t="shared" si="79"/>
        <v>2</v>
      </c>
      <c r="E767" s="33" t="str">
        <f t="shared" si="80"/>
        <v>2</v>
      </c>
      <c r="F767" s="33" t="str">
        <f t="shared" si="81"/>
        <v>99</v>
      </c>
      <c r="G767" s="33" t="str">
        <f t="shared" si="82"/>
        <v>1</v>
      </c>
      <c r="H767" s="33" t="str">
        <f t="shared" si="83"/>
        <v>0</v>
      </c>
      <c r="I767" s="28">
        <v>19229910</v>
      </c>
      <c r="J767" s="29" t="s">
        <v>1206</v>
      </c>
      <c r="K767" s="29" t="s">
        <v>1207</v>
      </c>
      <c r="L767" s="29"/>
      <c r="M767" s="34"/>
    </row>
    <row r="768" spans="2:13">
      <c r="B768" s="32" t="str">
        <f t="shared" si="77"/>
        <v>1</v>
      </c>
      <c r="C768" s="33" t="str">
        <f t="shared" si="78"/>
        <v>9</v>
      </c>
      <c r="D768" s="33" t="str">
        <f t="shared" si="79"/>
        <v>2</v>
      </c>
      <c r="E768" s="33" t="str">
        <f t="shared" si="80"/>
        <v>3</v>
      </c>
      <c r="F768" s="33" t="str">
        <f t="shared" si="81"/>
        <v>00</v>
      </c>
      <c r="G768" s="33" t="str">
        <f t="shared" si="82"/>
        <v>0</v>
      </c>
      <c r="H768" s="33" t="str">
        <f t="shared" si="83"/>
        <v>0</v>
      </c>
      <c r="I768" s="28">
        <v>19230000</v>
      </c>
      <c r="J768" s="29" t="s">
        <v>1208</v>
      </c>
      <c r="K768" s="29" t="s">
        <v>1209</v>
      </c>
      <c r="L768" s="29"/>
      <c r="M768" s="34"/>
    </row>
    <row r="769" spans="2:13" ht="30">
      <c r="B769" s="32" t="str">
        <f t="shared" si="77"/>
        <v>1</v>
      </c>
      <c r="C769" s="33" t="str">
        <f t="shared" si="78"/>
        <v>9</v>
      </c>
      <c r="D769" s="33" t="str">
        <f t="shared" si="79"/>
        <v>2</v>
      </c>
      <c r="E769" s="33" t="str">
        <f t="shared" si="80"/>
        <v>3</v>
      </c>
      <c r="F769" s="33" t="str">
        <f t="shared" si="81"/>
        <v>01</v>
      </c>
      <c r="G769" s="33" t="str">
        <f t="shared" si="82"/>
        <v>0</v>
      </c>
      <c r="H769" s="33" t="str">
        <f t="shared" si="83"/>
        <v>0</v>
      </c>
      <c r="I769" s="28">
        <v>19230100</v>
      </c>
      <c r="J769" s="29" t="s">
        <v>1210</v>
      </c>
      <c r="K769" s="29" t="s">
        <v>1211</v>
      </c>
      <c r="L769" s="29"/>
      <c r="M769" s="34"/>
    </row>
    <row r="770" spans="2:13" ht="30">
      <c r="B770" s="32" t="str">
        <f t="shared" si="77"/>
        <v>1</v>
      </c>
      <c r="C770" s="33" t="str">
        <f t="shared" si="78"/>
        <v>9</v>
      </c>
      <c r="D770" s="33" t="str">
        <f t="shared" si="79"/>
        <v>2</v>
      </c>
      <c r="E770" s="33" t="str">
        <f t="shared" si="80"/>
        <v>3</v>
      </c>
      <c r="F770" s="33" t="str">
        <f t="shared" si="81"/>
        <v>01</v>
      </c>
      <c r="G770" s="33" t="str">
        <f t="shared" si="82"/>
        <v>1</v>
      </c>
      <c r="H770" s="33" t="str">
        <f t="shared" si="83"/>
        <v>0</v>
      </c>
      <c r="I770" s="28">
        <v>19230110</v>
      </c>
      <c r="J770" s="29" t="s">
        <v>1210</v>
      </c>
      <c r="K770" s="29" t="s">
        <v>1211</v>
      </c>
      <c r="L770" s="29"/>
      <c r="M770" s="34"/>
    </row>
    <row r="771" spans="2:13">
      <c r="B771" s="32" t="str">
        <f t="shared" si="77"/>
        <v>1</v>
      </c>
      <c r="C771" s="33" t="str">
        <f t="shared" si="78"/>
        <v>9</v>
      </c>
      <c r="D771" s="33" t="str">
        <f t="shared" si="79"/>
        <v>2</v>
      </c>
      <c r="E771" s="33" t="str">
        <f t="shared" si="80"/>
        <v>3</v>
      </c>
      <c r="F771" s="33" t="str">
        <f t="shared" si="81"/>
        <v>02</v>
      </c>
      <c r="G771" s="33" t="str">
        <f t="shared" si="82"/>
        <v>0</v>
      </c>
      <c r="H771" s="33" t="str">
        <f t="shared" si="83"/>
        <v>0</v>
      </c>
      <c r="I771" s="28">
        <v>19230200</v>
      </c>
      <c r="J771" s="29" t="s">
        <v>1212</v>
      </c>
      <c r="K771" s="29" t="s">
        <v>1213</v>
      </c>
      <c r="L771" s="29"/>
      <c r="M771" s="34"/>
    </row>
    <row r="772" spans="2:13">
      <c r="B772" s="32" t="str">
        <f t="shared" si="77"/>
        <v>1</v>
      </c>
      <c r="C772" s="33" t="str">
        <f t="shared" si="78"/>
        <v>9</v>
      </c>
      <c r="D772" s="33" t="str">
        <f t="shared" si="79"/>
        <v>2</v>
      </c>
      <c r="E772" s="33" t="str">
        <f t="shared" si="80"/>
        <v>3</v>
      </c>
      <c r="F772" s="33" t="str">
        <f t="shared" si="81"/>
        <v>02</v>
      </c>
      <c r="G772" s="33" t="str">
        <f t="shared" si="82"/>
        <v>1</v>
      </c>
      <c r="H772" s="33" t="str">
        <f t="shared" si="83"/>
        <v>0</v>
      </c>
      <c r="I772" s="28">
        <v>19230210</v>
      </c>
      <c r="J772" s="29" t="s">
        <v>1212</v>
      </c>
      <c r="K772" s="29" t="s">
        <v>1213</v>
      </c>
      <c r="L772" s="29"/>
      <c r="M772" s="34"/>
    </row>
    <row r="773" spans="2:13" ht="45">
      <c r="B773" s="32" t="str">
        <f t="shared" si="77"/>
        <v>1</v>
      </c>
      <c r="C773" s="33" t="str">
        <f t="shared" si="78"/>
        <v>9</v>
      </c>
      <c r="D773" s="33" t="str">
        <f t="shared" si="79"/>
        <v>2</v>
      </c>
      <c r="E773" s="33" t="str">
        <f t="shared" si="80"/>
        <v>3</v>
      </c>
      <c r="F773" s="33" t="str">
        <f t="shared" si="81"/>
        <v>03</v>
      </c>
      <c r="G773" s="33" t="str">
        <f t="shared" si="82"/>
        <v>0</v>
      </c>
      <c r="H773" s="33" t="str">
        <f t="shared" si="83"/>
        <v>0</v>
      </c>
      <c r="I773" s="28">
        <v>19230300</v>
      </c>
      <c r="J773" s="29" t="s">
        <v>1214</v>
      </c>
      <c r="K773" s="29" t="s">
        <v>1215</v>
      </c>
      <c r="L773" s="29"/>
      <c r="M773" s="34"/>
    </row>
    <row r="774" spans="2:13" ht="45">
      <c r="B774" s="32" t="str">
        <f t="shared" si="77"/>
        <v>1</v>
      </c>
      <c r="C774" s="33" t="str">
        <f t="shared" si="78"/>
        <v>9</v>
      </c>
      <c r="D774" s="33" t="str">
        <f t="shared" si="79"/>
        <v>2</v>
      </c>
      <c r="E774" s="33" t="str">
        <f t="shared" si="80"/>
        <v>3</v>
      </c>
      <c r="F774" s="33" t="str">
        <f t="shared" si="81"/>
        <v>03</v>
      </c>
      <c r="G774" s="33" t="str">
        <f t="shared" si="82"/>
        <v>1</v>
      </c>
      <c r="H774" s="33" t="str">
        <f t="shared" si="83"/>
        <v>0</v>
      </c>
      <c r="I774" s="28">
        <v>19230310</v>
      </c>
      <c r="J774" s="29" t="s">
        <v>1214</v>
      </c>
      <c r="K774" s="29" t="s">
        <v>1215</v>
      </c>
      <c r="L774" s="29"/>
      <c r="M774" s="34"/>
    </row>
    <row r="775" spans="2:13" ht="30">
      <c r="B775" s="32" t="str">
        <f t="shared" si="77"/>
        <v>1</v>
      </c>
      <c r="C775" s="33" t="str">
        <f t="shared" si="78"/>
        <v>9</v>
      </c>
      <c r="D775" s="33" t="str">
        <f t="shared" si="79"/>
        <v>2</v>
      </c>
      <c r="E775" s="33" t="str">
        <f t="shared" si="80"/>
        <v>3</v>
      </c>
      <c r="F775" s="33" t="str">
        <f t="shared" si="81"/>
        <v>04</v>
      </c>
      <c r="G775" s="33" t="str">
        <f t="shared" si="82"/>
        <v>0</v>
      </c>
      <c r="H775" s="33" t="str">
        <f t="shared" si="83"/>
        <v>0</v>
      </c>
      <c r="I775" s="28">
        <v>19230400</v>
      </c>
      <c r="J775" s="29" t="s">
        <v>1216</v>
      </c>
      <c r="K775" s="29" t="s">
        <v>1217</v>
      </c>
      <c r="L775" s="29"/>
      <c r="M775" s="34"/>
    </row>
    <row r="776" spans="2:13" ht="30">
      <c r="B776" s="32" t="str">
        <f t="shared" si="77"/>
        <v>1</v>
      </c>
      <c r="C776" s="33" t="str">
        <f t="shared" si="78"/>
        <v>9</v>
      </c>
      <c r="D776" s="33" t="str">
        <f t="shared" si="79"/>
        <v>2</v>
      </c>
      <c r="E776" s="33" t="str">
        <f t="shared" si="80"/>
        <v>3</v>
      </c>
      <c r="F776" s="33" t="str">
        <f t="shared" si="81"/>
        <v>04</v>
      </c>
      <c r="G776" s="33" t="str">
        <f t="shared" si="82"/>
        <v>1</v>
      </c>
      <c r="H776" s="33" t="str">
        <f t="shared" si="83"/>
        <v>0</v>
      </c>
      <c r="I776" s="28">
        <v>19230410</v>
      </c>
      <c r="J776" s="29" t="s">
        <v>1216</v>
      </c>
      <c r="K776" s="29" t="s">
        <v>1217</v>
      </c>
      <c r="L776" s="29"/>
      <c r="M776" s="34"/>
    </row>
    <row r="777" spans="2:13">
      <c r="B777" s="32" t="str">
        <f t="shared" si="77"/>
        <v>1</v>
      </c>
      <c r="C777" s="33" t="str">
        <f t="shared" si="78"/>
        <v>9</v>
      </c>
      <c r="D777" s="33" t="str">
        <f t="shared" si="79"/>
        <v>2</v>
      </c>
      <c r="E777" s="33" t="str">
        <f t="shared" si="80"/>
        <v>3</v>
      </c>
      <c r="F777" s="33" t="str">
        <f t="shared" si="81"/>
        <v>99</v>
      </c>
      <c r="G777" s="33" t="str">
        <f t="shared" si="82"/>
        <v>0</v>
      </c>
      <c r="H777" s="33" t="str">
        <f t="shared" si="83"/>
        <v>0</v>
      </c>
      <c r="I777" s="28">
        <v>19239900</v>
      </c>
      <c r="J777" s="29" t="s">
        <v>1218</v>
      </c>
      <c r="K777" s="29" t="s">
        <v>1219</v>
      </c>
      <c r="L777" s="29"/>
      <c r="M777" s="34"/>
    </row>
    <row r="778" spans="2:13">
      <c r="B778" s="32" t="str">
        <f t="shared" si="77"/>
        <v>1</v>
      </c>
      <c r="C778" s="33" t="str">
        <f t="shared" si="78"/>
        <v>9</v>
      </c>
      <c r="D778" s="33" t="str">
        <f t="shared" si="79"/>
        <v>2</v>
      </c>
      <c r="E778" s="33" t="str">
        <f t="shared" si="80"/>
        <v>3</v>
      </c>
      <c r="F778" s="33" t="str">
        <f t="shared" si="81"/>
        <v>99</v>
      </c>
      <c r="G778" s="33" t="str">
        <f t="shared" si="82"/>
        <v>1</v>
      </c>
      <c r="H778" s="33" t="str">
        <f t="shared" si="83"/>
        <v>0</v>
      </c>
      <c r="I778" s="28">
        <v>19239910</v>
      </c>
      <c r="J778" s="29" t="s">
        <v>1218</v>
      </c>
      <c r="K778" s="29" t="s">
        <v>1219</v>
      </c>
      <c r="L778" s="29"/>
      <c r="M778" s="34"/>
    </row>
    <row r="779" spans="2:13" ht="30">
      <c r="B779" s="32" t="str">
        <f t="shared" ref="B779:B842" si="84">MID($I779,1,1)</f>
        <v>1</v>
      </c>
      <c r="C779" s="33" t="str">
        <f t="shared" ref="C779:C842" si="85">MID($I779,2,1)</f>
        <v>9</v>
      </c>
      <c r="D779" s="33" t="str">
        <f t="shared" ref="D779:D842" si="86">MID($I779,3,1)</f>
        <v>2</v>
      </c>
      <c r="E779" s="33" t="str">
        <f t="shared" ref="E779:E842" si="87">MID($I779,4,1)</f>
        <v>8</v>
      </c>
      <c r="F779" s="33" t="str">
        <f t="shared" ref="F779:F842" si="88">MID($I779,5,2)</f>
        <v>00</v>
      </c>
      <c r="G779" s="33" t="str">
        <f t="shared" ref="G779:G842" si="89">MID($I779,7,1)</f>
        <v>0</v>
      </c>
      <c r="H779" s="33" t="str">
        <f t="shared" ref="H779:H842" si="90">MID($I779,8,1)</f>
        <v>0</v>
      </c>
      <c r="I779" s="28">
        <v>19280000</v>
      </c>
      <c r="J779" s="29" t="s">
        <v>1220</v>
      </c>
      <c r="K779" s="29" t="s">
        <v>1221</v>
      </c>
      <c r="L779" s="29"/>
      <c r="M779" s="34"/>
    </row>
    <row r="780" spans="2:13" ht="30">
      <c r="B780" s="32" t="str">
        <f t="shared" si="84"/>
        <v>1</v>
      </c>
      <c r="C780" s="33" t="str">
        <f t="shared" si="85"/>
        <v>9</v>
      </c>
      <c r="D780" s="33" t="str">
        <f t="shared" si="86"/>
        <v>2</v>
      </c>
      <c r="E780" s="33" t="str">
        <f t="shared" si="87"/>
        <v>8</v>
      </c>
      <c r="F780" s="33" t="str">
        <f t="shared" si="88"/>
        <v>01</v>
      </c>
      <c r="G780" s="33" t="str">
        <f t="shared" si="89"/>
        <v>0</v>
      </c>
      <c r="H780" s="33" t="str">
        <f t="shared" si="90"/>
        <v>0</v>
      </c>
      <c r="I780" s="28">
        <v>19280100</v>
      </c>
      <c r="J780" s="29" t="s">
        <v>1222</v>
      </c>
      <c r="K780" s="29" t="s">
        <v>1223</v>
      </c>
      <c r="L780" s="29"/>
      <c r="M780" s="34"/>
    </row>
    <row r="781" spans="2:13" ht="30">
      <c r="B781" s="32" t="str">
        <f t="shared" si="84"/>
        <v>1</v>
      </c>
      <c r="C781" s="33" t="str">
        <f t="shared" si="85"/>
        <v>9</v>
      </c>
      <c r="D781" s="33" t="str">
        <f t="shared" si="86"/>
        <v>2</v>
      </c>
      <c r="E781" s="33" t="str">
        <f t="shared" si="87"/>
        <v>8</v>
      </c>
      <c r="F781" s="33" t="str">
        <f t="shared" si="88"/>
        <v>01</v>
      </c>
      <c r="G781" s="33" t="str">
        <f t="shared" si="89"/>
        <v>1</v>
      </c>
      <c r="H781" s="33" t="str">
        <f t="shared" si="90"/>
        <v>0</v>
      </c>
      <c r="I781" s="28">
        <v>19280110</v>
      </c>
      <c r="J781" s="29" t="s">
        <v>1224</v>
      </c>
      <c r="K781" s="29" t="s">
        <v>1223</v>
      </c>
      <c r="L781" s="29"/>
      <c r="M781" s="34"/>
    </row>
    <row r="782" spans="2:13" ht="30">
      <c r="B782" s="32" t="str">
        <f t="shared" si="84"/>
        <v>1</v>
      </c>
      <c r="C782" s="33" t="str">
        <f t="shared" si="85"/>
        <v>9</v>
      </c>
      <c r="D782" s="33" t="str">
        <f t="shared" si="86"/>
        <v>2</v>
      </c>
      <c r="E782" s="33" t="str">
        <f t="shared" si="87"/>
        <v>8</v>
      </c>
      <c r="F782" s="33" t="str">
        <f t="shared" si="88"/>
        <v>02</v>
      </c>
      <c r="G782" s="33" t="str">
        <f t="shared" si="89"/>
        <v>0</v>
      </c>
      <c r="H782" s="33" t="str">
        <f t="shared" si="90"/>
        <v>0</v>
      </c>
      <c r="I782" s="28">
        <v>19280200</v>
      </c>
      <c r="J782" s="29" t="s">
        <v>1225</v>
      </c>
      <c r="K782" s="29" t="s">
        <v>1226</v>
      </c>
      <c r="L782" s="29"/>
      <c r="M782" s="34"/>
    </row>
    <row r="783" spans="2:13" ht="30">
      <c r="B783" s="32" t="str">
        <f t="shared" si="84"/>
        <v>1</v>
      </c>
      <c r="C783" s="33" t="str">
        <f t="shared" si="85"/>
        <v>9</v>
      </c>
      <c r="D783" s="33" t="str">
        <f t="shared" si="86"/>
        <v>2</v>
      </c>
      <c r="E783" s="33" t="str">
        <f t="shared" si="87"/>
        <v>8</v>
      </c>
      <c r="F783" s="33" t="str">
        <f t="shared" si="88"/>
        <v>02</v>
      </c>
      <c r="G783" s="33" t="str">
        <f t="shared" si="89"/>
        <v>1</v>
      </c>
      <c r="H783" s="33" t="str">
        <f t="shared" si="90"/>
        <v>0</v>
      </c>
      <c r="I783" s="28">
        <v>19280210</v>
      </c>
      <c r="J783" s="29" t="s">
        <v>1227</v>
      </c>
      <c r="K783" s="29" t="s">
        <v>1226</v>
      </c>
      <c r="L783" s="29"/>
      <c r="M783" s="34"/>
    </row>
    <row r="784" spans="2:13" ht="30">
      <c r="B784" s="32" t="str">
        <f t="shared" si="84"/>
        <v>1</v>
      </c>
      <c r="C784" s="33" t="str">
        <f t="shared" si="85"/>
        <v>9</v>
      </c>
      <c r="D784" s="33" t="str">
        <f t="shared" si="86"/>
        <v>2</v>
      </c>
      <c r="E784" s="33" t="str">
        <f t="shared" si="87"/>
        <v>8</v>
      </c>
      <c r="F784" s="33" t="str">
        <f t="shared" si="88"/>
        <v>02</v>
      </c>
      <c r="G784" s="33" t="str">
        <f t="shared" si="89"/>
        <v>9</v>
      </c>
      <c r="H784" s="33" t="str">
        <f t="shared" si="90"/>
        <v>0</v>
      </c>
      <c r="I784" s="28">
        <v>19280290</v>
      </c>
      <c r="J784" s="29" t="s">
        <v>1228</v>
      </c>
      <c r="K784" s="29" t="s">
        <v>1229</v>
      </c>
      <c r="L784" s="29"/>
      <c r="M784" s="34"/>
    </row>
    <row r="785" spans="2:13" ht="30">
      <c r="B785" s="32" t="str">
        <f t="shared" si="84"/>
        <v>1</v>
      </c>
      <c r="C785" s="33" t="str">
        <f t="shared" si="85"/>
        <v>9</v>
      </c>
      <c r="D785" s="33" t="str">
        <f t="shared" si="86"/>
        <v>2</v>
      </c>
      <c r="E785" s="33" t="str">
        <f t="shared" si="87"/>
        <v>8</v>
      </c>
      <c r="F785" s="33" t="str">
        <f t="shared" si="88"/>
        <v>03</v>
      </c>
      <c r="G785" s="33" t="str">
        <f t="shared" si="89"/>
        <v>0</v>
      </c>
      <c r="H785" s="33" t="str">
        <f t="shared" si="90"/>
        <v>0</v>
      </c>
      <c r="I785" s="28">
        <v>19280300</v>
      </c>
      <c r="J785" s="29" t="s">
        <v>1230</v>
      </c>
      <c r="K785" s="29" t="s">
        <v>1231</v>
      </c>
      <c r="L785" s="29"/>
      <c r="M785" s="34"/>
    </row>
    <row r="786" spans="2:13" ht="30">
      <c r="B786" s="32" t="str">
        <f t="shared" si="84"/>
        <v>1</v>
      </c>
      <c r="C786" s="33" t="str">
        <f t="shared" si="85"/>
        <v>9</v>
      </c>
      <c r="D786" s="33" t="str">
        <f t="shared" si="86"/>
        <v>2</v>
      </c>
      <c r="E786" s="33" t="str">
        <f t="shared" si="87"/>
        <v>8</v>
      </c>
      <c r="F786" s="33" t="str">
        <f t="shared" si="88"/>
        <v>03</v>
      </c>
      <c r="G786" s="33" t="str">
        <f t="shared" si="89"/>
        <v>1</v>
      </c>
      <c r="H786" s="33" t="str">
        <f t="shared" si="90"/>
        <v>0</v>
      </c>
      <c r="I786" s="28">
        <v>19280310</v>
      </c>
      <c r="J786" s="29" t="s">
        <v>1232</v>
      </c>
      <c r="K786" s="29" t="s">
        <v>1231</v>
      </c>
      <c r="L786" s="29"/>
      <c r="M786" s="34"/>
    </row>
    <row r="787" spans="2:13" ht="30">
      <c r="B787" s="32" t="str">
        <f t="shared" si="84"/>
        <v>1</v>
      </c>
      <c r="C787" s="33" t="str">
        <f t="shared" si="85"/>
        <v>9</v>
      </c>
      <c r="D787" s="33" t="str">
        <f t="shared" si="86"/>
        <v>3</v>
      </c>
      <c r="E787" s="33" t="str">
        <f t="shared" si="87"/>
        <v>0</v>
      </c>
      <c r="F787" s="33" t="str">
        <f t="shared" si="88"/>
        <v>00</v>
      </c>
      <c r="G787" s="33" t="str">
        <f t="shared" si="89"/>
        <v>0</v>
      </c>
      <c r="H787" s="33" t="str">
        <f t="shared" si="90"/>
        <v>0</v>
      </c>
      <c r="I787" s="28">
        <v>19300000</v>
      </c>
      <c r="J787" s="29" t="s">
        <v>1233</v>
      </c>
      <c r="K787" s="29" t="s">
        <v>1234</v>
      </c>
      <c r="L787" s="29"/>
      <c r="M787" s="34"/>
    </row>
    <row r="788" spans="2:13" ht="30">
      <c r="B788" s="32" t="str">
        <f t="shared" si="84"/>
        <v>1</v>
      </c>
      <c r="C788" s="33" t="str">
        <f t="shared" si="85"/>
        <v>9</v>
      </c>
      <c r="D788" s="33" t="str">
        <f t="shared" si="86"/>
        <v>3</v>
      </c>
      <c r="E788" s="33" t="str">
        <f t="shared" si="87"/>
        <v>0</v>
      </c>
      <c r="F788" s="33" t="str">
        <f t="shared" si="88"/>
        <v>01</v>
      </c>
      <c r="G788" s="33" t="str">
        <f t="shared" si="89"/>
        <v>0</v>
      </c>
      <c r="H788" s="33" t="str">
        <f t="shared" si="90"/>
        <v>0</v>
      </c>
      <c r="I788" s="28">
        <v>19300100</v>
      </c>
      <c r="J788" s="29" t="s">
        <v>1235</v>
      </c>
      <c r="K788" s="29" t="s">
        <v>1236</v>
      </c>
      <c r="L788" s="29"/>
      <c r="M788" s="34"/>
    </row>
    <row r="789" spans="2:13" ht="30">
      <c r="B789" s="32" t="str">
        <f t="shared" si="84"/>
        <v>1</v>
      </c>
      <c r="C789" s="33" t="str">
        <f t="shared" si="85"/>
        <v>9</v>
      </c>
      <c r="D789" s="33" t="str">
        <f t="shared" si="86"/>
        <v>3</v>
      </c>
      <c r="E789" s="33" t="str">
        <f t="shared" si="87"/>
        <v>0</v>
      </c>
      <c r="F789" s="33" t="str">
        <f t="shared" si="88"/>
        <v>01</v>
      </c>
      <c r="G789" s="33" t="str">
        <f t="shared" si="89"/>
        <v>1</v>
      </c>
      <c r="H789" s="33" t="str">
        <f t="shared" si="90"/>
        <v>0</v>
      </c>
      <c r="I789" s="28">
        <v>19300110</v>
      </c>
      <c r="J789" s="29" t="s">
        <v>1235</v>
      </c>
      <c r="K789" s="29" t="s">
        <v>1237</v>
      </c>
      <c r="L789" s="29"/>
      <c r="M789" s="34"/>
    </row>
    <row r="790" spans="2:13">
      <c r="B790" s="32" t="str">
        <f t="shared" si="84"/>
        <v>1</v>
      </c>
      <c r="C790" s="33" t="str">
        <f t="shared" si="85"/>
        <v>9</v>
      </c>
      <c r="D790" s="33" t="str">
        <f t="shared" si="86"/>
        <v>3</v>
      </c>
      <c r="E790" s="33" t="str">
        <f t="shared" si="87"/>
        <v>0</v>
      </c>
      <c r="F790" s="33" t="str">
        <f t="shared" si="88"/>
        <v>02</v>
      </c>
      <c r="G790" s="33" t="str">
        <f t="shared" si="89"/>
        <v>0</v>
      </c>
      <c r="H790" s="33" t="str">
        <f t="shared" si="90"/>
        <v>0</v>
      </c>
      <c r="I790" s="28">
        <v>19300200</v>
      </c>
      <c r="J790" s="29" t="s">
        <v>1238</v>
      </c>
      <c r="K790" s="29" t="s">
        <v>1239</v>
      </c>
      <c r="L790" s="29"/>
      <c r="M790" s="34"/>
    </row>
    <row r="791" spans="2:13" ht="30">
      <c r="B791" s="32" t="str">
        <f t="shared" si="84"/>
        <v>1</v>
      </c>
      <c r="C791" s="33" t="str">
        <f t="shared" si="85"/>
        <v>9</v>
      </c>
      <c r="D791" s="33" t="str">
        <f t="shared" si="86"/>
        <v>3</v>
      </c>
      <c r="E791" s="33" t="str">
        <f t="shared" si="87"/>
        <v>0</v>
      </c>
      <c r="F791" s="33" t="str">
        <f t="shared" si="88"/>
        <v>02</v>
      </c>
      <c r="G791" s="33" t="str">
        <f t="shared" si="89"/>
        <v>1</v>
      </c>
      <c r="H791" s="33" t="str">
        <f t="shared" si="90"/>
        <v>0</v>
      </c>
      <c r="I791" s="28">
        <v>19300210</v>
      </c>
      <c r="J791" s="29" t="s">
        <v>1240</v>
      </c>
      <c r="K791" s="29" t="s">
        <v>1241</v>
      </c>
      <c r="L791" s="29"/>
      <c r="M791" s="34"/>
    </row>
    <row r="792" spans="2:13" ht="60">
      <c r="B792" s="32" t="str">
        <f t="shared" si="84"/>
        <v>1</v>
      </c>
      <c r="C792" s="33" t="str">
        <f t="shared" si="85"/>
        <v>9</v>
      </c>
      <c r="D792" s="33" t="str">
        <f t="shared" si="86"/>
        <v>3</v>
      </c>
      <c r="E792" s="33" t="str">
        <f t="shared" si="87"/>
        <v>0</v>
      </c>
      <c r="F792" s="33" t="str">
        <f t="shared" si="88"/>
        <v>02</v>
      </c>
      <c r="G792" s="33" t="str">
        <f t="shared" si="89"/>
        <v>2</v>
      </c>
      <c r="H792" s="33" t="str">
        <f t="shared" si="90"/>
        <v>0</v>
      </c>
      <c r="I792" s="28">
        <v>19300220</v>
      </c>
      <c r="J792" s="29" t="s">
        <v>1242</v>
      </c>
      <c r="K792" s="29" t="s">
        <v>1243</v>
      </c>
      <c r="L792" s="29"/>
      <c r="M792" s="34"/>
    </row>
    <row r="793" spans="2:13" ht="135">
      <c r="B793" s="32" t="str">
        <f t="shared" si="84"/>
        <v>1</v>
      </c>
      <c r="C793" s="33" t="str">
        <f t="shared" si="85"/>
        <v>9</v>
      </c>
      <c r="D793" s="33" t="str">
        <f t="shared" si="86"/>
        <v>3</v>
      </c>
      <c r="E793" s="33" t="str">
        <f t="shared" si="87"/>
        <v>0</v>
      </c>
      <c r="F793" s="33" t="str">
        <f t="shared" si="88"/>
        <v>03</v>
      </c>
      <c r="G793" s="33" t="str">
        <f t="shared" si="89"/>
        <v>0</v>
      </c>
      <c r="H793" s="33" t="str">
        <f t="shared" si="90"/>
        <v>0</v>
      </c>
      <c r="I793" s="28">
        <v>19300300</v>
      </c>
      <c r="J793" s="29" t="s">
        <v>1244</v>
      </c>
      <c r="K793" s="29" t="s">
        <v>1245</v>
      </c>
      <c r="L793" s="29"/>
      <c r="M793" s="34"/>
    </row>
    <row r="794" spans="2:13" ht="135">
      <c r="B794" s="32" t="str">
        <f t="shared" si="84"/>
        <v>1</v>
      </c>
      <c r="C794" s="33" t="str">
        <f t="shared" si="85"/>
        <v>9</v>
      </c>
      <c r="D794" s="33" t="str">
        <f t="shared" si="86"/>
        <v>3</v>
      </c>
      <c r="E794" s="33" t="str">
        <f t="shared" si="87"/>
        <v>0</v>
      </c>
      <c r="F794" s="33" t="str">
        <f t="shared" si="88"/>
        <v>03</v>
      </c>
      <c r="G794" s="33" t="str">
        <f t="shared" si="89"/>
        <v>1</v>
      </c>
      <c r="H794" s="33" t="str">
        <f t="shared" si="90"/>
        <v>0</v>
      </c>
      <c r="I794" s="28">
        <v>19300310</v>
      </c>
      <c r="J794" s="29" t="s">
        <v>1244</v>
      </c>
      <c r="K794" s="29" t="s">
        <v>1245</v>
      </c>
      <c r="L794" s="29"/>
      <c r="M794" s="34"/>
    </row>
    <row r="795" spans="2:13" ht="30">
      <c r="B795" s="32" t="str">
        <f t="shared" si="84"/>
        <v>1</v>
      </c>
      <c r="C795" s="33" t="str">
        <f t="shared" si="85"/>
        <v>9</v>
      </c>
      <c r="D795" s="33" t="str">
        <f t="shared" si="86"/>
        <v>3</v>
      </c>
      <c r="E795" s="33" t="str">
        <f t="shared" si="87"/>
        <v>0</v>
      </c>
      <c r="F795" s="33" t="str">
        <f t="shared" si="88"/>
        <v>04</v>
      </c>
      <c r="G795" s="33" t="str">
        <f t="shared" si="89"/>
        <v>0</v>
      </c>
      <c r="H795" s="33" t="str">
        <f t="shared" si="90"/>
        <v>0</v>
      </c>
      <c r="I795" s="28">
        <v>19300400</v>
      </c>
      <c r="J795" s="29" t="s">
        <v>1246</v>
      </c>
      <c r="K795" s="29" t="s">
        <v>1247</v>
      </c>
      <c r="L795" s="29"/>
      <c r="M795" s="34"/>
    </row>
    <row r="796" spans="2:13" ht="30">
      <c r="B796" s="32" t="str">
        <f t="shared" si="84"/>
        <v>1</v>
      </c>
      <c r="C796" s="33" t="str">
        <f t="shared" si="85"/>
        <v>9</v>
      </c>
      <c r="D796" s="33" t="str">
        <f t="shared" si="86"/>
        <v>3</v>
      </c>
      <c r="E796" s="33" t="str">
        <f t="shared" si="87"/>
        <v>0</v>
      </c>
      <c r="F796" s="33" t="str">
        <f t="shared" si="88"/>
        <v>04</v>
      </c>
      <c r="G796" s="33" t="str">
        <f t="shared" si="89"/>
        <v>1</v>
      </c>
      <c r="H796" s="33" t="str">
        <f t="shared" si="90"/>
        <v>0</v>
      </c>
      <c r="I796" s="28">
        <v>19300410</v>
      </c>
      <c r="J796" s="29" t="s">
        <v>1246</v>
      </c>
      <c r="K796" s="29" t="s">
        <v>1247</v>
      </c>
      <c r="L796" s="29"/>
      <c r="M796" s="34"/>
    </row>
    <row r="797" spans="2:13" ht="45">
      <c r="B797" s="32" t="str">
        <f t="shared" si="84"/>
        <v>1</v>
      </c>
      <c r="C797" s="33" t="str">
        <f t="shared" si="85"/>
        <v>9</v>
      </c>
      <c r="D797" s="33" t="str">
        <f t="shared" si="86"/>
        <v>3</v>
      </c>
      <c r="E797" s="33" t="str">
        <f t="shared" si="87"/>
        <v>0</v>
      </c>
      <c r="F797" s="33" t="str">
        <f t="shared" si="88"/>
        <v>05</v>
      </c>
      <c r="G797" s="33" t="str">
        <f t="shared" si="89"/>
        <v>0</v>
      </c>
      <c r="H797" s="33" t="str">
        <f t="shared" si="90"/>
        <v>0</v>
      </c>
      <c r="I797" s="28">
        <v>19300500</v>
      </c>
      <c r="J797" s="29" t="s">
        <v>1248</v>
      </c>
      <c r="K797" s="29" t="s">
        <v>1249</v>
      </c>
      <c r="L797" s="29"/>
      <c r="M797" s="34"/>
    </row>
    <row r="798" spans="2:13" ht="45">
      <c r="B798" s="32" t="str">
        <f t="shared" si="84"/>
        <v>1</v>
      </c>
      <c r="C798" s="33" t="str">
        <f t="shared" si="85"/>
        <v>9</v>
      </c>
      <c r="D798" s="33" t="str">
        <f t="shared" si="86"/>
        <v>3</v>
      </c>
      <c r="E798" s="33" t="str">
        <f t="shared" si="87"/>
        <v>0</v>
      </c>
      <c r="F798" s="33" t="str">
        <f t="shared" si="88"/>
        <v>05</v>
      </c>
      <c r="G798" s="33" t="str">
        <f t="shared" si="89"/>
        <v>1</v>
      </c>
      <c r="H798" s="33" t="str">
        <f t="shared" si="90"/>
        <v>0</v>
      </c>
      <c r="I798" s="28">
        <v>19300510</v>
      </c>
      <c r="J798" s="29" t="s">
        <v>1248</v>
      </c>
      <c r="K798" s="29" t="s">
        <v>1249</v>
      </c>
      <c r="L798" s="29"/>
      <c r="M798" s="34"/>
    </row>
    <row r="799" spans="2:13">
      <c r="B799" s="32" t="str">
        <f t="shared" si="84"/>
        <v>1</v>
      </c>
      <c r="C799" s="33" t="str">
        <f t="shared" si="85"/>
        <v>9</v>
      </c>
      <c r="D799" s="33" t="str">
        <f t="shared" si="86"/>
        <v>9</v>
      </c>
      <c r="E799" s="33" t="str">
        <f t="shared" si="87"/>
        <v>0</v>
      </c>
      <c r="F799" s="33" t="str">
        <f t="shared" si="88"/>
        <v>00</v>
      </c>
      <c r="G799" s="33" t="str">
        <f t="shared" si="89"/>
        <v>0</v>
      </c>
      <c r="H799" s="33" t="str">
        <f t="shared" si="90"/>
        <v>0</v>
      </c>
      <c r="I799" s="28">
        <v>19900000</v>
      </c>
      <c r="J799" s="29" t="s">
        <v>1250</v>
      </c>
      <c r="K799" s="29" t="s">
        <v>1251</v>
      </c>
      <c r="L799" s="29"/>
      <c r="M799" s="34"/>
    </row>
    <row r="800" spans="2:13" ht="60">
      <c r="B800" s="32" t="str">
        <f t="shared" si="84"/>
        <v>1</v>
      </c>
      <c r="C800" s="33" t="str">
        <f t="shared" si="85"/>
        <v>9</v>
      </c>
      <c r="D800" s="33" t="str">
        <f t="shared" si="86"/>
        <v>9</v>
      </c>
      <c r="E800" s="33" t="str">
        <f t="shared" si="87"/>
        <v>0</v>
      </c>
      <c r="F800" s="33" t="str">
        <f t="shared" si="88"/>
        <v>01</v>
      </c>
      <c r="G800" s="33" t="str">
        <f t="shared" si="89"/>
        <v>0</v>
      </c>
      <c r="H800" s="33" t="str">
        <f t="shared" si="90"/>
        <v>0</v>
      </c>
      <c r="I800" s="28">
        <v>19900100</v>
      </c>
      <c r="J800" s="29" t="s">
        <v>1252</v>
      </c>
      <c r="K800" s="29" t="s">
        <v>1253</v>
      </c>
      <c r="L800" s="29"/>
      <c r="M800" s="34"/>
    </row>
    <row r="801" spans="2:13" ht="60">
      <c r="B801" s="32" t="str">
        <f t="shared" si="84"/>
        <v>1</v>
      </c>
      <c r="C801" s="33" t="str">
        <f t="shared" si="85"/>
        <v>9</v>
      </c>
      <c r="D801" s="33" t="str">
        <f t="shared" si="86"/>
        <v>9</v>
      </c>
      <c r="E801" s="33" t="str">
        <f t="shared" si="87"/>
        <v>0</v>
      </c>
      <c r="F801" s="33" t="str">
        <f t="shared" si="88"/>
        <v>01</v>
      </c>
      <c r="G801" s="33" t="str">
        <f t="shared" si="89"/>
        <v>1</v>
      </c>
      <c r="H801" s="33" t="str">
        <f t="shared" si="90"/>
        <v>0</v>
      </c>
      <c r="I801" s="28">
        <v>19900110</v>
      </c>
      <c r="J801" s="29" t="s">
        <v>1252</v>
      </c>
      <c r="K801" s="29" t="s">
        <v>1253</v>
      </c>
      <c r="L801" s="29"/>
      <c r="M801" s="34"/>
    </row>
    <row r="802" spans="2:13" ht="45">
      <c r="B802" s="32" t="str">
        <f t="shared" si="84"/>
        <v>1</v>
      </c>
      <c r="C802" s="33" t="str">
        <f t="shared" si="85"/>
        <v>9</v>
      </c>
      <c r="D802" s="33" t="str">
        <f t="shared" si="86"/>
        <v>9</v>
      </c>
      <c r="E802" s="33" t="str">
        <f t="shared" si="87"/>
        <v>0</v>
      </c>
      <c r="F802" s="33" t="str">
        <f t="shared" si="88"/>
        <v>02</v>
      </c>
      <c r="G802" s="33" t="str">
        <f t="shared" si="89"/>
        <v>0</v>
      </c>
      <c r="H802" s="33" t="str">
        <f t="shared" si="90"/>
        <v>0</v>
      </c>
      <c r="I802" s="28">
        <v>19900200</v>
      </c>
      <c r="J802" s="29" t="s">
        <v>1254</v>
      </c>
      <c r="K802" s="29" t="s">
        <v>1255</v>
      </c>
      <c r="L802" s="29"/>
      <c r="M802" s="34"/>
    </row>
    <row r="803" spans="2:13" ht="45">
      <c r="B803" s="32" t="str">
        <f t="shared" si="84"/>
        <v>1</v>
      </c>
      <c r="C803" s="33" t="str">
        <f t="shared" si="85"/>
        <v>9</v>
      </c>
      <c r="D803" s="33" t="str">
        <f t="shared" si="86"/>
        <v>9</v>
      </c>
      <c r="E803" s="33" t="str">
        <f t="shared" si="87"/>
        <v>0</v>
      </c>
      <c r="F803" s="33" t="str">
        <f t="shared" si="88"/>
        <v>02</v>
      </c>
      <c r="G803" s="33" t="str">
        <f t="shared" si="89"/>
        <v>1</v>
      </c>
      <c r="H803" s="33" t="str">
        <f t="shared" si="90"/>
        <v>0</v>
      </c>
      <c r="I803" s="28">
        <v>19900210</v>
      </c>
      <c r="J803" s="29" t="s">
        <v>1254</v>
      </c>
      <c r="K803" s="29" t="s">
        <v>1255</v>
      </c>
      <c r="L803" s="29"/>
      <c r="M803" s="34"/>
    </row>
    <row r="804" spans="2:13" ht="30">
      <c r="B804" s="32" t="str">
        <f t="shared" si="84"/>
        <v>1</v>
      </c>
      <c r="C804" s="33" t="str">
        <f t="shared" si="85"/>
        <v>9</v>
      </c>
      <c r="D804" s="33" t="str">
        <f t="shared" si="86"/>
        <v>9</v>
      </c>
      <c r="E804" s="33" t="str">
        <f t="shared" si="87"/>
        <v>0</v>
      </c>
      <c r="F804" s="33" t="str">
        <f t="shared" si="88"/>
        <v>03</v>
      </c>
      <c r="G804" s="33" t="str">
        <f t="shared" si="89"/>
        <v>0</v>
      </c>
      <c r="H804" s="33" t="str">
        <f t="shared" si="90"/>
        <v>0</v>
      </c>
      <c r="I804" s="28">
        <v>19900300</v>
      </c>
      <c r="J804" s="29" t="s">
        <v>1256</v>
      </c>
      <c r="K804" s="29" t="s">
        <v>1257</v>
      </c>
      <c r="L804" s="29"/>
      <c r="M804" s="34"/>
    </row>
    <row r="805" spans="2:13" ht="30">
      <c r="B805" s="32" t="str">
        <f t="shared" si="84"/>
        <v>1</v>
      </c>
      <c r="C805" s="33" t="str">
        <f t="shared" si="85"/>
        <v>9</v>
      </c>
      <c r="D805" s="33" t="str">
        <f t="shared" si="86"/>
        <v>9</v>
      </c>
      <c r="E805" s="33" t="str">
        <f t="shared" si="87"/>
        <v>0</v>
      </c>
      <c r="F805" s="33" t="str">
        <f t="shared" si="88"/>
        <v>03</v>
      </c>
      <c r="G805" s="33" t="str">
        <f t="shared" si="89"/>
        <v>1</v>
      </c>
      <c r="H805" s="33" t="str">
        <f t="shared" si="90"/>
        <v>0</v>
      </c>
      <c r="I805" s="28">
        <v>19900310</v>
      </c>
      <c r="J805" s="29" t="s">
        <v>1256</v>
      </c>
      <c r="K805" s="29" t="s">
        <v>1257</v>
      </c>
      <c r="L805" s="29"/>
      <c r="M805" s="34"/>
    </row>
    <row r="806" spans="2:13" ht="285">
      <c r="B806" s="32" t="str">
        <f t="shared" si="84"/>
        <v>1</v>
      </c>
      <c r="C806" s="33" t="str">
        <f t="shared" si="85"/>
        <v>9</v>
      </c>
      <c r="D806" s="33" t="str">
        <f t="shared" si="86"/>
        <v>9</v>
      </c>
      <c r="E806" s="33" t="str">
        <f t="shared" si="87"/>
        <v>0</v>
      </c>
      <c r="F806" s="33" t="str">
        <f t="shared" si="88"/>
        <v>04</v>
      </c>
      <c r="G806" s="33" t="str">
        <f t="shared" si="89"/>
        <v>0</v>
      </c>
      <c r="H806" s="33" t="str">
        <f t="shared" si="90"/>
        <v>0</v>
      </c>
      <c r="I806" s="28">
        <v>19900400</v>
      </c>
      <c r="J806" s="29" t="s">
        <v>1258</v>
      </c>
      <c r="K806" s="29" t="s">
        <v>1259</v>
      </c>
      <c r="L806" s="29"/>
      <c r="M806" s="34"/>
    </row>
    <row r="807" spans="2:13" ht="285">
      <c r="B807" s="32" t="str">
        <f t="shared" si="84"/>
        <v>1</v>
      </c>
      <c r="C807" s="33" t="str">
        <f t="shared" si="85"/>
        <v>9</v>
      </c>
      <c r="D807" s="33" t="str">
        <f t="shared" si="86"/>
        <v>9</v>
      </c>
      <c r="E807" s="33" t="str">
        <f t="shared" si="87"/>
        <v>0</v>
      </c>
      <c r="F807" s="33" t="str">
        <f t="shared" si="88"/>
        <v>04</v>
      </c>
      <c r="G807" s="33" t="str">
        <f t="shared" si="89"/>
        <v>1</v>
      </c>
      <c r="H807" s="33" t="str">
        <f t="shared" si="90"/>
        <v>0</v>
      </c>
      <c r="I807" s="28">
        <v>19900410</v>
      </c>
      <c r="J807" s="29" t="s">
        <v>1258</v>
      </c>
      <c r="K807" s="29" t="s">
        <v>1259</v>
      </c>
      <c r="L807" s="29"/>
      <c r="M807" s="34"/>
    </row>
    <row r="808" spans="2:13" ht="45">
      <c r="B808" s="32" t="str">
        <f t="shared" si="84"/>
        <v>1</v>
      </c>
      <c r="C808" s="33" t="str">
        <f t="shared" si="85"/>
        <v>9</v>
      </c>
      <c r="D808" s="33" t="str">
        <f t="shared" si="86"/>
        <v>9</v>
      </c>
      <c r="E808" s="33" t="str">
        <f t="shared" si="87"/>
        <v>0</v>
      </c>
      <c r="F808" s="33" t="str">
        <f t="shared" si="88"/>
        <v>05</v>
      </c>
      <c r="G808" s="33" t="str">
        <f t="shared" si="89"/>
        <v>0</v>
      </c>
      <c r="H808" s="33" t="str">
        <f t="shared" si="90"/>
        <v>0</v>
      </c>
      <c r="I808" s="28">
        <v>19900500</v>
      </c>
      <c r="J808" s="29" t="s">
        <v>1260</v>
      </c>
      <c r="K808" s="29" t="s">
        <v>1261</v>
      </c>
      <c r="L808" s="29"/>
      <c r="M808" s="34"/>
    </row>
    <row r="809" spans="2:13" ht="45">
      <c r="B809" s="32" t="str">
        <f t="shared" si="84"/>
        <v>1</v>
      </c>
      <c r="C809" s="33" t="str">
        <f t="shared" si="85"/>
        <v>9</v>
      </c>
      <c r="D809" s="33" t="str">
        <f t="shared" si="86"/>
        <v>9</v>
      </c>
      <c r="E809" s="33" t="str">
        <f t="shared" si="87"/>
        <v>0</v>
      </c>
      <c r="F809" s="33" t="str">
        <f t="shared" si="88"/>
        <v>05</v>
      </c>
      <c r="G809" s="33" t="str">
        <f t="shared" si="89"/>
        <v>1</v>
      </c>
      <c r="H809" s="33" t="str">
        <f t="shared" si="90"/>
        <v>0</v>
      </c>
      <c r="I809" s="28">
        <v>19900510</v>
      </c>
      <c r="J809" s="29" t="s">
        <v>1260</v>
      </c>
      <c r="K809" s="29" t="s">
        <v>1261</v>
      </c>
      <c r="L809" s="29"/>
      <c r="M809" s="34"/>
    </row>
    <row r="810" spans="2:13" ht="30">
      <c r="B810" s="32" t="str">
        <f t="shared" si="84"/>
        <v>1</v>
      </c>
      <c r="C810" s="33" t="str">
        <f t="shared" si="85"/>
        <v>9</v>
      </c>
      <c r="D810" s="33" t="str">
        <f t="shared" si="86"/>
        <v>9</v>
      </c>
      <c r="E810" s="33" t="str">
        <f t="shared" si="87"/>
        <v>0</v>
      </c>
      <c r="F810" s="33" t="str">
        <f t="shared" si="88"/>
        <v>06</v>
      </c>
      <c r="G810" s="33" t="str">
        <f t="shared" si="89"/>
        <v>0</v>
      </c>
      <c r="H810" s="33" t="str">
        <f t="shared" si="90"/>
        <v>0</v>
      </c>
      <c r="I810" s="28">
        <v>19900600</v>
      </c>
      <c r="J810" s="29" t="s">
        <v>1262</v>
      </c>
      <c r="K810" s="29" t="s">
        <v>1263</v>
      </c>
      <c r="L810" s="29"/>
      <c r="M810" s="34"/>
    </row>
    <row r="811" spans="2:13" ht="30">
      <c r="B811" s="32" t="str">
        <f t="shared" si="84"/>
        <v>1</v>
      </c>
      <c r="C811" s="33" t="str">
        <f t="shared" si="85"/>
        <v>9</v>
      </c>
      <c r="D811" s="33" t="str">
        <f t="shared" si="86"/>
        <v>9</v>
      </c>
      <c r="E811" s="33" t="str">
        <f t="shared" si="87"/>
        <v>0</v>
      </c>
      <c r="F811" s="33" t="str">
        <f t="shared" si="88"/>
        <v>06</v>
      </c>
      <c r="G811" s="33" t="str">
        <f t="shared" si="89"/>
        <v>1</v>
      </c>
      <c r="H811" s="33" t="str">
        <f t="shared" si="90"/>
        <v>0</v>
      </c>
      <c r="I811" s="28">
        <v>19900610</v>
      </c>
      <c r="J811" s="29" t="s">
        <v>1262</v>
      </c>
      <c r="K811" s="29" t="s">
        <v>1263</v>
      </c>
      <c r="L811" s="29"/>
      <c r="M811" s="34"/>
    </row>
    <row r="812" spans="2:13" ht="90">
      <c r="B812" s="32" t="str">
        <f t="shared" si="84"/>
        <v>1</v>
      </c>
      <c r="C812" s="33" t="str">
        <f t="shared" si="85"/>
        <v>9</v>
      </c>
      <c r="D812" s="33" t="str">
        <f t="shared" si="86"/>
        <v>9</v>
      </c>
      <c r="E812" s="33" t="str">
        <f t="shared" si="87"/>
        <v>0</v>
      </c>
      <c r="F812" s="33" t="str">
        <f t="shared" si="88"/>
        <v>07</v>
      </c>
      <c r="G812" s="33" t="str">
        <f t="shared" si="89"/>
        <v>0</v>
      </c>
      <c r="H812" s="33" t="str">
        <f t="shared" si="90"/>
        <v>0</v>
      </c>
      <c r="I812" s="28">
        <v>19900700</v>
      </c>
      <c r="J812" s="29" t="s">
        <v>1264</v>
      </c>
      <c r="K812" s="29" t="s">
        <v>1265</v>
      </c>
      <c r="L812" s="29"/>
      <c r="M812" s="34"/>
    </row>
    <row r="813" spans="2:13" ht="90">
      <c r="B813" s="32" t="str">
        <f t="shared" si="84"/>
        <v>1</v>
      </c>
      <c r="C813" s="33" t="str">
        <f t="shared" si="85"/>
        <v>9</v>
      </c>
      <c r="D813" s="33" t="str">
        <f t="shared" si="86"/>
        <v>9</v>
      </c>
      <c r="E813" s="33" t="str">
        <f t="shared" si="87"/>
        <v>0</v>
      </c>
      <c r="F813" s="33" t="str">
        <f t="shared" si="88"/>
        <v>07</v>
      </c>
      <c r="G813" s="33" t="str">
        <f t="shared" si="89"/>
        <v>1</v>
      </c>
      <c r="H813" s="33" t="str">
        <f t="shared" si="90"/>
        <v>0</v>
      </c>
      <c r="I813" s="28">
        <v>19900710</v>
      </c>
      <c r="J813" s="29" t="s">
        <v>1264</v>
      </c>
      <c r="K813" s="29" t="s">
        <v>1265</v>
      </c>
      <c r="L813" s="29"/>
      <c r="M813" s="34"/>
    </row>
    <row r="814" spans="2:13" ht="90">
      <c r="B814" s="32" t="str">
        <f t="shared" si="84"/>
        <v>1</v>
      </c>
      <c r="C814" s="33" t="str">
        <f t="shared" si="85"/>
        <v>9</v>
      </c>
      <c r="D814" s="33" t="str">
        <f t="shared" si="86"/>
        <v>9</v>
      </c>
      <c r="E814" s="33" t="str">
        <f t="shared" si="87"/>
        <v>0</v>
      </c>
      <c r="F814" s="33" t="str">
        <f t="shared" si="88"/>
        <v>08</v>
      </c>
      <c r="G814" s="33" t="str">
        <f t="shared" si="89"/>
        <v>0</v>
      </c>
      <c r="H814" s="33" t="str">
        <f t="shared" si="90"/>
        <v>0</v>
      </c>
      <c r="I814" s="28">
        <v>19900800</v>
      </c>
      <c r="J814" s="29" t="s">
        <v>1266</v>
      </c>
      <c r="K814" s="29" t="s">
        <v>1267</v>
      </c>
      <c r="L814" s="29"/>
      <c r="M814" s="34"/>
    </row>
    <row r="815" spans="2:13" ht="90">
      <c r="B815" s="32" t="str">
        <f t="shared" si="84"/>
        <v>1</v>
      </c>
      <c r="C815" s="33" t="str">
        <f t="shared" si="85"/>
        <v>9</v>
      </c>
      <c r="D815" s="33" t="str">
        <f t="shared" si="86"/>
        <v>9</v>
      </c>
      <c r="E815" s="33" t="str">
        <f t="shared" si="87"/>
        <v>0</v>
      </c>
      <c r="F815" s="33" t="str">
        <f t="shared" si="88"/>
        <v>08</v>
      </c>
      <c r="G815" s="33" t="str">
        <f t="shared" si="89"/>
        <v>1</v>
      </c>
      <c r="H815" s="33" t="str">
        <f t="shared" si="90"/>
        <v>0</v>
      </c>
      <c r="I815" s="28">
        <v>19900810</v>
      </c>
      <c r="J815" s="29" t="s">
        <v>1266</v>
      </c>
      <c r="K815" s="29" t="s">
        <v>1267</v>
      </c>
      <c r="L815" s="29"/>
      <c r="M815" s="34"/>
    </row>
    <row r="816" spans="2:13" ht="60">
      <c r="B816" s="32" t="str">
        <f t="shared" si="84"/>
        <v>1</v>
      </c>
      <c r="C816" s="33" t="str">
        <f t="shared" si="85"/>
        <v>9</v>
      </c>
      <c r="D816" s="33" t="str">
        <f t="shared" si="86"/>
        <v>9</v>
      </c>
      <c r="E816" s="33" t="str">
        <f t="shared" si="87"/>
        <v>0</v>
      </c>
      <c r="F816" s="33" t="str">
        <f t="shared" si="88"/>
        <v>09</v>
      </c>
      <c r="G816" s="33" t="str">
        <f t="shared" si="89"/>
        <v>0</v>
      </c>
      <c r="H816" s="33" t="str">
        <f t="shared" si="90"/>
        <v>0</v>
      </c>
      <c r="I816" s="28">
        <v>19900900</v>
      </c>
      <c r="J816" s="29" t="s">
        <v>1268</v>
      </c>
      <c r="K816" s="29" t="s">
        <v>1269</v>
      </c>
      <c r="L816" s="29"/>
      <c r="M816" s="34"/>
    </row>
    <row r="817" spans="2:13" ht="60">
      <c r="B817" s="32" t="str">
        <f t="shared" si="84"/>
        <v>1</v>
      </c>
      <c r="C817" s="33" t="str">
        <f t="shared" si="85"/>
        <v>9</v>
      </c>
      <c r="D817" s="33" t="str">
        <f t="shared" si="86"/>
        <v>9</v>
      </c>
      <c r="E817" s="33" t="str">
        <f t="shared" si="87"/>
        <v>0</v>
      </c>
      <c r="F817" s="33" t="str">
        <f t="shared" si="88"/>
        <v>09</v>
      </c>
      <c r="G817" s="33" t="str">
        <f t="shared" si="89"/>
        <v>1</v>
      </c>
      <c r="H817" s="33" t="str">
        <f t="shared" si="90"/>
        <v>0</v>
      </c>
      <c r="I817" s="28">
        <v>19900910</v>
      </c>
      <c r="J817" s="29" t="s">
        <v>1268</v>
      </c>
      <c r="K817" s="29" t="s">
        <v>1269</v>
      </c>
      <c r="L817" s="29"/>
      <c r="M817" s="34"/>
    </row>
    <row r="818" spans="2:13" ht="75">
      <c r="B818" s="32" t="str">
        <f t="shared" si="84"/>
        <v>1</v>
      </c>
      <c r="C818" s="33" t="str">
        <f t="shared" si="85"/>
        <v>9</v>
      </c>
      <c r="D818" s="33" t="str">
        <f t="shared" si="86"/>
        <v>9</v>
      </c>
      <c r="E818" s="33" t="str">
        <f t="shared" si="87"/>
        <v>0</v>
      </c>
      <c r="F818" s="33" t="str">
        <f t="shared" si="88"/>
        <v>10</v>
      </c>
      <c r="G818" s="33" t="str">
        <f t="shared" si="89"/>
        <v>0</v>
      </c>
      <c r="H818" s="33" t="str">
        <f t="shared" si="90"/>
        <v>0</v>
      </c>
      <c r="I818" s="28">
        <v>19901000</v>
      </c>
      <c r="J818" s="29" t="s">
        <v>1270</v>
      </c>
      <c r="K818" s="29" t="s">
        <v>1271</v>
      </c>
      <c r="L818" s="29"/>
      <c r="M818" s="34"/>
    </row>
    <row r="819" spans="2:13" ht="75">
      <c r="B819" s="32" t="str">
        <f t="shared" si="84"/>
        <v>1</v>
      </c>
      <c r="C819" s="33" t="str">
        <f t="shared" si="85"/>
        <v>9</v>
      </c>
      <c r="D819" s="33" t="str">
        <f t="shared" si="86"/>
        <v>9</v>
      </c>
      <c r="E819" s="33" t="str">
        <f t="shared" si="87"/>
        <v>0</v>
      </c>
      <c r="F819" s="33" t="str">
        <f t="shared" si="88"/>
        <v>10</v>
      </c>
      <c r="G819" s="33" t="str">
        <f t="shared" si="89"/>
        <v>1</v>
      </c>
      <c r="H819" s="33" t="str">
        <f t="shared" si="90"/>
        <v>0</v>
      </c>
      <c r="I819" s="28">
        <v>19901010</v>
      </c>
      <c r="J819" s="29" t="s">
        <v>1270</v>
      </c>
      <c r="K819" s="29" t="s">
        <v>1271</v>
      </c>
      <c r="L819" s="29"/>
      <c r="M819" s="34"/>
    </row>
    <row r="820" spans="2:13" ht="45">
      <c r="B820" s="32" t="str">
        <f t="shared" si="84"/>
        <v>1</v>
      </c>
      <c r="C820" s="33" t="str">
        <f t="shared" si="85"/>
        <v>9</v>
      </c>
      <c r="D820" s="33" t="str">
        <f t="shared" si="86"/>
        <v>9</v>
      </c>
      <c r="E820" s="33" t="str">
        <f t="shared" si="87"/>
        <v>0</v>
      </c>
      <c r="F820" s="33" t="str">
        <f t="shared" si="88"/>
        <v>11</v>
      </c>
      <c r="G820" s="33" t="str">
        <f t="shared" si="89"/>
        <v>0</v>
      </c>
      <c r="H820" s="33" t="str">
        <f t="shared" si="90"/>
        <v>0</v>
      </c>
      <c r="I820" s="28">
        <v>19901100</v>
      </c>
      <c r="J820" s="29" t="s">
        <v>1272</v>
      </c>
      <c r="K820" s="29" t="s">
        <v>1273</v>
      </c>
      <c r="L820" s="29"/>
      <c r="M820" s="34"/>
    </row>
    <row r="821" spans="2:13" ht="45">
      <c r="B821" s="32" t="str">
        <f t="shared" si="84"/>
        <v>1</v>
      </c>
      <c r="C821" s="33" t="str">
        <f t="shared" si="85"/>
        <v>9</v>
      </c>
      <c r="D821" s="33" t="str">
        <f t="shared" si="86"/>
        <v>9</v>
      </c>
      <c r="E821" s="33" t="str">
        <f t="shared" si="87"/>
        <v>0</v>
      </c>
      <c r="F821" s="33" t="str">
        <f t="shared" si="88"/>
        <v>11</v>
      </c>
      <c r="G821" s="33" t="str">
        <f t="shared" si="89"/>
        <v>1</v>
      </c>
      <c r="H821" s="33" t="str">
        <f t="shared" si="90"/>
        <v>0</v>
      </c>
      <c r="I821" s="28">
        <v>19901110</v>
      </c>
      <c r="J821" s="29" t="s">
        <v>1272</v>
      </c>
      <c r="K821" s="29" t="s">
        <v>1273</v>
      </c>
      <c r="L821" s="29"/>
      <c r="M821" s="34"/>
    </row>
    <row r="822" spans="2:13" ht="30">
      <c r="B822" s="32" t="str">
        <f t="shared" si="84"/>
        <v>1</v>
      </c>
      <c r="C822" s="33" t="str">
        <f t="shared" si="85"/>
        <v>9</v>
      </c>
      <c r="D822" s="33" t="str">
        <f t="shared" si="86"/>
        <v>9</v>
      </c>
      <c r="E822" s="33" t="str">
        <f t="shared" si="87"/>
        <v>0</v>
      </c>
      <c r="F822" s="33" t="str">
        <f t="shared" si="88"/>
        <v>12</v>
      </c>
      <c r="G822" s="33" t="str">
        <f t="shared" si="89"/>
        <v>0</v>
      </c>
      <c r="H822" s="33" t="str">
        <f t="shared" si="90"/>
        <v>0</v>
      </c>
      <c r="I822" s="28">
        <v>19901200</v>
      </c>
      <c r="J822" s="29" t="s">
        <v>1274</v>
      </c>
      <c r="K822" s="29" t="s">
        <v>1275</v>
      </c>
      <c r="L822" s="29"/>
      <c r="M822" s="34"/>
    </row>
    <row r="823" spans="2:13" s="8" customFormat="1" ht="45">
      <c r="B823" s="32" t="str">
        <f t="shared" si="84"/>
        <v>1</v>
      </c>
      <c r="C823" s="33" t="str">
        <f t="shared" si="85"/>
        <v>9</v>
      </c>
      <c r="D823" s="33" t="str">
        <f t="shared" si="86"/>
        <v>9</v>
      </c>
      <c r="E823" s="33" t="str">
        <f t="shared" si="87"/>
        <v>0</v>
      </c>
      <c r="F823" s="33" t="str">
        <f t="shared" si="88"/>
        <v>12</v>
      </c>
      <c r="G823" s="33" t="str">
        <f t="shared" si="89"/>
        <v>1</v>
      </c>
      <c r="H823" s="33" t="str">
        <f t="shared" si="90"/>
        <v>0</v>
      </c>
      <c r="I823" s="28">
        <v>19901210</v>
      </c>
      <c r="J823" s="29" t="s">
        <v>1276</v>
      </c>
      <c r="K823" s="29" t="s">
        <v>1277</v>
      </c>
      <c r="L823" s="29"/>
      <c r="M823" s="34"/>
    </row>
    <row r="824" spans="2:13" s="8" customFormat="1" ht="60" customHeight="1">
      <c r="B824" s="32" t="str">
        <f t="shared" si="84"/>
        <v>1</v>
      </c>
      <c r="C824" s="33" t="str">
        <f t="shared" si="85"/>
        <v>9</v>
      </c>
      <c r="D824" s="33" t="str">
        <f t="shared" si="86"/>
        <v>9</v>
      </c>
      <c r="E824" s="33" t="str">
        <f t="shared" si="87"/>
        <v>0</v>
      </c>
      <c r="F824" s="33" t="str">
        <f t="shared" si="88"/>
        <v>12</v>
      </c>
      <c r="G824" s="33" t="str">
        <f t="shared" si="89"/>
        <v>2</v>
      </c>
      <c r="H824" s="33" t="str">
        <f t="shared" si="90"/>
        <v>0</v>
      </c>
      <c r="I824" s="28">
        <v>19901220</v>
      </c>
      <c r="J824" s="29" t="s">
        <v>1278</v>
      </c>
      <c r="K824" s="29" t="s">
        <v>1279</v>
      </c>
      <c r="L824" s="29"/>
      <c r="M824" s="34"/>
    </row>
    <row r="825" spans="2:13" s="8" customFormat="1" ht="30" customHeight="1">
      <c r="B825" s="32" t="str">
        <f t="shared" si="84"/>
        <v>1</v>
      </c>
      <c r="C825" s="33" t="str">
        <f t="shared" si="85"/>
        <v>9</v>
      </c>
      <c r="D825" s="33" t="str">
        <f t="shared" si="86"/>
        <v>9</v>
      </c>
      <c r="E825" s="33" t="str">
        <f t="shared" si="87"/>
        <v>0</v>
      </c>
      <c r="F825" s="33" t="str">
        <f t="shared" si="88"/>
        <v>13</v>
      </c>
      <c r="G825" s="33" t="str">
        <f t="shared" si="89"/>
        <v>0</v>
      </c>
      <c r="H825" s="33" t="str">
        <f t="shared" si="90"/>
        <v>0</v>
      </c>
      <c r="I825" s="28">
        <v>19901300</v>
      </c>
      <c r="J825" s="29" t="s">
        <v>1280</v>
      </c>
      <c r="K825" s="29" t="s">
        <v>1281</v>
      </c>
      <c r="L825" s="29"/>
      <c r="M825" s="34"/>
    </row>
    <row r="826" spans="2:13" ht="60">
      <c r="B826" s="32" t="str">
        <f t="shared" si="84"/>
        <v>1</v>
      </c>
      <c r="C826" s="33" t="str">
        <f t="shared" si="85"/>
        <v>9</v>
      </c>
      <c r="D826" s="33" t="str">
        <f t="shared" si="86"/>
        <v>9</v>
      </c>
      <c r="E826" s="33" t="str">
        <f t="shared" si="87"/>
        <v>0</v>
      </c>
      <c r="F826" s="33" t="str">
        <f t="shared" si="88"/>
        <v>13</v>
      </c>
      <c r="G826" s="33" t="str">
        <f t="shared" si="89"/>
        <v>1</v>
      </c>
      <c r="H826" s="33" t="str">
        <f t="shared" si="90"/>
        <v>0</v>
      </c>
      <c r="I826" s="28">
        <v>19901310</v>
      </c>
      <c r="J826" s="29" t="s">
        <v>1282</v>
      </c>
      <c r="K826" s="29" t="s">
        <v>1283</v>
      </c>
      <c r="L826" s="29"/>
      <c r="M826" s="34"/>
    </row>
    <row r="827" spans="2:13" ht="30">
      <c r="B827" s="32" t="str">
        <f t="shared" si="84"/>
        <v>1</v>
      </c>
      <c r="C827" s="33" t="str">
        <f t="shared" si="85"/>
        <v>9</v>
      </c>
      <c r="D827" s="33" t="str">
        <f t="shared" si="86"/>
        <v>9</v>
      </c>
      <c r="E827" s="33" t="str">
        <f t="shared" si="87"/>
        <v>0</v>
      </c>
      <c r="F827" s="33" t="str">
        <f t="shared" si="88"/>
        <v>14</v>
      </c>
      <c r="G827" s="33" t="str">
        <f t="shared" si="89"/>
        <v>0</v>
      </c>
      <c r="H827" s="33" t="str">
        <f t="shared" si="90"/>
        <v>0</v>
      </c>
      <c r="I827" s="28">
        <v>19901400</v>
      </c>
      <c r="J827" s="29" t="s">
        <v>1284</v>
      </c>
      <c r="K827" s="29" t="s">
        <v>1285</v>
      </c>
      <c r="L827" s="29"/>
      <c r="M827" s="34"/>
    </row>
    <row r="828" spans="2:13" ht="30">
      <c r="B828" s="32" t="str">
        <f t="shared" si="84"/>
        <v>1</v>
      </c>
      <c r="C828" s="33" t="str">
        <f t="shared" si="85"/>
        <v>9</v>
      </c>
      <c r="D828" s="33" t="str">
        <f t="shared" si="86"/>
        <v>9</v>
      </c>
      <c r="E828" s="33" t="str">
        <f t="shared" si="87"/>
        <v>0</v>
      </c>
      <c r="F828" s="33" t="str">
        <f t="shared" si="88"/>
        <v>14</v>
      </c>
      <c r="G828" s="33" t="str">
        <f t="shared" si="89"/>
        <v>1</v>
      </c>
      <c r="H828" s="33" t="str">
        <f t="shared" si="90"/>
        <v>0</v>
      </c>
      <c r="I828" s="28">
        <v>19901410</v>
      </c>
      <c r="J828" s="29" t="s">
        <v>1284</v>
      </c>
      <c r="K828" s="29" t="s">
        <v>1285</v>
      </c>
      <c r="L828" s="29"/>
      <c r="M828" s="34"/>
    </row>
    <row r="829" spans="2:13">
      <c r="B829" s="32" t="str">
        <f t="shared" si="84"/>
        <v>1</v>
      </c>
      <c r="C829" s="33" t="str">
        <f t="shared" si="85"/>
        <v>9</v>
      </c>
      <c r="D829" s="33" t="str">
        <f t="shared" si="86"/>
        <v>9</v>
      </c>
      <c r="E829" s="33" t="str">
        <f t="shared" si="87"/>
        <v>0</v>
      </c>
      <c r="F829" s="33" t="str">
        <f t="shared" si="88"/>
        <v>99</v>
      </c>
      <c r="G829" s="33" t="str">
        <f t="shared" si="89"/>
        <v>0</v>
      </c>
      <c r="H829" s="33" t="str">
        <f t="shared" si="90"/>
        <v>0</v>
      </c>
      <c r="I829" s="28">
        <v>19909900</v>
      </c>
      <c r="J829" s="29" t="s">
        <v>1286</v>
      </c>
      <c r="K829" s="29" t="s">
        <v>1287</v>
      </c>
      <c r="L829" s="29"/>
      <c r="M829" s="34"/>
    </row>
    <row r="830" spans="2:13">
      <c r="B830" s="32" t="str">
        <f t="shared" si="84"/>
        <v>1</v>
      </c>
      <c r="C830" s="33" t="str">
        <f t="shared" si="85"/>
        <v>9</v>
      </c>
      <c r="D830" s="33" t="str">
        <f t="shared" si="86"/>
        <v>9</v>
      </c>
      <c r="E830" s="33" t="str">
        <f t="shared" si="87"/>
        <v>0</v>
      </c>
      <c r="F830" s="33" t="str">
        <f t="shared" si="88"/>
        <v>99</v>
      </c>
      <c r="G830" s="33" t="str">
        <f t="shared" si="89"/>
        <v>1</v>
      </c>
      <c r="H830" s="33" t="str">
        <f t="shared" si="90"/>
        <v>0</v>
      </c>
      <c r="I830" s="28">
        <v>19909910</v>
      </c>
      <c r="J830" s="29" t="s">
        <v>1288</v>
      </c>
      <c r="K830" s="29" t="s">
        <v>1289</v>
      </c>
      <c r="L830" s="29"/>
      <c r="M830" s="34"/>
    </row>
    <row r="831" spans="2:13">
      <c r="B831" s="32" t="str">
        <f t="shared" si="84"/>
        <v>1</v>
      </c>
      <c r="C831" s="33" t="str">
        <f t="shared" si="85"/>
        <v>9</v>
      </c>
      <c r="D831" s="33" t="str">
        <f t="shared" si="86"/>
        <v>9</v>
      </c>
      <c r="E831" s="33" t="str">
        <f t="shared" si="87"/>
        <v>0</v>
      </c>
      <c r="F831" s="33" t="str">
        <f t="shared" si="88"/>
        <v>99</v>
      </c>
      <c r="G831" s="33" t="str">
        <f t="shared" si="89"/>
        <v>2</v>
      </c>
      <c r="H831" s="33" t="str">
        <f t="shared" si="90"/>
        <v>0</v>
      </c>
      <c r="I831" s="28">
        <v>19909920</v>
      </c>
      <c r="J831" s="29" t="s">
        <v>1290</v>
      </c>
      <c r="K831" s="29" t="s">
        <v>1291</v>
      </c>
      <c r="L831" s="29"/>
      <c r="M831" s="34"/>
    </row>
    <row r="832" spans="2:13" ht="60">
      <c r="B832" s="32" t="str">
        <f t="shared" si="84"/>
        <v>2</v>
      </c>
      <c r="C832" s="33" t="str">
        <f t="shared" si="85"/>
        <v>0</v>
      </c>
      <c r="D832" s="33" t="str">
        <f t="shared" si="86"/>
        <v>0</v>
      </c>
      <c r="E832" s="33" t="str">
        <f t="shared" si="87"/>
        <v>0</v>
      </c>
      <c r="F832" s="33" t="str">
        <f t="shared" si="88"/>
        <v>00</v>
      </c>
      <c r="G832" s="33" t="str">
        <f t="shared" si="89"/>
        <v>0</v>
      </c>
      <c r="H832" s="33" t="str">
        <f t="shared" si="90"/>
        <v>0</v>
      </c>
      <c r="I832" s="28">
        <v>20000000</v>
      </c>
      <c r="J832" s="29" t="s">
        <v>1292</v>
      </c>
      <c r="K832" s="29" t="s">
        <v>1293</v>
      </c>
      <c r="L832" s="29"/>
      <c r="M832" s="34"/>
    </row>
    <row r="833" spans="2:13" ht="105">
      <c r="B833" s="32" t="str">
        <f t="shared" si="84"/>
        <v>2</v>
      </c>
      <c r="C833" s="33" t="str">
        <f t="shared" si="85"/>
        <v>1</v>
      </c>
      <c r="D833" s="33" t="str">
        <f t="shared" si="86"/>
        <v>0</v>
      </c>
      <c r="E833" s="33" t="str">
        <f t="shared" si="87"/>
        <v>0</v>
      </c>
      <c r="F833" s="33" t="str">
        <f t="shared" si="88"/>
        <v>00</v>
      </c>
      <c r="G833" s="33" t="str">
        <f t="shared" si="89"/>
        <v>0</v>
      </c>
      <c r="H833" s="33" t="str">
        <f t="shared" si="90"/>
        <v>0</v>
      </c>
      <c r="I833" s="28">
        <v>21000000</v>
      </c>
      <c r="J833" s="29" t="s">
        <v>1294</v>
      </c>
      <c r="K833" s="29" t="s">
        <v>1295</v>
      </c>
      <c r="L833" s="29"/>
      <c r="M833" s="34"/>
    </row>
    <row r="834" spans="2:13" ht="45">
      <c r="B834" s="32" t="str">
        <f t="shared" si="84"/>
        <v>2</v>
      </c>
      <c r="C834" s="33" t="str">
        <f t="shared" si="85"/>
        <v>1</v>
      </c>
      <c r="D834" s="33" t="str">
        <f t="shared" si="86"/>
        <v>1</v>
      </c>
      <c r="E834" s="33" t="str">
        <f t="shared" si="87"/>
        <v>0</v>
      </c>
      <c r="F834" s="33" t="str">
        <f t="shared" si="88"/>
        <v>00</v>
      </c>
      <c r="G834" s="33" t="str">
        <f t="shared" si="89"/>
        <v>0</v>
      </c>
      <c r="H834" s="33" t="str">
        <f t="shared" si="90"/>
        <v>0</v>
      </c>
      <c r="I834" s="28">
        <v>21100000</v>
      </c>
      <c r="J834" s="29" t="s">
        <v>1296</v>
      </c>
      <c r="K834" s="29" t="s">
        <v>1297</v>
      </c>
      <c r="L834" s="29"/>
      <c r="M834" s="34"/>
    </row>
    <row r="835" spans="2:13" ht="135">
      <c r="B835" s="32" t="str">
        <f t="shared" si="84"/>
        <v>2</v>
      </c>
      <c r="C835" s="33" t="str">
        <f t="shared" si="85"/>
        <v>1</v>
      </c>
      <c r="D835" s="33" t="str">
        <f t="shared" si="86"/>
        <v>1</v>
      </c>
      <c r="E835" s="33" t="str">
        <f t="shared" si="87"/>
        <v>1</v>
      </c>
      <c r="F835" s="33" t="str">
        <f t="shared" si="88"/>
        <v>00</v>
      </c>
      <c r="G835" s="33" t="str">
        <f t="shared" si="89"/>
        <v>0</v>
      </c>
      <c r="H835" s="33" t="str">
        <f t="shared" si="90"/>
        <v>0</v>
      </c>
      <c r="I835" s="28">
        <v>21110000</v>
      </c>
      <c r="J835" s="29" t="s">
        <v>1298</v>
      </c>
      <c r="K835" s="29" t="s">
        <v>1299</v>
      </c>
      <c r="L835" s="29"/>
      <c r="M835" s="34"/>
    </row>
    <row r="836" spans="2:13" ht="90">
      <c r="B836" s="32" t="str">
        <f t="shared" si="84"/>
        <v>2</v>
      </c>
      <c r="C836" s="33" t="str">
        <f t="shared" si="85"/>
        <v>1</v>
      </c>
      <c r="D836" s="33" t="str">
        <f t="shared" si="86"/>
        <v>1</v>
      </c>
      <c r="E836" s="33" t="str">
        <f t="shared" si="87"/>
        <v>1</v>
      </c>
      <c r="F836" s="33" t="str">
        <f t="shared" si="88"/>
        <v>00</v>
      </c>
      <c r="G836" s="33" t="str">
        <f t="shared" si="89"/>
        <v>1</v>
      </c>
      <c r="H836" s="33" t="str">
        <f t="shared" si="90"/>
        <v>0</v>
      </c>
      <c r="I836" s="28">
        <v>21110010</v>
      </c>
      <c r="J836" s="29" t="s">
        <v>1298</v>
      </c>
      <c r="K836" s="29" t="s">
        <v>1300</v>
      </c>
      <c r="L836" s="29"/>
      <c r="M836" s="34"/>
    </row>
    <row r="837" spans="2:13" ht="105">
      <c r="B837" s="32" t="str">
        <f t="shared" si="84"/>
        <v>2</v>
      </c>
      <c r="C837" s="33" t="str">
        <f t="shared" si="85"/>
        <v>1</v>
      </c>
      <c r="D837" s="33" t="str">
        <f t="shared" si="86"/>
        <v>1</v>
      </c>
      <c r="E837" s="33" t="str">
        <f t="shared" si="87"/>
        <v>1</v>
      </c>
      <c r="F837" s="33" t="str">
        <f t="shared" si="88"/>
        <v>00</v>
      </c>
      <c r="G837" s="33" t="str">
        <f t="shared" si="89"/>
        <v>2</v>
      </c>
      <c r="H837" s="33" t="str">
        <f t="shared" si="90"/>
        <v>0</v>
      </c>
      <c r="I837" s="28">
        <v>21110020</v>
      </c>
      <c r="J837" s="29" t="s">
        <v>1301</v>
      </c>
      <c r="K837" s="29" t="s">
        <v>1302</v>
      </c>
      <c r="L837" s="29"/>
      <c r="M837" s="34"/>
    </row>
    <row r="838" spans="2:13" ht="90">
      <c r="B838" s="32" t="str">
        <f t="shared" si="84"/>
        <v>2</v>
      </c>
      <c r="C838" s="33" t="str">
        <f t="shared" si="85"/>
        <v>1</v>
      </c>
      <c r="D838" s="33" t="str">
        <f t="shared" si="86"/>
        <v>1</v>
      </c>
      <c r="E838" s="33" t="str">
        <f t="shared" si="87"/>
        <v>1</v>
      </c>
      <c r="F838" s="33" t="str">
        <f t="shared" si="88"/>
        <v>00</v>
      </c>
      <c r="G838" s="33" t="str">
        <f t="shared" si="89"/>
        <v>3</v>
      </c>
      <c r="H838" s="33" t="str">
        <f t="shared" si="90"/>
        <v>0</v>
      </c>
      <c r="I838" s="28">
        <v>21110030</v>
      </c>
      <c r="J838" s="29" t="s">
        <v>1303</v>
      </c>
      <c r="K838" s="29" t="s">
        <v>1304</v>
      </c>
      <c r="L838" s="29"/>
      <c r="M838" s="34"/>
    </row>
    <row r="839" spans="2:13" ht="75" customHeight="1">
      <c r="B839" s="32" t="str">
        <f t="shared" si="84"/>
        <v>2</v>
      </c>
      <c r="C839" s="33" t="str">
        <f t="shared" si="85"/>
        <v>1</v>
      </c>
      <c r="D839" s="33" t="str">
        <f t="shared" si="86"/>
        <v>1</v>
      </c>
      <c r="E839" s="33" t="str">
        <f t="shared" si="87"/>
        <v>2</v>
      </c>
      <c r="F839" s="33" t="str">
        <f t="shared" si="88"/>
        <v>00</v>
      </c>
      <c r="G839" s="33" t="str">
        <f t="shared" si="89"/>
        <v>0</v>
      </c>
      <c r="H839" s="33" t="str">
        <f t="shared" si="90"/>
        <v>0</v>
      </c>
      <c r="I839" s="28">
        <v>21120000</v>
      </c>
      <c r="J839" s="29" t="s">
        <v>1305</v>
      </c>
      <c r="K839" s="29" t="s">
        <v>1306</v>
      </c>
      <c r="L839" s="29"/>
      <c r="M839" s="34"/>
    </row>
    <row r="840" spans="2:13" ht="60">
      <c r="B840" s="32" t="str">
        <f t="shared" si="84"/>
        <v>2</v>
      </c>
      <c r="C840" s="33" t="str">
        <f t="shared" si="85"/>
        <v>1</v>
      </c>
      <c r="D840" s="33" t="str">
        <f t="shared" si="86"/>
        <v>1</v>
      </c>
      <c r="E840" s="33" t="str">
        <f t="shared" si="87"/>
        <v>2</v>
      </c>
      <c r="F840" s="33" t="str">
        <f t="shared" si="88"/>
        <v>00</v>
      </c>
      <c r="G840" s="33" t="str">
        <f t="shared" si="89"/>
        <v>1</v>
      </c>
      <c r="H840" s="33" t="str">
        <f t="shared" si="90"/>
        <v>0</v>
      </c>
      <c r="I840" s="28">
        <v>21120010</v>
      </c>
      <c r="J840" s="29" t="s">
        <v>1305</v>
      </c>
      <c r="K840" s="29" t="s">
        <v>1307</v>
      </c>
      <c r="L840" s="29"/>
      <c r="M840" s="34"/>
    </row>
    <row r="841" spans="2:13" ht="96" customHeight="1">
      <c r="B841" s="32" t="str">
        <f t="shared" si="84"/>
        <v>2</v>
      </c>
      <c r="C841" s="33" t="str">
        <f t="shared" si="85"/>
        <v>1</v>
      </c>
      <c r="D841" s="33" t="str">
        <f t="shared" si="86"/>
        <v>1</v>
      </c>
      <c r="E841" s="33" t="str">
        <f t="shared" si="87"/>
        <v>3</v>
      </c>
      <c r="F841" s="33" t="str">
        <f t="shared" si="88"/>
        <v>00</v>
      </c>
      <c r="G841" s="33" t="str">
        <f t="shared" si="89"/>
        <v>0</v>
      </c>
      <c r="H841" s="33" t="str">
        <f t="shared" si="90"/>
        <v>0</v>
      </c>
      <c r="I841" s="28">
        <v>21130000</v>
      </c>
      <c r="J841" s="29" t="s">
        <v>1308</v>
      </c>
      <c r="K841" s="29" t="s">
        <v>1309</v>
      </c>
      <c r="L841" s="29"/>
      <c r="M841" s="34"/>
    </row>
    <row r="842" spans="2:13" ht="75">
      <c r="B842" s="32" t="str">
        <f t="shared" si="84"/>
        <v>2</v>
      </c>
      <c r="C842" s="33" t="str">
        <f t="shared" si="85"/>
        <v>1</v>
      </c>
      <c r="D842" s="33" t="str">
        <f t="shared" si="86"/>
        <v>1</v>
      </c>
      <c r="E842" s="33" t="str">
        <f t="shared" si="87"/>
        <v>3</v>
      </c>
      <c r="F842" s="33" t="str">
        <f t="shared" si="88"/>
        <v>00</v>
      </c>
      <c r="G842" s="33" t="str">
        <f t="shared" si="89"/>
        <v>1</v>
      </c>
      <c r="H842" s="33" t="str">
        <f t="shared" si="90"/>
        <v>0</v>
      </c>
      <c r="I842" s="28">
        <v>21130010</v>
      </c>
      <c r="J842" s="29" t="s">
        <v>1308</v>
      </c>
      <c r="K842" s="29" t="s">
        <v>1309</v>
      </c>
      <c r="L842" s="29"/>
      <c r="M842" s="34"/>
    </row>
    <row r="843" spans="2:13" ht="75">
      <c r="B843" s="32" t="str">
        <f t="shared" ref="B843:B906" si="91">MID($I843,1,1)</f>
        <v>2</v>
      </c>
      <c r="C843" s="33" t="str">
        <f t="shared" ref="C843:C906" si="92">MID($I843,2,1)</f>
        <v>1</v>
      </c>
      <c r="D843" s="33" t="str">
        <f t="shared" ref="D843:D906" si="93">MID($I843,3,1)</f>
        <v>1</v>
      </c>
      <c r="E843" s="33" t="str">
        <f t="shared" ref="E843:E906" si="94">MID($I843,4,1)</f>
        <v>8</v>
      </c>
      <c r="F843" s="33" t="str">
        <f t="shared" ref="F843:F906" si="95">MID($I843,5,2)</f>
        <v>00</v>
      </c>
      <c r="G843" s="33" t="str">
        <f t="shared" ref="G843:G906" si="96">MID($I843,7,1)</f>
        <v>0</v>
      </c>
      <c r="H843" s="33" t="str">
        <f t="shared" ref="H843:H906" si="97">MID($I843,8,1)</f>
        <v>0</v>
      </c>
      <c r="I843" s="28">
        <v>21180000</v>
      </c>
      <c r="J843" s="29" t="s">
        <v>1310</v>
      </c>
      <c r="K843" s="29" t="s">
        <v>1311</v>
      </c>
      <c r="L843" s="29"/>
      <c r="M843" s="34"/>
    </row>
    <row r="844" spans="2:13" ht="30">
      <c r="B844" s="32" t="str">
        <f t="shared" si="91"/>
        <v>2</v>
      </c>
      <c r="C844" s="33" t="str">
        <f t="shared" si="92"/>
        <v>1</v>
      </c>
      <c r="D844" s="33" t="str">
        <f t="shared" si="93"/>
        <v>1</v>
      </c>
      <c r="E844" s="33" t="str">
        <f t="shared" si="94"/>
        <v>8</v>
      </c>
      <c r="F844" s="33" t="str">
        <f t="shared" si="95"/>
        <v>01</v>
      </c>
      <c r="G844" s="33" t="str">
        <f t="shared" si="96"/>
        <v>0</v>
      </c>
      <c r="H844" s="33" t="str">
        <f t="shared" si="97"/>
        <v>0</v>
      </c>
      <c r="I844" s="28">
        <v>21180100</v>
      </c>
      <c r="J844" s="29" t="s">
        <v>1312</v>
      </c>
      <c r="K844" s="29" t="s">
        <v>1313</v>
      </c>
      <c r="L844" s="29"/>
      <c r="M844" s="34"/>
    </row>
    <row r="845" spans="2:13" ht="30">
      <c r="B845" s="32" t="str">
        <f t="shared" si="91"/>
        <v>2</v>
      </c>
      <c r="C845" s="33" t="str">
        <f t="shared" si="92"/>
        <v>1</v>
      </c>
      <c r="D845" s="33" t="str">
        <f t="shared" si="93"/>
        <v>1</v>
      </c>
      <c r="E845" s="33" t="str">
        <f t="shared" si="94"/>
        <v>8</v>
      </c>
      <c r="F845" s="33" t="str">
        <f t="shared" si="95"/>
        <v>01</v>
      </c>
      <c r="G845" s="33" t="str">
        <f t="shared" si="96"/>
        <v>1</v>
      </c>
      <c r="H845" s="33" t="str">
        <f t="shared" si="97"/>
        <v>0</v>
      </c>
      <c r="I845" s="28">
        <v>21180110</v>
      </c>
      <c r="J845" s="29" t="s">
        <v>1314</v>
      </c>
      <c r="K845" s="29" t="s">
        <v>1315</v>
      </c>
      <c r="L845" s="29"/>
      <c r="M845" s="34"/>
    </row>
    <row r="846" spans="2:13" ht="30">
      <c r="B846" s="32" t="str">
        <f t="shared" si="91"/>
        <v>2</v>
      </c>
      <c r="C846" s="33" t="str">
        <f t="shared" si="92"/>
        <v>1</v>
      </c>
      <c r="D846" s="33" t="str">
        <f t="shared" si="93"/>
        <v>1</v>
      </c>
      <c r="E846" s="33" t="str">
        <f t="shared" si="94"/>
        <v>8</v>
      </c>
      <c r="F846" s="33" t="str">
        <f t="shared" si="95"/>
        <v>01</v>
      </c>
      <c r="G846" s="33" t="str">
        <f t="shared" si="96"/>
        <v>2</v>
      </c>
      <c r="H846" s="33" t="str">
        <f t="shared" si="97"/>
        <v>0</v>
      </c>
      <c r="I846" s="28">
        <v>21180120</v>
      </c>
      <c r="J846" s="29" t="s">
        <v>1316</v>
      </c>
      <c r="K846" s="29" t="s">
        <v>1317</v>
      </c>
      <c r="L846" s="29"/>
      <c r="M846" s="34"/>
    </row>
    <row r="847" spans="2:13" ht="30">
      <c r="B847" s="32" t="str">
        <f t="shared" si="91"/>
        <v>2</v>
      </c>
      <c r="C847" s="33" t="str">
        <f t="shared" si="92"/>
        <v>1</v>
      </c>
      <c r="D847" s="33" t="str">
        <f t="shared" si="93"/>
        <v>1</v>
      </c>
      <c r="E847" s="33" t="str">
        <f t="shared" si="94"/>
        <v>8</v>
      </c>
      <c r="F847" s="33" t="str">
        <f t="shared" si="95"/>
        <v>01</v>
      </c>
      <c r="G847" s="33" t="str">
        <f t="shared" si="96"/>
        <v>3</v>
      </c>
      <c r="H847" s="33" t="str">
        <f t="shared" si="97"/>
        <v>0</v>
      </c>
      <c r="I847" s="28">
        <v>21180130</v>
      </c>
      <c r="J847" s="29" t="s">
        <v>1318</v>
      </c>
      <c r="K847" s="29" t="s">
        <v>1319</v>
      </c>
      <c r="L847" s="29"/>
      <c r="M847" s="34"/>
    </row>
    <row r="848" spans="2:13" ht="30">
      <c r="B848" s="32" t="str">
        <f t="shared" si="91"/>
        <v>2</v>
      </c>
      <c r="C848" s="33" t="str">
        <f t="shared" si="92"/>
        <v>1</v>
      </c>
      <c r="D848" s="33" t="str">
        <f t="shared" si="93"/>
        <v>1</v>
      </c>
      <c r="E848" s="33" t="str">
        <f t="shared" si="94"/>
        <v>8</v>
      </c>
      <c r="F848" s="33" t="str">
        <f t="shared" si="95"/>
        <v>01</v>
      </c>
      <c r="G848" s="33" t="str">
        <f t="shared" si="96"/>
        <v>4</v>
      </c>
      <c r="H848" s="33" t="str">
        <f t="shared" si="97"/>
        <v>0</v>
      </c>
      <c r="I848" s="28">
        <v>21180140</v>
      </c>
      <c r="J848" s="29" t="s">
        <v>1320</v>
      </c>
      <c r="K848" s="29" t="s">
        <v>1321</v>
      </c>
      <c r="L848" s="29"/>
      <c r="M848" s="34"/>
    </row>
    <row r="849" spans="2:13" ht="30">
      <c r="B849" s="32" t="str">
        <f t="shared" si="91"/>
        <v>2</v>
      </c>
      <c r="C849" s="33" t="str">
        <f t="shared" si="92"/>
        <v>1</v>
      </c>
      <c r="D849" s="33" t="str">
        <f t="shared" si="93"/>
        <v>1</v>
      </c>
      <c r="E849" s="33" t="str">
        <f t="shared" si="94"/>
        <v>8</v>
      </c>
      <c r="F849" s="33" t="str">
        <f t="shared" si="95"/>
        <v>01</v>
      </c>
      <c r="G849" s="33" t="str">
        <f t="shared" si="96"/>
        <v>5</v>
      </c>
      <c r="H849" s="33" t="str">
        <f t="shared" si="97"/>
        <v>0</v>
      </c>
      <c r="I849" s="28">
        <v>21180150</v>
      </c>
      <c r="J849" s="29" t="s">
        <v>1322</v>
      </c>
      <c r="K849" s="29" t="s">
        <v>1323</v>
      </c>
      <c r="L849" s="29"/>
      <c r="M849" s="34"/>
    </row>
    <row r="850" spans="2:13" ht="30">
      <c r="B850" s="32" t="str">
        <f t="shared" si="91"/>
        <v>2</v>
      </c>
      <c r="C850" s="33" t="str">
        <f t="shared" si="92"/>
        <v>1</v>
      </c>
      <c r="D850" s="33" t="str">
        <f t="shared" si="93"/>
        <v>1</v>
      </c>
      <c r="E850" s="33" t="str">
        <f t="shared" si="94"/>
        <v>8</v>
      </c>
      <c r="F850" s="33" t="str">
        <f t="shared" si="95"/>
        <v>01</v>
      </c>
      <c r="G850" s="33" t="str">
        <f t="shared" si="96"/>
        <v>6</v>
      </c>
      <c r="H850" s="33" t="str">
        <f t="shared" si="97"/>
        <v>0</v>
      </c>
      <c r="I850" s="28">
        <v>21180160</v>
      </c>
      <c r="J850" s="29" t="s">
        <v>1324</v>
      </c>
      <c r="K850" s="29" t="s">
        <v>1325</v>
      </c>
      <c r="L850" s="29"/>
      <c r="M850" s="34"/>
    </row>
    <row r="851" spans="2:13" ht="30">
      <c r="B851" s="32" t="str">
        <f t="shared" si="91"/>
        <v>2</v>
      </c>
      <c r="C851" s="33" t="str">
        <f t="shared" si="92"/>
        <v>1</v>
      </c>
      <c r="D851" s="33" t="str">
        <f t="shared" si="93"/>
        <v>1</v>
      </c>
      <c r="E851" s="33" t="str">
        <f t="shared" si="94"/>
        <v>8</v>
      </c>
      <c r="F851" s="33" t="str">
        <f t="shared" si="95"/>
        <v>01</v>
      </c>
      <c r="G851" s="33" t="str">
        <f t="shared" si="96"/>
        <v>7</v>
      </c>
      <c r="H851" s="33" t="str">
        <f t="shared" si="97"/>
        <v>0</v>
      </c>
      <c r="I851" s="28">
        <v>21180170</v>
      </c>
      <c r="J851" s="29" t="s">
        <v>1326</v>
      </c>
      <c r="K851" s="29" t="s">
        <v>1327</v>
      </c>
      <c r="L851" s="29"/>
      <c r="M851" s="34"/>
    </row>
    <row r="852" spans="2:13" ht="30">
      <c r="B852" s="32" t="str">
        <f t="shared" si="91"/>
        <v>2</v>
      </c>
      <c r="C852" s="33" t="str">
        <f t="shared" si="92"/>
        <v>1</v>
      </c>
      <c r="D852" s="33" t="str">
        <f t="shared" si="93"/>
        <v>1</v>
      </c>
      <c r="E852" s="33" t="str">
        <f t="shared" si="94"/>
        <v>9</v>
      </c>
      <c r="F852" s="33" t="str">
        <f t="shared" si="95"/>
        <v>00</v>
      </c>
      <c r="G852" s="33" t="str">
        <f t="shared" si="96"/>
        <v>0</v>
      </c>
      <c r="H852" s="33" t="str">
        <f t="shared" si="97"/>
        <v>0</v>
      </c>
      <c r="I852" s="28">
        <v>21190000</v>
      </c>
      <c r="J852" s="29" t="s">
        <v>1328</v>
      </c>
      <c r="K852" s="29" t="s">
        <v>1329</v>
      </c>
      <c r="L852" s="29"/>
      <c r="M852" s="34"/>
    </row>
    <row r="853" spans="2:13" ht="30">
      <c r="B853" s="32" t="str">
        <f t="shared" si="91"/>
        <v>2</v>
      </c>
      <c r="C853" s="33" t="str">
        <f t="shared" si="92"/>
        <v>1</v>
      </c>
      <c r="D853" s="33" t="str">
        <f t="shared" si="93"/>
        <v>1</v>
      </c>
      <c r="E853" s="33" t="str">
        <f t="shared" si="94"/>
        <v>9</v>
      </c>
      <c r="F853" s="33" t="str">
        <f t="shared" si="95"/>
        <v>00</v>
      </c>
      <c r="G853" s="33" t="str">
        <f t="shared" si="96"/>
        <v>1</v>
      </c>
      <c r="H853" s="33" t="str">
        <f t="shared" si="97"/>
        <v>0</v>
      </c>
      <c r="I853" s="28">
        <v>21190010</v>
      </c>
      <c r="J853" s="29" t="s">
        <v>1328</v>
      </c>
      <c r="K853" s="29" t="s">
        <v>1329</v>
      </c>
      <c r="L853" s="29"/>
      <c r="M853" s="34"/>
    </row>
    <row r="854" spans="2:13" ht="45">
      <c r="B854" s="32" t="str">
        <f t="shared" si="91"/>
        <v>2</v>
      </c>
      <c r="C854" s="33" t="str">
        <f t="shared" si="92"/>
        <v>1</v>
      </c>
      <c r="D854" s="33" t="str">
        <f t="shared" si="93"/>
        <v>2</v>
      </c>
      <c r="E854" s="33" t="str">
        <f t="shared" si="94"/>
        <v>0</v>
      </c>
      <c r="F854" s="33" t="str">
        <f t="shared" si="95"/>
        <v>00</v>
      </c>
      <c r="G854" s="33" t="str">
        <f t="shared" si="96"/>
        <v>0</v>
      </c>
      <c r="H854" s="33" t="str">
        <f t="shared" si="97"/>
        <v>0</v>
      </c>
      <c r="I854" s="28">
        <v>21200000</v>
      </c>
      <c r="J854" s="29" t="s">
        <v>1330</v>
      </c>
      <c r="K854" s="29" t="s">
        <v>1331</v>
      </c>
      <c r="L854" s="29"/>
      <c r="M854" s="34"/>
    </row>
    <row r="855" spans="2:13" ht="135">
      <c r="B855" s="32" t="str">
        <f t="shared" si="91"/>
        <v>2</v>
      </c>
      <c r="C855" s="33" t="str">
        <f t="shared" si="92"/>
        <v>1</v>
      </c>
      <c r="D855" s="33" t="str">
        <f t="shared" si="93"/>
        <v>2</v>
      </c>
      <c r="E855" s="33" t="str">
        <f t="shared" si="94"/>
        <v>1</v>
      </c>
      <c r="F855" s="33" t="str">
        <f t="shared" si="95"/>
        <v>00</v>
      </c>
      <c r="G855" s="33" t="str">
        <f t="shared" si="96"/>
        <v>0</v>
      </c>
      <c r="H855" s="33" t="str">
        <f t="shared" si="97"/>
        <v>0</v>
      </c>
      <c r="I855" s="28">
        <v>21210000</v>
      </c>
      <c r="J855" s="29" t="s">
        <v>1332</v>
      </c>
      <c r="K855" s="29" t="s">
        <v>1333</v>
      </c>
      <c r="L855" s="29"/>
      <c r="M855" s="34"/>
    </row>
    <row r="856" spans="2:13" ht="90">
      <c r="B856" s="32" t="str">
        <f t="shared" si="91"/>
        <v>2</v>
      </c>
      <c r="C856" s="33" t="str">
        <f t="shared" si="92"/>
        <v>1</v>
      </c>
      <c r="D856" s="33" t="str">
        <f t="shared" si="93"/>
        <v>2</v>
      </c>
      <c r="E856" s="33" t="str">
        <f t="shared" si="94"/>
        <v>1</v>
      </c>
      <c r="F856" s="33" t="str">
        <f t="shared" si="95"/>
        <v>00</v>
      </c>
      <c r="G856" s="33" t="str">
        <f t="shared" si="96"/>
        <v>1</v>
      </c>
      <c r="H856" s="33" t="str">
        <f t="shared" si="97"/>
        <v>0</v>
      </c>
      <c r="I856" s="28">
        <v>21210010</v>
      </c>
      <c r="J856" s="29" t="s">
        <v>1332</v>
      </c>
      <c r="K856" s="29" t="s">
        <v>1334</v>
      </c>
      <c r="L856" s="29"/>
      <c r="M856" s="34"/>
    </row>
    <row r="857" spans="2:13" ht="105">
      <c r="B857" s="32" t="str">
        <f t="shared" si="91"/>
        <v>2</v>
      </c>
      <c r="C857" s="33" t="str">
        <f t="shared" si="92"/>
        <v>1</v>
      </c>
      <c r="D857" s="33" t="str">
        <f t="shared" si="93"/>
        <v>2</v>
      </c>
      <c r="E857" s="33" t="str">
        <f t="shared" si="94"/>
        <v>1</v>
      </c>
      <c r="F857" s="33" t="str">
        <f t="shared" si="95"/>
        <v>00</v>
      </c>
      <c r="G857" s="33" t="str">
        <f t="shared" si="96"/>
        <v>2</v>
      </c>
      <c r="H857" s="33" t="str">
        <f t="shared" si="97"/>
        <v>0</v>
      </c>
      <c r="I857" s="28">
        <v>21210020</v>
      </c>
      <c r="J857" s="29" t="s">
        <v>1335</v>
      </c>
      <c r="K857" s="29" t="s">
        <v>1336</v>
      </c>
      <c r="L857" s="29"/>
      <c r="M857" s="34"/>
    </row>
    <row r="858" spans="2:13" ht="75" customHeight="1">
      <c r="B858" s="32" t="str">
        <f t="shared" si="91"/>
        <v>2</v>
      </c>
      <c r="C858" s="33" t="str">
        <f t="shared" si="92"/>
        <v>1</v>
      </c>
      <c r="D858" s="33" t="str">
        <f t="shared" si="93"/>
        <v>2</v>
      </c>
      <c r="E858" s="33" t="str">
        <f t="shared" si="94"/>
        <v>2</v>
      </c>
      <c r="F858" s="33" t="str">
        <f t="shared" si="95"/>
        <v>00</v>
      </c>
      <c r="G858" s="33" t="str">
        <f t="shared" si="96"/>
        <v>0</v>
      </c>
      <c r="H858" s="33" t="str">
        <f t="shared" si="97"/>
        <v>0</v>
      </c>
      <c r="I858" s="28">
        <v>21220000</v>
      </c>
      <c r="J858" s="29" t="s">
        <v>1337</v>
      </c>
      <c r="K858" s="29" t="s">
        <v>1338</v>
      </c>
      <c r="L858" s="29"/>
      <c r="M858" s="34"/>
    </row>
    <row r="859" spans="2:13" ht="75" customHeight="1">
      <c r="B859" s="32" t="str">
        <f t="shared" si="91"/>
        <v>2</v>
      </c>
      <c r="C859" s="33" t="str">
        <f t="shared" si="92"/>
        <v>1</v>
      </c>
      <c r="D859" s="33" t="str">
        <f t="shared" si="93"/>
        <v>2</v>
      </c>
      <c r="E859" s="33" t="str">
        <f t="shared" si="94"/>
        <v>2</v>
      </c>
      <c r="F859" s="33" t="str">
        <f t="shared" si="95"/>
        <v>00</v>
      </c>
      <c r="G859" s="33" t="str">
        <f t="shared" si="96"/>
        <v>1</v>
      </c>
      <c r="H859" s="33" t="str">
        <f t="shared" si="97"/>
        <v>0</v>
      </c>
      <c r="I859" s="28">
        <v>21220010</v>
      </c>
      <c r="J859" s="29" t="s">
        <v>1337</v>
      </c>
      <c r="K859" s="29" t="s">
        <v>1338</v>
      </c>
      <c r="L859" s="29"/>
      <c r="M859" s="34"/>
    </row>
    <row r="860" spans="2:13" ht="75">
      <c r="B860" s="32" t="str">
        <f t="shared" si="91"/>
        <v>2</v>
      </c>
      <c r="C860" s="33" t="str">
        <f t="shared" si="92"/>
        <v>1</v>
      </c>
      <c r="D860" s="33" t="str">
        <f t="shared" si="93"/>
        <v>2</v>
      </c>
      <c r="E860" s="33" t="str">
        <f t="shared" si="94"/>
        <v>8</v>
      </c>
      <c r="F860" s="33" t="str">
        <f t="shared" si="95"/>
        <v>00</v>
      </c>
      <c r="G860" s="33" t="str">
        <f t="shared" si="96"/>
        <v>0</v>
      </c>
      <c r="H860" s="33" t="str">
        <f t="shared" si="97"/>
        <v>0</v>
      </c>
      <c r="I860" s="28">
        <v>21280000</v>
      </c>
      <c r="J860" s="29" t="s">
        <v>1339</v>
      </c>
      <c r="K860" s="29" t="s">
        <v>1340</v>
      </c>
      <c r="L860" s="29"/>
      <c r="M860" s="34"/>
    </row>
    <row r="861" spans="2:13" ht="30">
      <c r="B861" s="32" t="str">
        <f t="shared" si="91"/>
        <v>2</v>
      </c>
      <c r="C861" s="33" t="str">
        <f t="shared" si="92"/>
        <v>1</v>
      </c>
      <c r="D861" s="33" t="str">
        <f t="shared" si="93"/>
        <v>2</v>
      </c>
      <c r="E861" s="33" t="str">
        <f t="shared" si="94"/>
        <v>8</v>
      </c>
      <c r="F861" s="33" t="str">
        <f t="shared" si="95"/>
        <v>01</v>
      </c>
      <c r="G861" s="33" t="str">
        <f t="shared" si="96"/>
        <v>0</v>
      </c>
      <c r="H861" s="33" t="str">
        <f t="shared" si="97"/>
        <v>0</v>
      </c>
      <c r="I861" s="28">
        <v>21280100</v>
      </c>
      <c r="J861" s="29" t="s">
        <v>1341</v>
      </c>
      <c r="K861" s="29" t="s">
        <v>1342</v>
      </c>
      <c r="L861" s="29"/>
      <c r="M861" s="34"/>
    </row>
    <row r="862" spans="2:13" ht="30">
      <c r="B862" s="32" t="str">
        <f t="shared" si="91"/>
        <v>2</v>
      </c>
      <c r="C862" s="33" t="str">
        <f t="shared" si="92"/>
        <v>1</v>
      </c>
      <c r="D862" s="33" t="str">
        <f t="shared" si="93"/>
        <v>2</v>
      </c>
      <c r="E862" s="33" t="str">
        <f t="shared" si="94"/>
        <v>8</v>
      </c>
      <c r="F862" s="33" t="str">
        <f t="shared" si="95"/>
        <v>01</v>
      </c>
      <c r="G862" s="33" t="str">
        <f t="shared" si="96"/>
        <v>1</v>
      </c>
      <c r="H862" s="33" t="str">
        <f t="shared" si="97"/>
        <v>0</v>
      </c>
      <c r="I862" s="28">
        <v>21280110</v>
      </c>
      <c r="J862" s="29" t="s">
        <v>1343</v>
      </c>
      <c r="K862" s="29" t="s">
        <v>1344</v>
      </c>
      <c r="L862" s="29"/>
      <c r="M862" s="34"/>
    </row>
    <row r="863" spans="2:13" ht="30">
      <c r="B863" s="32" t="str">
        <f t="shared" si="91"/>
        <v>2</v>
      </c>
      <c r="C863" s="33" t="str">
        <f t="shared" si="92"/>
        <v>1</v>
      </c>
      <c r="D863" s="33" t="str">
        <f t="shared" si="93"/>
        <v>2</v>
      </c>
      <c r="E863" s="33" t="str">
        <f t="shared" si="94"/>
        <v>8</v>
      </c>
      <c r="F863" s="33" t="str">
        <f t="shared" si="95"/>
        <v>01</v>
      </c>
      <c r="G863" s="33" t="str">
        <f t="shared" si="96"/>
        <v>2</v>
      </c>
      <c r="H863" s="33" t="str">
        <f t="shared" si="97"/>
        <v>0</v>
      </c>
      <c r="I863" s="28">
        <v>21280120</v>
      </c>
      <c r="J863" s="29" t="s">
        <v>1345</v>
      </c>
      <c r="K863" s="29" t="s">
        <v>1346</v>
      </c>
      <c r="L863" s="29"/>
      <c r="M863" s="34"/>
    </row>
    <row r="864" spans="2:13" ht="30">
      <c r="B864" s="32" t="str">
        <f t="shared" si="91"/>
        <v>2</v>
      </c>
      <c r="C864" s="33" t="str">
        <f t="shared" si="92"/>
        <v>1</v>
      </c>
      <c r="D864" s="33" t="str">
        <f t="shared" si="93"/>
        <v>2</v>
      </c>
      <c r="E864" s="33" t="str">
        <f t="shared" si="94"/>
        <v>8</v>
      </c>
      <c r="F864" s="33" t="str">
        <f t="shared" si="95"/>
        <v>01</v>
      </c>
      <c r="G864" s="33" t="str">
        <f t="shared" si="96"/>
        <v>3</v>
      </c>
      <c r="H864" s="33" t="str">
        <f t="shared" si="97"/>
        <v>0</v>
      </c>
      <c r="I864" s="28">
        <v>21280130</v>
      </c>
      <c r="J864" s="29" t="s">
        <v>1347</v>
      </c>
      <c r="K864" s="29" t="s">
        <v>1348</v>
      </c>
      <c r="L864" s="29"/>
      <c r="M864" s="34"/>
    </row>
    <row r="865" spans="2:13" ht="30">
      <c r="B865" s="32" t="str">
        <f t="shared" si="91"/>
        <v>2</v>
      </c>
      <c r="C865" s="33" t="str">
        <f t="shared" si="92"/>
        <v>1</v>
      </c>
      <c r="D865" s="33" t="str">
        <f t="shared" si="93"/>
        <v>2</v>
      </c>
      <c r="E865" s="33" t="str">
        <f t="shared" si="94"/>
        <v>8</v>
      </c>
      <c r="F865" s="33" t="str">
        <f t="shared" si="95"/>
        <v>01</v>
      </c>
      <c r="G865" s="33" t="str">
        <f t="shared" si="96"/>
        <v>4</v>
      </c>
      <c r="H865" s="33" t="str">
        <f t="shared" si="97"/>
        <v>0</v>
      </c>
      <c r="I865" s="28">
        <v>21280140</v>
      </c>
      <c r="J865" s="29" t="s">
        <v>1349</v>
      </c>
      <c r="K865" s="29" t="s">
        <v>1350</v>
      </c>
      <c r="L865" s="29"/>
      <c r="M865" s="34"/>
    </row>
    <row r="866" spans="2:13" ht="30">
      <c r="B866" s="32" t="str">
        <f t="shared" si="91"/>
        <v>2</v>
      </c>
      <c r="C866" s="33" t="str">
        <f t="shared" si="92"/>
        <v>1</v>
      </c>
      <c r="D866" s="33" t="str">
        <f t="shared" si="93"/>
        <v>2</v>
      </c>
      <c r="E866" s="33" t="str">
        <f t="shared" si="94"/>
        <v>8</v>
      </c>
      <c r="F866" s="33" t="str">
        <f t="shared" si="95"/>
        <v>01</v>
      </c>
      <c r="G866" s="33" t="str">
        <f t="shared" si="96"/>
        <v>5</v>
      </c>
      <c r="H866" s="33" t="str">
        <f t="shared" si="97"/>
        <v>0</v>
      </c>
      <c r="I866" s="28">
        <v>21280150</v>
      </c>
      <c r="J866" s="29" t="s">
        <v>1351</v>
      </c>
      <c r="K866" s="29" t="s">
        <v>1352</v>
      </c>
      <c r="L866" s="29"/>
      <c r="M866" s="34"/>
    </row>
    <row r="867" spans="2:13" ht="30">
      <c r="B867" s="32" t="str">
        <f t="shared" si="91"/>
        <v>2</v>
      </c>
      <c r="C867" s="33" t="str">
        <f t="shared" si="92"/>
        <v>1</v>
      </c>
      <c r="D867" s="33" t="str">
        <f t="shared" si="93"/>
        <v>2</v>
      </c>
      <c r="E867" s="33" t="str">
        <f t="shared" si="94"/>
        <v>8</v>
      </c>
      <c r="F867" s="33" t="str">
        <f t="shared" si="95"/>
        <v>01</v>
      </c>
      <c r="G867" s="33" t="str">
        <f t="shared" si="96"/>
        <v>6</v>
      </c>
      <c r="H867" s="33" t="str">
        <f t="shared" si="97"/>
        <v>0</v>
      </c>
      <c r="I867" s="28">
        <v>21280160</v>
      </c>
      <c r="J867" s="29" t="s">
        <v>1353</v>
      </c>
      <c r="K867" s="29" t="s">
        <v>1354</v>
      </c>
      <c r="L867" s="29"/>
      <c r="M867" s="34"/>
    </row>
    <row r="868" spans="2:13" ht="30">
      <c r="B868" s="32" t="str">
        <f t="shared" si="91"/>
        <v>2</v>
      </c>
      <c r="C868" s="33" t="str">
        <f t="shared" si="92"/>
        <v>1</v>
      </c>
      <c r="D868" s="33" t="str">
        <f t="shared" si="93"/>
        <v>2</v>
      </c>
      <c r="E868" s="33" t="str">
        <f t="shared" si="94"/>
        <v>9</v>
      </c>
      <c r="F868" s="33" t="str">
        <f t="shared" si="95"/>
        <v>00</v>
      </c>
      <c r="G868" s="33" t="str">
        <f t="shared" si="96"/>
        <v>0</v>
      </c>
      <c r="H868" s="33" t="str">
        <f t="shared" si="97"/>
        <v>0</v>
      </c>
      <c r="I868" s="28">
        <v>21290000</v>
      </c>
      <c r="J868" s="29" t="s">
        <v>1355</v>
      </c>
      <c r="K868" s="29" t="s">
        <v>1356</v>
      </c>
      <c r="L868" s="29"/>
      <c r="M868" s="34"/>
    </row>
    <row r="869" spans="2:13" ht="30">
      <c r="B869" s="32" t="str">
        <f t="shared" si="91"/>
        <v>2</v>
      </c>
      <c r="C869" s="33" t="str">
        <f t="shared" si="92"/>
        <v>1</v>
      </c>
      <c r="D869" s="33" t="str">
        <f t="shared" si="93"/>
        <v>2</v>
      </c>
      <c r="E869" s="33" t="str">
        <f t="shared" si="94"/>
        <v>9</v>
      </c>
      <c r="F869" s="33" t="str">
        <f t="shared" si="95"/>
        <v>00</v>
      </c>
      <c r="G869" s="33" t="str">
        <f t="shared" si="96"/>
        <v>1</v>
      </c>
      <c r="H869" s="33" t="str">
        <f t="shared" si="97"/>
        <v>0</v>
      </c>
      <c r="I869" s="28">
        <v>21290010</v>
      </c>
      <c r="J869" s="29" t="s">
        <v>1355</v>
      </c>
      <c r="K869" s="29" t="s">
        <v>1356</v>
      </c>
      <c r="L869" s="29"/>
      <c r="M869" s="34"/>
    </row>
    <row r="870" spans="2:13" ht="30">
      <c r="B870" s="32" t="str">
        <f t="shared" si="91"/>
        <v>2</v>
      </c>
      <c r="C870" s="33" t="str">
        <f t="shared" si="92"/>
        <v>2</v>
      </c>
      <c r="D870" s="33" t="str">
        <f t="shared" si="93"/>
        <v>0</v>
      </c>
      <c r="E870" s="33" t="str">
        <f t="shared" si="94"/>
        <v>0</v>
      </c>
      <c r="F870" s="33" t="str">
        <f t="shared" si="95"/>
        <v>00</v>
      </c>
      <c r="G870" s="33" t="str">
        <f t="shared" si="96"/>
        <v>0</v>
      </c>
      <c r="H870" s="33" t="str">
        <f t="shared" si="97"/>
        <v>0</v>
      </c>
      <c r="I870" s="28">
        <v>22000000</v>
      </c>
      <c r="J870" s="29" t="s">
        <v>1357</v>
      </c>
      <c r="K870" s="29" t="s">
        <v>1358</v>
      </c>
      <c r="L870" s="29"/>
      <c r="M870" s="34"/>
    </row>
    <row r="871" spans="2:13" ht="30">
      <c r="B871" s="32" t="str">
        <f t="shared" si="91"/>
        <v>2</v>
      </c>
      <c r="C871" s="33" t="str">
        <f t="shared" si="92"/>
        <v>2</v>
      </c>
      <c r="D871" s="33" t="str">
        <f t="shared" si="93"/>
        <v>1</v>
      </c>
      <c r="E871" s="33" t="str">
        <f t="shared" si="94"/>
        <v>0</v>
      </c>
      <c r="F871" s="33" t="str">
        <f t="shared" si="95"/>
        <v>00</v>
      </c>
      <c r="G871" s="33" t="str">
        <f t="shared" si="96"/>
        <v>0</v>
      </c>
      <c r="H871" s="33" t="str">
        <f t="shared" si="97"/>
        <v>0</v>
      </c>
      <c r="I871" s="28">
        <v>22100000</v>
      </c>
      <c r="J871" s="29" t="s">
        <v>1359</v>
      </c>
      <c r="K871" s="29" t="s">
        <v>1360</v>
      </c>
      <c r="L871" s="29"/>
      <c r="M871" s="34"/>
    </row>
    <row r="872" spans="2:13" ht="30">
      <c r="B872" s="32" t="str">
        <f t="shared" si="91"/>
        <v>2</v>
      </c>
      <c r="C872" s="33" t="str">
        <f t="shared" si="92"/>
        <v>2</v>
      </c>
      <c r="D872" s="33" t="str">
        <f t="shared" si="93"/>
        <v>1</v>
      </c>
      <c r="E872" s="33" t="str">
        <f t="shared" si="94"/>
        <v>1</v>
      </c>
      <c r="F872" s="33" t="str">
        <f t="shared" si="95"/>
        <v>00</v>
      </c>
      <c r="G872" s="33" t="str">
        <f t="shared" si="96"/>
        <v>0</v>
      </c>
      <c r="H872" s="33" t="str">
        <f t="shared" si="97"/>
        <v>0</v>
      </c>
      <c r="I872" s="28">
        <v>22110000</v>
      </c>
      <c r="J872" s="29" t="s">
        <v>1361</v>
      </c>
      <c r="K872" s="29" t="s">
        <v>1362</v>
      </c>
      <c r="L872" s="29"/>
      <c r="M872" s="34"/>
    </row>
    <row r="873" spans="2:13" ht="30">
      <c r="B873" s="32" t="str">
        <f t="shared" si="91"/>
        <v>2</v>
      </c>
      <c r="C873" s="33" t="str">
        <f t="shared" si="92"/>
        <v>2</v>
      </c>
      <c r="D873" s="33" t="str">
        <f t="shared" si="93"/>
        <v>1</v>
      </c>
      <c r="E873" s="33" t="str">
        <f t="shared" si="94"/>
        <v>1</v>
      </c>
      <c r="F873" s="33" t="str">
        <f t="shared" si="95"/>
        <v>00</v>
      </c>
      <c r="G873" s="33" t="str">
        <f t="shared" si="96"/>
        <v>1</v>
      </c>
      <c r="H873" s="33" t="str">
        <f t="shared" si="97"/>
        <v>0</v>
      </c>
      <c r="I873" s="28">
        <v>22110010</v>
      </c>
      <c r="J873" s="29" t="s">
        <v>1361</v>
      </c>
      <c r="K873" s="29" t="s">
        <v>1362</v>
      </c>
      <c r="L873" s="29"/>
      <c r="M873" s="34"/>
    </row>
    <row r="874" spans="2:13" ht="30">
      <c r="B874" s="32" t="str">
        <f t="shared" si="91"/>
        <v>2</v>
      </c>
      <c r="C874" s="33" t="str">
        <f t="shared" si="92"/>
        <v>2</v>
      </c>
      <c r="D874" s="33" t="str">
        <f t="shared" si="93"/>
        <v>1</v>
      </c>
      <c r="E874" s="33" t="str">
        <f t="shared" si="94"/>
        <v>2</v>
      </c>
      <c r="F874" s="33" t="str">
        <f t="shared" si="95"/>
        <v>00</v>
      </c>
      <c r="G874" s="33" t="str">
        <f t="shared" si="96"/>
        <v>0</v>
      </c>
      <c r="H874" s="33" t="str">
        <f t="shared" si="97"/>
        <v>0</v>
      </c>
      <c r="I874" s="28">
        <v>22120000</v>
      </c>
      <c r="J874" s="29" t="s">
        <v>1363</v>
      </c>
      <c r="K874" s="29" t="s">
        <v>1364</v>
      </c>
      <c r="L874" s="29"/>
      <c r="M874" s="34"/>
    </row>
    <row r="875" spans="2:13" ht="105">
      <c r="B875" s="32" t="str">
        <f t="shared" si="91"/>
        <v>2</v>
      </c>
      <c r="C875" s="33" t="str">
        <f t="shared" si="92"/>
        <v>2</v>
      </c>
      <c r="D875" s="33" t="str">
        <f t="shared" si="93"/>
        <v>1</v>
      </c>
      <c r="E875" s="33" t="str">
        <f t="shared" si="94"/>
        <v>2</v>
      </c>
      <c r="F875" s="33" t="str">
        <f t="shared" si="95"/>
        <v>01</v>
      </c>
      <c r="G875" s="33" t="str">
        <f t="shared" si="96"/>
        <v>0</v>
      </c>
      <c r="H875" s="33" t="str">
        <f t="shared" si="97"/>
        <v>0</v>
      </c>
      <c r="I875" s="28">
        <v>22120100</v>
      </c>
      <c r="J875" s="29" t="s">
        <v>1365</v>
      </c>
      <c r="K875" s="29" t="s">
        <v>1366</v>
      </c>
      <c r="L875" s="29"/>
      <c r="M875" s="34"/>
    </row>
    <row r="876" spans="2:13" ht="105">
      <c r="B876" s="32" t="str">
        <f t="shared" si="91"/>
        <v>2</v>
      </c>
      <c r="C876" s="33" t="str">
        <f t="shared" si="92"/>
        <v>2</v>
      </c>
      <c r="D876" s="33" t="str">
        <f t="shared" si="93"/>
        <v>1</v>
      </c>
      <c r="E876" s="33" t="str">
        <f t="shared" si="94"/>
        <v>2</v>
      </c>
      <c r="F876" s="33" t="str">
        <f t="shared" si="95"/>
        <v>01</v>
      </c>
      <c r="G876" s="33" t="str">
        <f t="shared" si="96"/>
        <v>1</v>
      </c>
      <c r="H876" s="33" t="str">
        <f t="shared" si="97"/>
        <v>0</v>
      </c>
      <c r="I876" s="28">
        <v>22120110</v>
      </c>
      <c r="J876" s="29" t="s">
        <v>1365</v>
      </c>
      <c r="K876" s="29" t="s">
        <v>1366</v>
      </c>
      <c r="L876" s="29"/>
      <c r="M876" s="34"/>
    </row>
    <row r="877" spans="2:13" ht="60">
      <c r="B877" s="32" t="str">
        <f t="shared" si="91"/>
        <v>2</v>
      </c>
      <c r="C877" s="33" t="str">
        <f t="shared" si="92"/>
        <v>2</v>
      </c>
      <c r="D877" s="33" t="str">
        <f t="shared" si="93"/>
        <v>1</v>
      </c>
      <c r="E877" s="33" t="str">
        <f t="shared" si="94"/>
        <v>2</v>
      </c>
      <c r="F877" s="33" t="str">
        <f t="shared" si="95"/>
        <v>02</v>
      </c>
      <c r="G877" s="33" t="str">
        <f t="shared" si="96"/>
        <v>0</v>
      </c>
      <c r="H877" s="33" t="str">
        <f t="shared" si="97"/>
        <v>0</v>
      </c>
      <c r="I877" s="28">
        <v>22120200</v>
      </c>
      <c r="J877" s="29" t="s">
        <v>1367</v>
      </c>
      <c r="K877" s="29" t="s">
        <v>1368</v>
      </c>
      <c r="L877" s="29"/>
      <c r="M877" s="34"/>
    </row>
    <row r="878" spans="2:13" ht="60">
      <c r="B878" s="32" t="str">
        <f t="shared" si="91"/>
        <v>2</v>
      </c>
      <c r="C878" s="33" t="str">
        <f t="shared" si="92"/>
        <v>2</v>
      </c>
      <c r="D878" s="33" t="str">
        <f t="shared" si="93"/>
        <v>1</v>
      </c>
      <c r="E878" s="33" t="str">
        <f t="shared" si="94"/>
        <v>2</v>
      </c>
      <c r="F878" s="33" t="str">
        <f t="shared" si="95"/>
        <v>02</v>
      </c>
      <c r="G878" s="33" t="str">
        <f t="shared" si="96"/>
        <v>1</v>
      </c>
      <c r="H878" s="33" t="str">
        <f t="shared" si="97"/>
        <v>0</v>
      </c>
      <c r="I878" s="28">
        <v>22120210</v>
      </c>
      <c r="J878" s="29" t="s">
        <v>1367</v>
      </c>
      <c r="K878" s="29" t="s">
        <v>1368</v>
      </c>
      <c r="L878" s="29"/>
      <c r="M878" s="34"/>
    </row>
    <row r="879" spans="2:13" ht="60">
      <c r="B879" s="32" t="str">
        <f t="shared" si="91"/>
        <v>2</v>
      </c>
      <c r="C879" s="33" t="str">
        <f t="shared" si="92"/>
        <v>2</v>
      </c>
      <c r="D879" s="33" t="str">
        <f t="shared" si="93"/>
        <v>1</v>
      </c>
      <c r="E879" s="33" t="str">
        <f t="shared" si="94"/>
        <v>2</v>
      </c>
      <c r="F879" s="33" t="str">
        <f t="shared" si="95"/>
        <v>03</v>
      </c>
      <c r="G879" s="33" t="str">
        <f t="shared" si="96"/>
        <v>0</v>
      </c>
      <c r="H879" s="33" t="str">
        <f t="shared" si="97"/>
        <v>0</v>
      </c>
      <c r="I879" s="28">
        <v>22120300</v>
      </c>
      <c r="J879" s="29" t="s">
        <v>1369</v>
      </c>
      <c r="K879" s="29" t="s">
        <v>1370</v>
      </c>
      <c r="L879" s="29"/>
      <c r="M879" s="34"/>
    </row>
    <row r="880" spans="2:13" ht="60">
      <c r="B880" s="32" t="str">
        <f t="shared" si="91"/>
        <v>2</v>
      </c>
      <c r="C880" s="33" t="str">
        <f t="shared" si="92"/>
        <v>2</v>
      </c>
      <c r="D880" s="33" t="str">
        <f t="shared" si="93"/>
        <v>1</v>
      </c>
      <c r="E880" s="33" t="str">
        <f t="shared" si="94"/>
        <v>2</v>
      </c>
      <c r="F880" s="33" t="str">
        <f t="shared" si="95"/>
        <v>03</v>
      </c>
      <c r="G880" s="33" t="str">
        <f t="shared" si="96"/>
        <v>1</v>
      </c>
      <c r="H880" s="33" t="str">
        <f t="shared" si="97"/>
        <v>0</v>
      </c>
      <c r="I880" s="28">
        <v>22120310</v>
      </c>
      <c r="J880" s="29" t="s">
        <v>1369</v>
      </c>
      <c r="K880" s="29" t="s">
        <v>1370</v>
      </c>
      <c r="L880" s="29"/>
      <c r="M880" s="34"/>
    </row>
    <row r="881" spans="2:13" ht="45">
      <c r="B881" s="32" t="str">
        <f t="shared" si="91"/>
        <v>2</v>
      </c>
      <c r="C881" s="33" t="str">
        <f t="shared" si="92"/>
        <v>2</v>
      </c>
      <c r="D881" s="33" t="str">
        <f t="shared" si="93"/>
        <v>1</v>
      </c>
      <c r="E881" s="33" t="str">
        <f t="shared" si="94"/>
        <v>2</v>
      </c>
      <c r="F881" s="33" t="str">
        <f t="shared" si="95"/>
        <v>04</v>
      </c>
      <c r="G881" s="33" t="str">
        <f t="shared" si="96"/>
        <v>0</v>
      </c>
      <c r="H881" s="33" t="str">
        <f t="shared" si="97"/>
        <v>0</v>
      </c>
      <c r="I881" s="28">
        <v>22120400</v>
      </c>
      <c r="J881" s="29" t="s">
        <v>1371</v>
      </c>
      <c r="K881" s="29" t="s">
        <v>1372</v>
      </c>
      <c r="L881" s="29"/>
      <c r="M881" s="34"/>
    </row>
    <row r="882" spans="2:13" ht="45">
      <c r="B882" s="32" t="str">
        <f t="shared" si="91"/>
        <v>2</v>
      </c>
      <c r="C882" s="33" t="str">
        <f t="shared" si="92"/>
        <v>2</v>
      </c>
      <c r="D882" s="33" t="str">
        <f t="shared" si="93"/>
        <v>1</v>
      </c>
      <c r="E882" s="33" t="str">
        <f t="shared" si="94"/>
        <v>2</v>
      </c>
      <c r="F882" s="33" t="str">
        <f t="shared" si="95"/>
        <v>04</v>
      </c>
      <c r="G882" s="33" t="str">
        <f t="shared" si="96"/>
        <v>1</v>
      </c>
      <c r="H882" s="33" t="str">
        <f t="shared" si="97"/>
        <v>0</v>
      </c>
      <c r="I882" s="28">
        <v>22120410</v>
      </c>
      <c r="J882" s="29" t="s">
        <v>1371</v>
      </c>
      <c r="K882" s="29" t="s">
        <v>1372</v>
      </c>
      <c r="L882" s="29"/>
      <c r="M882" s="34"/>
    </row>
    <row r="883" spans="2:13" ht="45">
      <c r="B883" s="32" t="str">
        <f t="shared" si="91"/>
        <v>2</v>
      </c>
      <c r="C883" s="33" t="str">
        <f t="shared" si="92"/>
        <v>2</v>
      </c>
      <c r="D883" s="33" t="str">
        <f t="shared" si="93"/>
        <v>1</v>
      </c>
      <c r="E883" s="33" t="str">
        <f t="shared" si="94"/>
        <v>3</v>
      </c>
      <c r="F883" s="33" t="str">
        <f t="shared" si="95"/>
        <v>00</v>
      </c>
      <c r="G883" s="33" t="str">
        <f t="shared" si="96"/>
        <v>0</v>
      </c>
      <c r="H883" s="33" t="str">
        <f t="shared" si="97"/>
        <v>0</v>
      </c>
      <c r="I883" s="28">
        <v>22130000</v>
      </c>
      <c r="J883" s="29" t="s">
        <v>1373</v>
      </c>
      <c r="K883" s="29" t="s">
        <v>1374</v>
      </c>
      <c r="L883" s="29"/>
      <c r="M883" s="34"/>
    </row>
    <row r="884" spans="2:13" ht="45">
      <c r="B884" s="32" t="str">
        <f t="shared" si="91"/>
        <v>2</v>
      </c>
      <c r="C884" s="33" t="str">
        <f t="shared" si="92"/>
        <v>2</v>
      </c>
      <c r="D884" s="33" t="str">
        <f t="shared" si="93"/>
        <v>1</v>
      </c>
      <c r="E884" s="33" t="str">
        <f t="shared" si="94"/>
        <v>3</v>
      </c>
      <c r="F884" s="33" t="str">
        <f t="shared" si="95"/>
        <v>00</v>
      </c>
      <c r="G884" s="33" t="str">
        <f t="shared" si="96"/>
        <v>1</v>
      </c>
      <c r="H884" s="33" t="str">
        <f t="shared" si="97"/>
        <v>0</v>
      </c>
      <c r="I884" s="28">
        <v>22130010</v>
      </c>
      <c r="J884" s="29" t="s">
        <v>1373</v>
      </c>
      <c r="K884" s="29" t="s">
        <v>1374</v>
      </c>
      <c r="L884" s="29"/>
      <c r="M884" s="34"/>
    </row>
    <row r="885" spans="2:13" ht="45">
      <c r="B885" s="32" t="str">
        <f t="shared" si="91"/>
        <v>2</v>
      </c>
      <c r="C885" s="33" t="str">
        <f t="shared" si="92"/>
        <v>2</v>
      </c>
      <c r="D885" s="33" t="str">
        <f t="shared" si="93"/>
        <v>1</v>
      </c>
      <c r="E885" s="33" t="str">
        <f t="shared" si="94"/>
        <v>8</v>
      </c>
      <c r="F885" s="33" t="str">
        <f t="shared" si="95"/>
        <v>00</v>
      </c>
      <c r="G885" s="33" t="str">
        <f t="shared" si="96"/>
        <v>0</v>
      </c>
      <c r="H885" s="33" t="str">
        <f t="shared" si="97"/>
        <v>0</v>
      </c>
      <c r="I885" s="28">
        <v>22180000</v>
      </c>
      <c r="J885" s="29" t="s">
        <v>1375</v>
      </c>
      <c r="K885" s="29" t="s">
        <v>1376</v>
      </c>
      <c r="L885" s="29"/>
      <c r="M885" s="34"/>
    </row>
    <row r="886" spans="2:13" ht="30">
      <c r="B886" s="32" t="str">
        <f t="shared" si="91"/>
        <v>2</v>
      </c>
      <c r="C886" s="33" t="str">
        <f t="shared" si="92"/>
        <v>2</v>
      </c>
      <c r="D886" s="33" t="str">
        <f t="shared" si="93"/>
        <v>1</v>
      </c>
      <c r="E886" s="33" t="str">
        <f t="shared" si="94"/>
        <v>8</v>
      </c>
      <c r="F886" s="33" t="str">
        <f t="shared" si="95"/>
        <v>01</v>
      </c>
      <c r="G886" s="33" t="str">
        <f t="shared" si="96"/>
        <v>0</v>
      </c>
      <c r="H886" s="33" t="str">
        <f t="shared" si="97"/>
        <v>0</v>
      </c>
      <c r="I886" s="28">
        <v>22180100</v>
      </c>
      <c r="J886" s="29" t="s">
        <v>1361</v>
      </c>
      <c r="K886" s="29" t="s">
        <v>1377</v>
      </c>
      <c r="L886" s="29"/>
      <c r="M886" s="34"/>
    </row>
    <row r="887" spans="2:13" ht="30" customHeight="1">
      <c r="B887" s="32" t="str">
        <f t="shared" si="91"/>
        <v>2</v>
      </c>
      <c r="C887" s="33" t="str">
        <f t="shared" si="92"/>
        <v>2</v>
      </c>
      <c r="D887" s="33" t="str">
        <f t="shared" si="93"/>
        <v>1</v>
      </c>
      <c r="E887" s="33" t="str">
        <f t="shared" si="94"/>
        <v>8</v>
      </c>
      <c r="F887" s="33" t="str">
        <f t="shared" si="95"/>
        <v>01</v>
      </c>
      <c r="G887" s="33" t="str">
        <f t="shared" si="96"/>
        <v>1</v>
      </c>
      <c r="H887" s="33" t="str">
        <f t="shared" si="97"/>
        <v>0</v>
      </c>
      <c r="I887" s="28">
        <v>22180110</v>
      </c>
      <c r="J887" s="29" t="s">
        <v>1378</v>
      </c>
      <c r="K887" s="29" t="s">
        <v>1379</v>
      </c>
      <c r="L887" s="29"/>
      <c r="M887" s="34"/>
    </row>
    <row r="888" spans="2:13">
      <c r="B888" s="32" t="str">
        <f t="shared" si="91"/>
        <v>2</v>
      </c>
      <c r="C888" s="33" t="str">
        <f t="shared" si="92"/>
        <v>2</v>
      </c>
      <c r="D888" s="33" t="str">
        <f t="shared" si="93"/>
        <v>1</v>
      </c>
      <c r="E888" s="33" t="str">
        <f t="shared" si="94"/>
        <v>8</v>
      </c>
      <c r="F888" s="33" t="str">
        <f t="shared" si="95"/>
        <v>01</v>
      </c>
      <c r="G888" s="33" t="str">
        <f t="shared" si="96"/>
        <v>2</v>
      </c>
      <c r="H888" s="33" t="str">
        <f t="shared" si="97"/>
        <v>0</v>
      </c>
      <c r="I888" s="28">
        <v>22180120</v>
      </c>
      <c r="J888" s="29" t="s">
        <v>1380</v>
      </c>
      <c r="K888" s="29"/>
      <c r="L888" s="29"/>
      <c r="M888" s="34"/>
    </row>
    <row r="889" spans="2:13" ht="30">
      <c r="B889" s="32" t="str">
        <f t="shared" si="91"/>
        <v>2</v>
      </c>
      <c r="C889" s="33" t="str">
        <f t="shared" si="92"/>
        <v>2</v>
      </c>
      <c r="D889" s="33" t="str">
        <f t="shared" si="93"/>
        <v>2</v>
      </c>
      <c r="E889" s="33" t="str">
        <f t="shared" si="94"/>
        <v>0</v>
      </c>
      <c r="F889" s="33" t="str">
        <f t="shared" si="95"/>
        <v>00</v>
      </c>
      <c r="G889" s="33" t="str">
        <f t="shared" si="96"/>
        <v>0</v>
      </c>
      <c r="H889" s="33" t="str">
        <f t="shared" si="97"/>
        <v>0</v>
      </c>
      <c r="I889" s="28">
        <v>22200000</v>
      </c>
      <c r="J889" s="29" t="s">
        <v>1381</v>
      </c>
      <c r="K889" s="29" t="s">
        <v>1382</v>
      </c>
      <c r="L889" s="29"/>
      <c r="M889" s="34"/>
    </row>
    <row r="890" spans="2:13" ht="30">
      <c r="B890" s="32" t="str">
        <f t="shared" si="91"/>
        <v>2</v>
      </c>
      <c r="C890" s="33" t="str">
        <f t="shared" si="92"/>
        <v>2</v>
      </c>
      <c r="D890" s="33" t="str">
        <f t="shared" si="93"/>
        <v>2</v>
      </c>
      <c r="E890" s="33" t="str">
        <f t="shared" si="94"/>
        <v>0</v>
      </c>
      <c r="F890" s="33" t="str">
        <f t="shared" si="95"/>
        <v>00</v>
      </c>
      <c r="G890" s="33" t="str">
        <f t="shared" si="96"/>
        <v>1</v>
      </c>
      <c r="H890" s="33" t="str">
        <f t="shared" si="97"/>
        <v>0</v>
      </c>
      <c r="I890" s="28">
        <v>22200010</v>
      </c>
      <c r="J890" s="29" t="s">
        <v>1381</v>
      </c>
      <c r="K890" s="29" t="s">
        <v>1383</v>
      </c>
      <c r="L890" s="29"/>
      <c r="M890" s="34"/>
    </row>
    <row r="891" spans="2:13" ht="30">
      <c r="B891" s="32" t="str">
        <f t="shared" si="91"/>
        <v>2</v>
      </c>
      <c r="C891" s="33" t="str">
        <f t="shared" si="92"/>
        <v>2</v>
      </c>
      <c r="D891" s="33" t="str">
        <f t="shared" si="93"/>
        <v>2</v>
      </c>
      <c r="E891" s="33" t="str">
        <f t="shared" si="94"/>
        <v>0</v>
      </c>
      <c r="F891" s="33" t="str">
        <f t="shared" si="95"/>
        <v>00</v>
      </c>
      <c r="G891" s="33" t="str">
        <f t="shared" si="96"/>
        <v>2</v>
      </c>
      <c r="H891" s="33" t="str">
        <f t="shared" si="97"/>
        <v>0</v>
      </c>
      <c r="I891" s="28">
        <v>22200020</v>
      </c>
      <c r="J891" s="29" t="s">
        <v>1384</v>
      </c>
      <c r="K891" s="29" t="s">
        <v>1385</v>
      </c>
      <c r="L891" s="29"/>
      <c r="M891" s="34"/>
    </row>
    <row r="892" spans="2:13" ht="105.75" customHeight="1">
      <c r="B892" s="32" t="str">
        <f t="shared" si="91"/>
        <v>2</v>
      </c>
      <c r="C892" s="33" t="str">
        <f t="shared" si="92"/>
        <v>2</v>
      </c>
      <c r="D892" s="33" t="str">
        <f t="shared" si="93"/>
        <v>3</v>
      </c>
      <c r="E892" s="33" t="str">
        <f t="shared" si="94"/>
        <v>0</v>
      </c>
      <c r="F892" s="33" t="str">
        <f t="shared" si="95"/>
        <v>00</v>
      </c>
      <c r="G892" s="33" t="str">
        <f t="shared" si="96"/>
        <v>0</v>
      </c>
      <c r="H892" s="33" t="str">
        <f t="shared" si="97"/>
        <v>0</v>
      </c>
      <c r="I892" s="28">
        <v>22300000</v>
      </c>
      <c r="J892" s="29" t="s">
        <v>1386</v>
      </c>
      <c r="K892" s="29" t="s">
        <v>1387</v>
      </c>
      <c r="L892" s="29"/>
      <c r="M892" s="34"/>
    </row>
    <row r="893" spans="2:13" ht="86.25" customHeight="1">
      <c r="B893" s="32" t="str">
        <f t="shared" si="91"/>
        <v>2</v>
      </c>
      <c r="C893" s="33" t="str">
        <f t="shared" si="92"/>
        <v>2</v>
      </c>
      <c r="D893" s="33" t="str">
        <f t="shared" si="93"/>
        <v>3</v>
      </c>
      <c r="E893" s="33" t="str">
        <f t="shared" si="94"/>
        <v>0</v>
      </c>
      <c r="F893" s="33" t="str">
        <f t="shared" si="95"/>
        <v>00</v>
      </c>
      <c r="G893" s="33" t="str">
        <f t="shared" si="96"/>
        <v>1</v>
      </c>
      <c r="H893" s="33" t="str">
        <f t="shared" si="97"/>
        <v>0</v>
      </c>
      <c r="I893" s="28">
        <v>22300010</v>
      </c>
      <c r="J893" s="29" t="s">
        <v>1386</v>
      </c>
      <c r="K893" s="29" t="s">
        <v>1388</v>
      </c>
      <c r="L893" s="29"/>
      <c r="M893" s="34"/>
    </row>
    <row r="894" spans="2:13" ht="60">
      <c r="B894" s="32" t="str">
        <f t="shared" si="91"/>
        <v>2</v>
      </c>
      <c r="C894" s="33" t="str">
        <f t="shared" si="92"/>
        <v>3</v>
      </c>
      <c r="D894" s="33" t="str">
        <f t="shared" si="93"/>
        <v>0</v>
      </c>
      <c r="E894" s="33" t="str">
        <f t="shared" si="94"/>
        <v>0</v>
      </c>
      <c r="F894" s="33" t="str">
        <f t="shared" si="95"/>
        <v>00</v>
      </c>
      <c r="G894" s="33" t="str">
        <f t="shared" si="96"/>
        <v>0</v>
      </c>
      <c r="H894" s="33" t="str">
        <f t="shared" si="97"/>
        <v>0</v>
      </c>
      <c r="I894" s="28">
        <v>23000000</v>
      </c>
      <c r="J894" s="29" t="s">
        <v>1389</v>
      </c>
      <c r="K894" s="29" t="s">
        <v>1390</v>
      </c>
      <c r="L894" s="29"/>
      <c r="M894" s="34"/>
    </row>
    <row r="895" spans="2:13" ht="285">
      <c r="B895" s="32" t="str">
        <f t="shared" si="91"/>
        <v>2</v>
      </c>
      <c r="C895" s="33" t="str">
        <f t="shared" si="92"/>
        <v>3</v>
      </c>
      <c r="D895" s="33" t="str">
        <f t="shared" si="93"/>
        <v>0</v>
      </c>
      <c r="E895" s="33" t="str">
        <f t="shared" si="94"/>
        <v>0</v>
      </c>
      <c r="F895" s="33" t="str">
        <f t="shared" si="95"/>
        <v>01</v>
      </c>
      <c r="G895" s="33" t="str">
        <f t="shared" si="96"/>
        <v>0</v>
      </c>
      <c r="H895" s="33" t="str">
        <f t="shared" si="97"/>
        <v>0</v>
      </c>
      <c r="I895" s="28">
        <v>23000100</v>
      </c>
      <c r="J895" s="29" t="s">
        <v>1391</v>
      </c>
      <c r="K895" s="29" t="s">
        <v>1392</v>
      </c>
      <c r="L895" s="29"/>
      <c r="M895" s="34"/>
    </row>
    <row r="896" spans="2:13" ht="285">
      <c r="B896" s="32" t="str">
        <f t="shared" si="91"/>
        <v>2</v>
      </c>
      <c r="C896" s="33" t="str">
        <f t="shared" si="92"/>
        <v>3</v>
      </c>
      <c r="D896" s="33" t="str">
        <f t="shared" si="93"/>
        <v>0</v>
      </c>
      <c r="E896" s="33" t="str">
        <f t="shared" si="94"/>
        <v>0</v>
      </c>
      <c r="F896" s="33" t="str">
        <f t="shared" si="95"/>
        <v>01</v>
      </c>
      <c r="G896" s="33" t="str">
        <f t="shared" si="96"/>
        <v>1</v>
      </c>
      <c r="H896" s="33" t="str">
        <f t="shared" si="97"/>
        <v>0</v>
      </c>
      <c r="I896" s="28">
        <v>23000110</v>
      </c>
      <c r="J896" s="29" t="s">
        <v>1391</v>
      </c>
      <c r="K896" s="29" t="s">
        <v>1392</v>
      </c>
      <c r="L896" s="29"/>
      <c r="M896" s="34"/>
    </row>
    <row r="897" spans="2:13" ht="135">
      <c r="B897" s="32" t="str">
        <f t="shared" si="91"/>
        <v>2</v>
      </c>
      <c r="C897" s="33" t="str">
        <f t="shared" si="92"/>
        <v>3</v>
      </c>
      <c r="D897" s="33" t="str">
        <f t="shared" si="93"/>
        <v>0</v>
      </c>
      <c r="E897" s="33" t="str">
        <f t="shared" si="94"/>
        <v>0</v>
      </c>
      <c r="F897" s="33" t="str">
        <f t="shared" si="95"/>
        <v>02</v>
      </c>
      <c r="G897" s="33" t="str">
        <f t="shared" si="96"/>
        <v>0</v>
      </c>
      <c r="H897" s="33" t="str">
        <f t="shared" si="97"/>
        <v>0</v>
      </c>
      <c r="I897" s="28">
        <v>23000200</v>
      </c>
      <c r="J897" s="29" t="s">
        <v>1393</v>
      </c>
      <c r="K897" s="29" t="s">
        <v>1394</v>
      </c>
      <c r="L897" s="29"/>
      <c r="M897" s="34"/>
    </row>
    <row r="898" spans="2:13" ht="135">
      <c r="B898" s="32" t="str">
        <f t="shared" si="91"/>
        <v>2</v>
      </c>
      <c r="C898" s="33" t="str">
        <f t="shared" si="92"/>
        <v>3</v>
      </c>
      <c r="D898" s="33" t="str">
        <f t="shared" si="93"/>
        <v>0</v>
      </c>
      <c r="E898" s="33" t="str">
        <f t="shared" si="94"/>
        <v>0</v>
      </c>
      <c r="F898" s="33" t="str">
        <f t="shared" si="95"/>
        <v>02</v>
      </c>
      <c r="G898" s="33" t="str">
        <f t="shared" si="96"/>
        <v>1</v>
      </c>
      <c r="H898" s="33" t="str">
        <f t="shared" si="97"/>
        <v>0</v>
      </c>
      <c r="I898" s="28">
        <v>23000210</v>
      </c>
      <c r="J898" s="29" t="s">
        <v>1393</v>
      </c>
      <c r="K898" s="29" t="s">
        <v>1394</v>
      </c>
      <c r="L898" s="29"/>
      <c r="M898" s="34"/>
    </row>
    <row r="899" spans="2:13" ht="150">
      <c r="B899" s="32" t="str">
        <f t="shared" si="91"/>
        <v>2</v>
      </c>
      <c r="C899" s="33" t="str">
        <f t="shared" si="92"/>
        <v>3</v>
      </c>
      <c r="D899" s="33" t="str">
        <f t="shared" si="93"/>
        <v>0</v>
      </c>
      <c r="E899" s="33" t="str">
        <f t="shared" si="94"/>
        <v>0</v>
      </c>
      <c r="F899" s="33" t="str">
        <f t="shared" si="95"/>
        <v>03</v>
      </c>
      <c r="G899" s="33" t="str">
        <f t="shared" si="96"/>
        <v>0</v>
      </c>
      <c r="H899" s="33" t="str">
        <f t="shared" si="97"/>
        <v>0</v>
      </c>
      <c r="I899" s="28">
        <v>23000300</v>
      </c>
      <c r="J899" s="29" t="s">
        <v>1395</v>
      </c>
      <c r="K899" s="29" t="s">
        <v>1396</v>
      </c>
      <c r="L899" s="29"/>
      <c r="M899" s="34"/>
    </row>
    <row r="900" spans="2:13" ht="150">
      <c r="B900" s="32" t="str">
        <f t="shared" si="91"/>
        <v>2</v>
      </c>
      <c r="C900" s="33" t="str">
        <f t="shared" si="92"/>
        <v>3</v>
      </c>
      <c r="D900" s="33" t="str">
        <f t="shared" si="93"/>
        <v>0</v>
      </c>
      <c r="E900" s="33" t="str">
        <f t="shared" si="94"/>
        <v>0</v>
      </c>
      <c r="F900" s="33" t="str">
        <f t="shared" si="95"/>
        <v>03</v>
      </c>
      <c r="G900" s="33" t="str">
        <f t="shared" si="96"/>
        <v>1</v>
      </c>
      <c r="H900" s="33" t="str">
        <f t="shared" si="97"/>
        <v>0</v>
      </c>
      <c r="I900" s="28">
        <v>23000310</v>
      </c>
      <c r="J900" s="29" t="s">
        <v>1395</v>
      </c>
      <c r="K900" s="29" t="s">
        <v>1396</v>
      </c>
      <c r="L900" s="29"/>
      <c r="M900" s="34"/>
    </row>
    <row r="901" spans="2:13" ht="210">
      <c r="B901" s="32" t="str">
        <f t="shared" si="91"/>
        <v>2</v>
      </c>
      <c r="C901" s="33" t="str">
        <f t="shared" si="92"/>
        <v>3</v>
      </c>
      <c r="D901" s="33" t="str">
        <f t="shared" si="93"/>
        <v>0</v>
      </c>
      <c r="E901" s="33" t="str">
        <f t="shared" si="94"/>
        <v>0</v>
      </c>
      <c r="F901" s="33" t="str">
        <f t="shared" si="95"/>
        <v>04</v>
      </c>
      <c r="G901" s="33" t="str">
        <f t="shared" si="96"/>
        <v>0</v>
      </c>
      <c r="H901" s="33" t="str">
        <f t="shared" si="97"/>
        <v>0</v>
      </c>
      <c r="I901" s="28">
        <v>23000400</v>
      </c>
      <c r="J901" s="29" t="s">
        <v>1397</v>
      </c>
      <c r="K901" s="29" t="s">
        <v>1398</v>
      </c>
      <c r="L901" s="29"/>
      <c r="M901" s="34"/>
    </row>
    <row r="902" spans="2:13" ht="210">
      <c r="B902" s="32" t="str">
        <f t="shared" si="91"/>
        <v>2</v>
      </c>
      <c r="C902" s="33" t="str">
        <f t="shared" si="92"/>
        <v>3</v>
      </c>
      <c r="D902" s="33" t="str">
        <f t="shared" si="93"/>
        <v>0</v>
      </c>
      <c r="E902" s="33" t="str">
        <f t="shared" si="94"/>
        <v>0</v>
      </c>
      <c r="F902" s="33" t="str">
        <f t="shared" si="95"/>
        <v>04</v>
      </c>
      <c r="G902" s="33" t="str">
        <f t="shared" si="96"/>
        <v>1</v>
      </c>
      <c r="H902" s="33" t="str">
        <f t="shared" si="97"/>
        <v>0</v>
      </c>
      <c r="I902" s="28">
        <v>23000410</v>
      </c>
      <c r="J902" s="29" t="s">
        <v>1397</v>
      </c>
      <c r="K902" s="29" t="s">
        <v>1398</v>
      </c>
      <c r="L902" s="29"/>
      <c r="M902" s="34"/>
    </row>
    <row r="903" spans="2:13" ht="90">
      <c r="B903" s="32" t="str">
        <f t="shared" si="91"/>
        <v>2</v>
      </c>
      <c r="C903" s="33" t="str">
        <f t="shared" si="92"/>
        <v>3</v>
      </c>
      <c r="D903" s="33" t="str">
        <f t="shared" si="93"/>
        <v>0</v>
      </c>
      <c r="E903" s="33" t="str">
        <f t="shared" si="94"/>
        <v>0</v>
      </c>
      <c r="F903" s="33" t="str">
        <f t="shared" si="95"/>
        <v>05</v>
      </c>
      <c r="G903" s="33" t="str">
        <f t="shared" si="96"/>
        <v>0</v>
      </c>
      <c r="H903" s="33" t="str">
        <f t="shared" si="97"/>
        <v>0</v>
      </c>
      <c r="I903" s="28">
        <v>23000500</v>
      </c>
      <c r="J903" s="29" t="s">
        <v>1399</v>
      </c>
      <c r="K903" s="29" t="s">
        <v>1400</v>
      </c>
      <c r="L903" s="29"/>
      <c r="M903" s="34"/>
    </row>
    <row r="904" spans="2:13" ht="90">
      <c r="B904" s="32" t="str">
        <f t="shared" si="91"/>
        <v>2</v>
      </c>
      <c r="C904" s="33" t="str">
        <f t="shared" si="92"/>
        <v>3</v>
      </c>
      <c r="D904" s="33" t="str">
        <f t="shared" si="93"/>
        <v>0</v>
      </c>
      <c r="E904" s="33" t="str">
        <f t="shared" si="94"/>
        <v>0</v>
      </c>
      <c r="F904" s="33" t="str">
        <f t="shared" si="95"/>
        <v>05</v>
      </c>
      <c r="G904" s="33" t="str">
        <f t="shared" si="96"/>
        <v>1</v>
      </c>
      <c r="H904" s="33" t="str">
        <f t="shared" si="97"/>
        <v>0</v>
      </c>
      <c r="I904" s="28">
        <v>23000510</v>
      </c>
      <c r="J904" s="29" t="s">
        <v>1399</v>
      </c>
      <c r="K904" s="29" t="s">
        <v>1400</v>
      </c>
      <c r="L904" s="29"/>
      <c r="M904" s="34"/>
    </row>
    <row r="905" spans="2:13" ht="45">
      <c r="B905" s="32" t="str">
        <f t="shared" si="91"/>
        <v>2</v>
      </c>
      <c r="C905" s="33" t="str">
        <f t="shared" si="92"/>
        <v>3</v>
      </c>
      <c r="D905" s="33" t="str">
        <f t="shared" si="93"/>
        <v>0</v>
      </c>
      <c r="E905" s="33" t="str">
        <f t="shared" si="94"/>
        <v>0</v>
      </c>
      <c r="F905" s="33" t="str">
        <f t="shared" si="95"/>
        <v>06</v>
      </c>
      <c r="G905" s="33" t="str">
        <f t="shared" si="96"/>
        <v>0</v>
      </c>
      <c r="H905" s="33" t="str">
        <f t="shared" si="97"/>
        <v>0</v>
      </c>
      <c r="I905" s="28">
        <v>23000600</v>
      </c>
      <c r="J905" s="29" t="s">
        <v>1401</v>
      </c>
      <c r="K905" s="29" t="s">
        <v>1402</v>
      </c>
      <c r="L905" s="29"/>
      <c r="M905" s="34"/>
    </row>
    <row r="906" spans="2:13" ht="45">
      <c r="B906" s="32" t="str">
        <f t="shared" si="91"/>
        <v>2</v>
      </c>
      <c r="C906" s="33" t="str">
        <f t="shared" si="92"/>
        <v>3</v>
      </c>
      <c r="D906" s="33" t="str">
        <f t="shared" si="93"/>
        <v>0</v>
      </c>
      <c r="E906" s="33" t="str">
        <f t="shared" si="94"/>
        <v>0</v>
      </c>
      <c r="F906" s="33" t="str">
        <f t="shared" si="95"/>
        <v>06</v>
      </c>
      <c r="G906" s="33" t="str">
        <f t="shared" si="96"/>
        <v>1</v>
      </c>
      <c r="H906" s="33" t="str">
        <f t="shared" si="97"/>
        <v>0</v>
      </c>
      <c r="I906" s="28">
        <v>23000610</v>
      </c>
      <c r="J906" s="29" t="s">
        <v>1401</v>
      </c>
      <c r="K906" s="29" t="s">
        <v>1402</v>
      </c>
      <c r="L906" s="29"/>
      <c r="M906" s="34"/>
    </row>
    <row r="907" spans="2:13">
      <c r="B907" s="32" t="str">
        <f t="shared" ref="B907:B973" si="98">MID($I907,1,1)</f>
        <v>2</v>
      </c>
      <c r="C907" s="33" t="str">
        <f t="shared" ref="C907:C973" si="99">MID($I907,2,1)</f>
        <v>3</v>
      </c>
      <c r="D907" s="33" t="str">
        <f t="shared" ref="D907:D973" si="100">MID($I907,3,1)</f>
        <v>0</v>
      </c>
      <c r="E907" s="33" t="str">
        <f t="shared" ref="E907:E973" si="101">MID($I907,4,1)</f>
        <v>0</v>
      </c>
      <c r="F907" s="33" t="str">
        <f t="shared" ref="F907:F973" si="102">MID($I907,5,2)</f>
        <v>07</v>
      </c>
      <c r="G907" s="33" t="str">
        <f t="shared" ref="G907:G973" si="103">MID($I907,7,1)</f>
        <v>0</v>
      </c>
      <c r="H907" s="33" t="str">
        <f t="shared" ref="H907:H973" si="104">MID($I907,8,1)</f>
        <v>0</v>
      </c>
      <c r="I907" s="28">
        <v>23000700</v>
      </c>
      <c r="J907" s="29" t="s">
        <v>1403</v>
      </c>
      <c r="K907" s="29" t="s">
        <v>1404</v>
      </c>
      <c r="L907" s="29"/>
      <c r="M907" s="34"/>
    </row>
    <row r="908" spans="2:13" s="5" customFormat="1">
      <c r="B908" s="32" t="str">
        <f t="shared" si="98"/>
        <v>2</v>
      </c>
      <c r="C908" s="33" t="str">
        <f t="shared" si="99"/>
        <v>3</v>
      </c>
      <c r="D908" s="33" t="str">
        <f t="shared" si="100"/>
        <v>0</v>
      </c>
      <c r="E908" s="33" t="str">
        <f t="shared" si="101"/>
        <v>0</v>
      </c>
      <c r="F908" s="33" t="str">
        <f t="shared" si="102"/>
        <v>07</v>
      </c>
      <c r="G908" s="33" t="str">
        <f t="shared" si="103"/>
        <v>1</v>
      </c>
      <c r="H908" s="33" t="str">
        <f t="shared" si="104"/>
        <v>0</v>
      </c>
      <c r="I908" s="28">
        <v>23000710</v>
      </c>
      <c r="J908" s="29" t="s">
        <v>1403</v>
      </c>
      <c r="K908" s="29" t="s">
        <v>1404</v>
      </c>
      <c r="L908" s="29"/>
      <c r="M908" s="34"/>
    </row>
    <row r="909" spans="2:13" s="5" customFormat="1" ht="45">
      <c r="B909" s="32" t="str">
        <f t="shared" si="98"/>
        <v>2</v>
      </c>
      <c r="C909" s="33" t="str">
        <f t="shared" si="99"/>
        <v>3</v>
      </c>
      <c r="D909" s="33" t="str">
        <f t="shared" si="100"/>
        <v>0</v>
      </c>
      <c r="E909" s="33" t="str">
        <f t="shared" si="101"/>
        <v>0</v>
      </c>
      <c r="F909" s="33" t="str">
        <f t="shared" si="102"/>
        <v>07</v>
      </c>
      <c r="G909" s="33" t="str">
        <f t="shared" si="103"/>
        <v>2</v>
      </c>
      <c r="H909" s="33" t="str">
        <f t="shared" si="104"/>
        <v>0</v>
      </c>
      <c r="I909" s="28">
        <v>23000720</v>
      </c>
      <c r="J909" s="29" t="s">
        <v>1405</v>
      </c>
      <c r="K909" s="29" t="s">
        <v>1406</v>
      </c>
      <c r="L909" s="29" t="s">
        <v>1407</v>
      </c>
      <c r="M909" s="34" t="s">
        <v>14</v>
      </c>
    </row>
    <row r="910" spans="2:13" s="5" customFormat="1" ht="45">
      <c r="B910" s="32" t="str">
        <f t="shared" si="98"/>
        <v>2</v>
      </c>
      <c r="C910" s="33" t="str">
        <f t="shared" si="99"/>
        <v>3</v>
      </c>
      <c r="D910" s="33" t="str">
        <f t="shared" si="100"/>
        <v>0</v>
      </c>
      <c r="E910" s="33" t="str">
        <f t="shared" si="101"/>
        <v>0</v>
      </c>
      <c r="F910" s="33" t="str">
        <f t="shared" si="102"/>
        <v>07</v>
      </c>
      <c r="G910" s="33" t="str">
        <f t="shared" si="103"/>
        <v>3</v>
      </c>
      <c r="H910" s="33" t="str">
        <f t="shared" si="104"/>
        <v>0</v>
      </c>
      <c r="I910" s="28">
        <v>23000730</v>
      </c>
      <c r="J910" s="29" t="s">
        <v>1408</v>
      </c>
      <c r="K910" s="29" t="s">
        <v>1409</v>
      </c>
      <c r="L910" s="29" t="s">
        <v>1407</v>
      </c>
      <c r="M910" s="34" t="s">
        <v>14</v>
      </c>
    </row>
    <row r="911" spans="2:13" s="5" customFormat="1" ht="30">
      <c r="B911" s="48" t="str">
        <f t="shared" si="98"/>
        <v>2</v>
      </c>
      <c r="C911" s="35" t="str">
        <f t="shared" si="99"/>
        <v>3</v>
      </c>
      <c r="D911" s="35" t="str">
        <f t="shared" si="100"/>
        <v>0</v>
      </c>
      <c r="E911" s="35" t="str">
        <f t="shared" si="101"/>
        <v>0</v>
      </c>
      <c r="F911" s="35" t="str">
        <f t="shared" si="102"/>
        <v>08</v>
      </c>
      <c r="G911" s="35" t="str">
        <f t="shared" si="103"/>
        <v>0</v>
      </c>
      <c r="H911" s="35" t="str">
        <f t="shared" si="104"/>
        <v>0</v>
      </c>
      <c r="I911" s="49">
        <v>23000800</v>
      </c>
      <c r="J911" s="30" t="s">
        <v>1405</v>
      </c>
      <c r="K911" s="30" t="s">
        <v>1410</v>
      </c>
      <c r="L911" s="29" t="s">
        <v>1407</v>
      </c>
      <c r="M911" s="50" t="s">
        <v>18</v>
      </c>
    </row>
    <row r="912" spans="2:13" ht="30">
      <c r="B912" s="48" t="str">
        <f t="shared" si="98"/>
        <v>2</v>
      </c>
      <c r="C912" s="35" t="str">
        <f t="shared" si="99"/>
        <v>3</v>
      </c>
      <c r="D912" s="35" t="str">
        <f t="shared" si="100"/>
        <v>0</v>
      </c>
      <c r="E912" s="35" t="str">
        <f t="shared" si="101"/>
        <v>0</v>
      </c>
      <c r="F912" s="35" t="str">
        <f t="shared" si="102"/>
        <v>08</v>
      </c>
      <c r="G912" s="35" t="str">
        <f t="shared" si="103"/>
        <v>1</v>
      </c>
      <c r="H912" s="35" t="str">
        <f t="shared" si="104"/>
        <v>0</v>
      </c>
      <c r="I912" s="49">
        <v>23000810</v>
      </c>
      <c r="J912" s="30" t="s">
        <v>1405</v>
      </c>
      <c r="K912" s="30" t="s">
        <v>1410</v>
      </c>
      <c r="L912" s="29" t="s">
        <v>1407</v>
      </c>
      <c r="M912" s="50" t="s">
        <v>18</v>
      </c>
    </row>
    <row r="913" spans="2:13" ht="60">
      <c r="B913" s="32" t="str">
        <f t="shared" si="98"/>
        <v>2</v>
      </c>
      <c r="C913" s="33" t="str">
        <f t="shared" si="99"/>
        <v>4</v>
      </c>
      <c r="D913" s="33" t="str">
        <f t="shared" si="100"/>
        <v>0</v>
      </c>
      <c r="E913" s="33" t="str">
        <f t="shared" si="101"/>
        <v>0</v>
      </c>
      <c r="F913" s="33" t="str">
        <f t="shared" si="102"/>
        <v>00</v>
      </c>
      <c r="G913" s="33" t="str">
        <f t="shared" si="103"/>
        <v>0</v>
      </c>
      <c r="H913" s="33" t="str">
        <f t="shared" si="104"/>
        <v>0</v>
      </c>
      <c r="I913" s="28">
        <v>24000000</v>
      </c>
      <c r="J913" s="29" t="s">
        <v>1411</v>
      </c>
      <c r="K913" s="29" t="s">
        <v>1412</v>
      </c>
      <c r="L913" s="29"/>
      <c r="M913" s="34"/>
    </row>
    <row r="914" spans="2:13" ht="60">
      <c r="B914" s="32" t="str">
        <f t="shared" si="98"/>
        <v>2</v>
      </c>
      <c r="C914" s="33" t="str">
        <f t="shared" si="99"/>
        <v>4</v>
      </c>
      <c r="D914" s="33" t="str">
        <f t="shared" si="100"/>
        <v>1</v>
      </c>
      <c r="E914" s="33" t="str">
        <f t="shared" si="101"/>
        <v>0</v>
      </c>
      <c r="F914" s="33" t="str">
        <f t="shared" si="102"/>
        <v>00</v>
      </c>
      <c r="G914" s="33" t="str">
        <f t="shared" si="103"/>
        <v>0</v>
      </c>
      <c r="H914" s="33" t="str">
        <f t="shared" si="104"/>
        <v>0</v>
      </c>
      <c r="I914" s="28">
        <v>24100000</v>
      </c>
      <c r="J914" s="29" t="s">
        <v>886</v>
      </c>
      <c r="K914" s="29" t="s">
        <v>1413</v>
      </c>
      <c r="L914" s="29"/>
      <c r="M914" s="34"/>
    </row>
    <row r="915" spans="2:13" ht="60">
      <c r="B915" s="32" t="str">
        <f t="shared" si="98"/>
        <v>2</v>
      </c>
      <c r="C915" s="33" t="str">
        <f t="shared" si="99"/>
        <v>4</v>
      </c>
      <c r="D915" s="33" t="str">
        <f t="shared" si="100"/>
        <v>1</v>
      </c>
      <c r="E915" s="33" t="str">
        <f t="shared" si="101"/>
        <v>0</v>
      </c>
      <c r="F915" s="33" t="str">
        <f t="shared" si="102"/>
        <v>00</v>
      </c>
      <c r="G915" s="33" t="str">
        <f t="shared" si="103"/>
        <v>1</v>
      </c>
      <c r="H915" s="33" t="str">
        <f t="shared" si="104"/>
        <v>0</v>
      </c>
      <c r="I915" s="28">
        <v>24100010</v>
      </c>
      <c r="J915" s="29" t="s">
        <v>886</v>
      </c>
      <c r="K915" s="29" t="s">
        <v>1413</v>
      </c>
      <c r="L915" s="29"/>
      <c r="M915" s="34"/>
    </row>
    <row r="916" spans="2:13" ht="45">
      <c r="B916" s="32" t="str">
        <f t="shared" si="98"/>
        <v>2</v>
      </c>
      <c r="C916" s="33" t="str">
        <f t="shared" si="99"/>
        <v>4</v>
      </c>
      <c r="D916" s="33" t="str">
        <f t="shared" si="100"/>
        <v>1</v>
      </c>
      <c r="E916" s="33" t="str">
        <f t="shared" si="101"/>
        <v>8</v>
      </c>
      <c r="F916" s="33" t="str">
        <f t="shared" si="102"/>
        <v>00</v>
      </c>
      <c r="G916" s="33" t="str">
        <f t="shared" si="103"/>
        <v>0</v>
      </c>
      <c r="H916" s="33" t="str">
        <f t="shared" si="104"/>
        <v>0</v>
      </c>
      <c r="I916" s="28">
        <v>24180000</v>
      </c>
      <c r="J916" s="29" t="s">
        <v>888</v>
      </c>
      <c r="K916" s="29" t="s">
        <v>1414</v>
      </c>
      <c r="L916" s="29"/>
      <c r="M916" s="34"/>
    </row>
    <row r="917" spans="2:13" ht="30">
      <c r="B917" s="32" t="str">
        <f t="shared" si="98"/>
        <v>2</v>
      </c>
      <c r="C917" s="33" t="str">
        <f t="shared" si="99"/>
        <v>4</v>
      </c>
      <c r="D917" s="33" t="str">
        <f t="shared" si="100"/>
        <v>1</v>
      </c>
      <c r="E917" s="33" t="str">
        <f t="shared" si="101"/>
        <v>8</v>
      </c>
      <c r="F917" s="33" t="str">
        <f t="shared" si="102"/>
        <v>01</v>
      </c>
      <c r="G917" s="33" t="str">
        <f t="shared" si="103"/>
        <v>0</v>
      </c>
      <c r="H917" s="33" t="str">
        <f t="shared" si="104"/>
        <v>0</v>
      </c>
      <c r="I917" s="28">
        <v>24180100</v>
      </c>
      <c r="J917" s="29" t="s">
        <v>975</v>
      </c>
      <c r="K917" s="29" t="s">
        <v>1415</v>
      </c>
      <c r="L917" s="29"/>
      <c r="M917" s="34"/>
    </row>
    <row r="918" spans="2:13" ht="30">
      <c r="B918" s="32" t="str">
        <f t="shared" si="98"/>
        <v>2</v>
      </c>
      <c r="C918" s="33" t="str">
        <f t="shared" si="99"/>
        <v>4</v>
      </c>
      <c r="D918" s="33" t="str">
        <f t="shared" si="100"/>
        <v>1</v>
      </c>
      <c r="E918" s="33" t="str">
        <f t="shared" si="101"/>
        <v>8</v>
      </c>
      <c r="F918" s="33" t="str">
        <f t="shared" si="102"/>
        <v>01</v>
      </c>
      <c r="G918" s="33" t="str">
        <f t="shared" si="103"/>
        <v>1</v>
      </c>
      <c r="H918" s="33" t="str">
        <f t="shared" si="104"/>
        <v>0</v>
      </c>
      <c r="I918" s="28">
        <v>24180110</v>
      </c>
      <c r="J918" s="29" t="s">
        <v>975</v>
      </c>
      <c r="K918" s="29" t="s">
        <v>1415</v>
      </c>
      <c r="L918" s="29"/>
      <c r="M918" s="34"/>
    </row>
    <row r="919" spans="2:13" ht="60">
      <c r="B919" s="32" t="str">
        <f t="shared" si="98"/>
        <v>2</v>
      </c>
      <c r="C919" s="33" t="str">
        <f t="shared" si="99"/>
        <v>4</v>
      </c>
      <c r="D919" s="33" t="str">
        <f t="shared" si="100"/>
        <v>1</v>
      </c>
      <c r="E919" s="33" t="str">
        <f t="shared" si="101"/>
        <v>8</v>
      </c>
      <c r="F919" s="33" t="str">
        <f t="shared" si="102"/>
        <v>03</v>
      </c>
      <c r="G919" s="33" t="str">
        <f t="shared" si="103"/>
        <v>0</v>
      </c>
      <c r="H919" s="33" t="str">
        <f t="shared" si="104"/>
        <v>0</v>
      </c>
      <c r="I919" s="28">
        <v>24180300</v>
      </c>
      <c r="J919" s="29" t="s">
        <v>1416</v>
      </c>
      <c r="K919" s="29" t="s">
        <v>1417</v>
      </c>
      <c r="L919" s="29"/>
      <c r="M919" s="34" t="s">
        <v>10</v>
      </c>
    </row>
    <row r="920" spans="2:13" ht="60">
      <c r="B920" s="32" t="str">
        <f t="shared" si="98"/>
        <v>2</v>
      </c>
      <c r="C920" s="33" t="str">
        <f t="shared" si="99"/>
        <v>4</v>
      </c>
      <c r="D920" s="33" t="str">
        <f t="shared" si="100"/>
        <v>1</v>
      </c>
      <c r="E920" s="33" t="str">
        <f t="shared" si="101"/>
        <v>8</v>
      </c>
      <c r="F920" s="33" t="str">
        <f t="shared" si="102"/>
        <v>03</v>
      </c>
      <c r="G920" s="33" t="str">
        <f t="shared" si="103"/>
        <v>1</v>
      </c>
      <c r="H920" s="33" t="str">
        <f t="shared" si="104"/>
        <v>0</v>
      </c>
      <c r="I920" s="28">
        <v>24180310</v>
      </c>
      <c r="J920" s="29" t="s">
        <v>926</v>
      </c>
      <c r="K920" s="29" t="s">
        <v>1418</v>
      </c>
      <c r="L920" s="29"/>
      <c r="M920" s="34" t="s">
        <v>10</v>
      </c>
    </row>
    <row r="921" spans="2:13" ht="60">
      <c r="B921" s="32" t="str">
        <f t="shared" si="98"/>
        <v>2</v>
      </c>
      <c r="C921" s="33" t="str">
        <f t="shared" si="99"/>
        <v>4</v>
      </c>
      <c r="D921" s="33" t="str">
        <f t="shared" si="100"/>
        <v>1</v>
      </c>
      <c r="E921" s="33" t="str">
        <f t="shared" si="101"/>
        <v>8</v>
      </c>
      <c r="F921" s="33" t="str">
        <f t="shared" si="102"/>
        <v>03</v>
      </c>
      <c r="G921" s="33" t="str">
        <f t="shared" si="103"/>
        <v>2</v>
      </c>
      <c r="H921" s="33" t="str">
        <f t="shared" si="104"/>
        <v>0</v>
      </c>
      <c r="I921" s="28">
        <v>24180320</v>
      </c>
      <c r="J921" s="29" t="s">
        <v>928</v>
      </c>
      <c r="K921" s="29" t="s">
        <v>1419</v>
      </c>
      <c r="L921" s="29"/>
      <c r="M921" s="34" t="s">
        <v>10</v>
      </c>
    </row>
    <row r="922" spans="2:13" ht="60">
      <c r="B922" s="32" t="str">
        <f t="shared" si="98"/>
        <v>2</v>
      </c>
      <c r="C922" s="33" t="str">
        <f t="shared" si="99"/>
        <v>4</v>
      </c>
      <c r="D922" s="33" t="str">
        <f t="shared" si="100"/>
        <v>1</v>
      </c>
      <c r="E922" s="33" t="str">
        <f t="shared" si="101"/>
        <v>8</v>
      </c>
      <c r="F922" s="33" t="str">
        <f t="shared" si="102"/>
        <v>03</v>
      </c>
      <c r="G922" s="33" t="str">
        <f t="shared" si="103"/>
        <v>3</v>
      </c>
      <c r="H922" s="33" t="str">
        <f t="shared" si="104"/>
        <v>0</v>
      </c>
      <c r="I922" s="28">
        <v>24180330</v>
      </c>
      <c r="J922" s="29" t="s">
        <v>930</v>
      </c>
      <c r="K922" s="29" t="s">
        <v>1420</v>
      </c>
      <c r="L922" s="29"/>
      <c r="M922" s="34" t="s">
        <v>10</v>
      </c>
    </row>
    <row r="923" spans="2:13" ht="60">
      <c r="B923" s="32" t="str">
        <f t="shared" si="98"/>
        <v>2</v>
      </c>
      <c r="C923" s="33" t="str">
        <f t="shared" si="99"/>
        <v>4</v>
      </c>
      <c r="D923" s="33" t="str">
        <f t="shared" si="100"/>
        <v>1</v>
      </c>
      <c r="E923" s="33" t="str">
        <f t="shared" si="101"/>
        <v>8</v>
      </c>
      <c r="F923" s="33" t="str">
        <f t="shared" si="102"/>
        <v>03</v>
      </c>
      <c r="G923" s="33" t="str">
        <f t="shared" si="103"/>
        <v>4</v>
      </c>
      <c r="H923" s="33" t="str">
        <f t="shared" si="104"/>
        <v>0</v>
      </c>
      <c r="I923" s="28">
        <v>24180340</v>
      </c>
      <c r="J923" s="29" t="s">
        <v>932</v>
      </c>
      <c r="K923" s="29" t="s">
        <v>1421</v>
      </c>
      <c r="L923" s="29"/>
      <c r="M923" s="34" t="s">
        <v>10</v>
      </c>
    </row>
    <row r="924" spans="2:13" ht="60">
      <c r="B924" s="32" t="str">
        <f t="shared" si="98"/>
        <v>2</v>
      </c>
      <c r="C924" s="33" t="str">
        <f t="shared" si="99"/>
        <v>4</v>
      </c>
      <c r="D924" s="33" t="str">
        <f t="shared" si="100"/>
        <v>1</v>
      </c>
      <c r="E924" s="33" t="str">
        <f t="shared" si="101"/>
        <v>8</v>
      </c>
      <c r="F924" s="33" t="str">
        <f t="shared" si="102"/>
        <v>03</v>
      </c>
      <c r="G924" s="33" t="str">
        <f t="shared" si="103"/>
        <v>5</v>
      </c>
      <c r="H924" s="33" t="str">
        <f t="shared" si="104"/>
        <v>0</v>
      </c>
      <c r="I924" s="28">
        <v>24180350</v>
      </c>
      <c r="J924" s="29" t="s">
        <v>934</v>
      </c>
      <c r="K924" s="29" t="s">
        <v>1422</v>
      </c>
      <c r="L924" s="29"/>
      <c r="M924" s="34" t="s">
        <v>10</v>
      </c>
    </row>
    <row r="925" spans="2:13" ht="60">
      <c r="B925" s="32" t="str">
        <f t="shared" si="98"/>
        <v>2</v>
      </c>
      <c r="C925" s="33" t="str">
        <f t="shared" si="99"/>
        <v>4</v>
      </c>
      <c r="D925" s="33" t="str">
        <f t="shared" si="100"/>
        <v>1</v>
      </c>
      <c r="E925" s="33" t="str">
        <f t="shared" si="101"/>
        <v>8</v>
      </c>
      <c r="F925" s="33" t="str">
        <f t="shared" si="102"/>
        <v>03</v>
      </c>
      <c r="G925" s="33" t="str">
        <f t="shared" si="103"/>
        <v>9</v>
      </c>
      <c r="H925" s="33" t="str">
        <f t="shared" si="104"/>
        <v>0</v>
      </c>
      <c r="I925" s="28">
        <v>24180390</v>
      </c>
      <c r="J925" s="29" t="s">
        <v>936</v>
      </c>
      <c r="K925" s="29" t="s">
        <v>1423</v>
      </c>
      <c r="L925" s="29"/>
      <c r="M925" s="34" t="s">
        <v>10</v>
      </c>
    </row>
    <row r="926" spans="2:13" ht="60">
      <c r="B926" s="32" t="str">
        <f t="shared" si="98"/>
        <v>2</v>
      </c>
      <c r="C926" s="33" t="str">
        <f t="shared" si="99"/>
        <v>4</v>
      </c>
      <c r="D926" s="33" t="str">
        <f t="shared" si="100"/>
        <v>1</v>
      </c>
      <c r="E926" s="33" t="str">
        <f t="shared" si="101"/>
        <v>8</v>
      </c>
      <c r="F926" s="33" t="str">
        <f t="shared" si="102"/>
        <v>04</v>
      </c>
      <c r="G926" s="33" t="str">
        <f t="shared" si="103"/>
        <v>0</v>
      </c>
      <c r="H926" s="33" t="str">
        <f t="shared" si="104"/>
        <v>0</v>
      </c>
      <c r="I926" s="28">
        <v>24180400</v>
      </c>
      <c r="J926" s="29" t="s">
        <v>1424</v>
      </c>
      <c r="K926" s="29" t="s">
        <v>1425</v>
      </c>
      <c r="L926" s="29"/>
      <c r="M926" s="34" t="s">
        <v>10</v>
      </c>
    </row>
    <row r="927" spans="2:13" ht="60">
      <c r="B927" s="32" t="str">
        <f t="shared" si="98"/>
        <v>2</v>
      </c>
      <c r="C927" s="33" t="str">
        <f t="shared" si="99"/>
        <v>4</v>
      </c>
      <c r="D927" s="33" t="str">
        <f t="shared" si="100"/>
        <v>1</v>
      </c>
      <c r="E927" s="33" t="str">
        <f t="shared" si="101"/>
        <v>8</v>
      </c>
      <c r="F927" s="33" t="str">
        <f t="shared" si="102"/>
        <v>04</v>
      </c>
      <c r="G927" s="33" t="str">
        <f t="shared" si="103"/>
        <v>1</v>
      </c>
      <c r="H927" s="33" t="str">
        <f t="shared" si="104"/>
        <v>0</v>
      </c>
      <c r="I927" s="28">
        <v>24180410</v>
      </c>
      <c r="J927" s="29" t="s">
        <v>940</v>
      </c>
      <c r="K927" s="29" t="s">
        <v>1426</v>
      </c>
      <c r="L927" s="29"/>
      <c r="M927" s="34" t="s">
        <v>10</v>
      </c>
    </row>
    <row r="928" spans="2:13" ht="60">
      <c r="B928" s="32" t="str">
        <f t="shared" si="98"/>
        <v>2</v>
      </c>
      <c r="C928" s="33" t="str">
        <f t="shared" si="99"/>
        <v>4</v>
      </c>
      <c r="D928" s="33" t="str">
        <f t="shared" si="100"/>
        <v>1</v>
      </c>
      <c r="E928" s="33" t="str">
        <f t="shared" si="101"/>
        <v>8</v>
      </c>
      <c r="F928" s="33" t="str">
        <f t="shared" si="102"/>
        <v>04</v>
      </c>
      <c r="G928" s="33" t="str">
        <f t="shared" si="103"/>
        <v>2</v>
      </c>
      <c r="H928" s="33" t="str">
        <f t="shared" si="104"/>
        <v>0</v>
      </c>
      <c r="I928" s="28">
        <v>24180420</v>
      </c>
      <c r="J928" s="29" t="s">
        <v>942</v>
      </c>
      <c r="K928" s="29" t="s">
        <v>1427</v>
      </c>
      <c r="L928" s="29"/>
      <c r="M928" s="34" t="s">
        <v>10</v>
      </c>
    </row>
    <row r="929" spans="2:13" ht="45">
      <c r="B929" s="32" t="str">
        <f t="shared" si="98"/>
        <v>2</v>
      </c>
      <c r="C929" s="33" t="str">
        <f t="shared" si="99"/>
        <v>4</v>
      </c>
      <c r="D929" s="33" t="str">
        <f t="shared" si="100"/>
        <v>1</v>
      </c>
      <c r="E929" s="33" t="str">
        <f t="shared" si="101"/>
        <v>8</v>
      </c>
      <c r="F929" s="33" t="str">
        <f t="shared" si="102"/>
        <v>04</v>
      </c>
      <c r="G929" s="33" t="str">
        <f t="shared" si="103"/>
        <v>3</v>
      </c>
      <c r="H929" s="33" t="str">
        <f t="shared" si="104"/>
        <v>0</v>
      </c>
      <c r="I929" s="28">
        <v>24180430</v>
      </c>
      <c r="J929" s="29" t="s">
        <v>944</v>
      </c>
      <c r="K929" s="29" t="s">
        <v>1428</v>
      </c>
      <c r="L929" s="29"/>
      <c r="M929" s="34" t="s">
        <v>10</v>
      </c>
    </row>
    <row r="930" spans="2:13" ht="60">
      <c r="B930" s="32" t="str">
        <f t="shared" si="98"/>
        <v>2</v>
      </c>
      <c r="C930" s="33" t="str">
        <f t="shared" si="99"/>
        <v>4</v>
      </c>
      <c r="D930" s="33" t="str">
        <f t="shared" si="100"/>
        <v>1</v>
      </c>
      <c r="E930" s="33" t="str">
        <f t="shared" si="101"/>
        <v>8</v>
      </c>
      <c r="F930" s="33" t="str">
        <f t="shared" si="102"/>
        <v>04</v>
      </c>
      <c r="G930" s="33" t="str">
        <f t="shared" si="103"/>
        <v>4</v>
      </c>
      <c r="H930" s="33" t="str">
        <f t="shared" si="104"/>
        <v>0</v>
      </c>
      <c r="I930" s="28">
        <v>24180440</v>
      </c>
      <c r="J930" s="29" t="s">
        <v>946</v>
      </c>
      <c r="K930" s="29" t="s">
        <v>1429</v>
      </c>
      <c r="L930" s="29"/>
      <c r="M930" s="34" t="s">
        <v>10</v>
      </c>
    </row>
    <row r="931" spans="2:13" ht="45">
      <c r="B931" s="32" t="str">
        <f t="shared" si="98"/>
        <v>2</v>
      </c>
      <c r="C931" s="33" t="str">
        <f t="shared" si="99"/>
        <v>4</v>
      </c>
      <c r="D931" s="33" t="str">
        <f t="shared" si="100"/>
        <v>1</v>
      </c>
      <c r="E931" s="33" t="str">
        <f t="shared" si="101"/>
        <v>8</v>
      </c>
      <c r="F931" s="33" t="str">
        <f t="shared" si="102"/>
        <v>04</v>
      </c>
      <c r="G931" s="33" t="str">
        <f t="shared" si="103"/>
        <v>5</v>
      </c>
      <c r="H931" s="33" t="str">
        <f t="shared" si="104"/>
        <v>0</v>
      </c>
      <c r="I931" s="28">
        <v>24180450</v>
      </c>
      <c r="J931" s="29" t="s">
        <v>948</v>
      </c>
      <c r="K931" s="29" t="s">
        <v>1430</v>
      </c>
      <c r="L931" s="29"/>
      <c r="M931" s="34" t="s">
        <v>10</v>
      </c>
    </row>
    <row r="932" spans="2:13" ht="45">
      <c r="B932" s="32" t="str">
        <f t="shared" si="98"/>
        <v>2</v>
      </c>
      <c r="C932" s="33" t="str">
        <f t="shared" si="99"/>
        <v>4</v>
      </c>
      <c r="D932" s="33" t="str">
        <f t="shared" si="100"/>
        <v>1</v>
      </c>
      <c r="E932" s="33" t="str">
        <f t="shared" si="101"/>
        <v>8</v>
      </c>
      <c r="F932" s="33" t="str">
        <f t="shared" si="102"/>
        <v>04</v>
      </c>
      <c r="G932" s="33" t="str">
        <f t="shared" si="103"/>
        <v>6</v>
      </c>
      <c r="H932" s="33" t="str">
        <f t="shared" si="104"/>
        <v>0</v>
      </c>
      <c r="I932" s="28">
        <v>24180460</v>
      </c>
      <c r="J932" s="29" t="s">
        <v>950</v>
      </c>
      <c r="K932" s="29" t="s">
        <v>1431</v>
      </c>
      <c r="L932" s="29"/>
      <c r="M932" s="34" t="s">
        <v>18</v>
      </c>
    </row>
    <row r="933" spans="2:13" ht="45">
      <c r="B933" s="32" t="str">
        <f t="shared" si="98"/>
        <v>2</v>
      </c>
      <c r="C933" s="33" t="str">
        <f t="shared" si="99"/>
        <v>4</v>
      </c>
      <c r="D933" s="33" t="str">
        <f t="shared" si="100"/>
        <v>1</v>
      </c>
      <c r="E933" s="33" t="str">
        <f t="shared" si="101"/>
        <v>8</v>
      </c>
      <c r="F933" s="33" t="str">
        <f t="shared" si="102"/>
        <v>04</v>
      </c>
      <c r="G933" s="33" t="str">
        <f t="shared" si="103"/>
        <v>9</v>
      </c>
      <c r="H933" s="33" t="str">
        <f t="shared" si="104"/>
        <v>0</v>
      </c>
      <c r="I933" s="28">
        <v>24180490</v>
      </c>
      <c r="J933" s="29" t="s">
        <v>950</v>
      </c>
      <c r="K933" s="29" t="s">
        <v>1432</v>
      </c>
      <c r="L933" s="29"/>
      <c r="M933" s="34" t="s">
        <v>14</v>
      </c>
    </row>
    <row r="934" spans="2:13" ht="30">
      <c r="B934" s="32" t="str">
        <f t="shared" si="98"/>
        <v>2</v>
      </c>
      <c r="C934" s="33" t="str">
        <f t="shared" si="99"/>
        <v>4</v>
      </c>
      <c r="D934" s="33" t="str">
        <f t="shared" si="100"/>
        <v>1</v>
      </c>
      <c r="E934" s="33" t="str">
        <f t="shared" si="101"/>
        <v>8</v>
      </c>
      <c r="F934" s="33" t="str">
        <f t="shared" si="102"/>
        <v>05</v>
      </c>
      <c r="G934" s="33" t="str">
        <f t="shared" si="103"/>
        <v>0</v>
      </c>
      <c r="H934" s="33" t="str">
        <f t="shared" si="104"/>
        <v>0</v>
      </c>
      <c r="I934" s="28">
        <v>24180500</v>
      </c>
      <c r="J934" s="29" t="s">
        <v>1433</v>
      </c>
      <c r="K934" s="29" t="s">
        <v>1434</v>
      </c>
      <c r="L934" s="29"/>
      <c r="M934" s="34"/>
    </row>
    <row r="935" spans="2:13" ht="45">
      <c r="B935" s="32" t="str">
        <f t="shared" si="98"/>
        <v>2</v>
      </c>
      <c r="C935" s="33" t="str">
        <f t="shared" si="99"/>
        <v>4</v>
      </c>
      <c r="D935" s="33" t="str">
        <f t="shared" si="100"/>
        <v>1</v>
      </c>
      <c r="E935" s="33" t="str">
        <f t="shared" si="101"/>
        <v>8</v>
      </c>
      <c r="F935" s="33" t="str">
        <f t="shared" si="102"/>
        <v>05</v>
      </c>
      <c r="G935" s="33" t="str">
        <f t="shared" si="103"/>
        <v>1</v>
      </c>
      <c r="H935" s="33" t="str">
        <f t="shared" si="104"/>
        <v>0</v>
      </c>
      <c r="I935" s="28">
        <v>24180510</v>
      </c>
      <c r="J935" s="29" t="s">
        <v>1435</v>
      </c>
      <c r="K935" s="29" t="s">
        <v>1436</v>
      </c>
      <c r="L935" s="29" t="s">
        <v>180</v>
      </c>
      <c r="M935" s="34"/>
    </row>
    <row r="936" spans="2:13" ht="60">
      <c r="B936" s="32" t="str">
        <f t="shared" si="98"/>
        <v>2</v>
      </c>
      <c r="C936" s="33" t="str">
        <f t="shared" si="99"/>
        <v>4</v>
      </c>
      <c r="D936" s="33" t="str">
        <f t="shared" si="100"/>
        <v>1</v>
      </c>
      <c r="E936" s="33" t="str">
        <f t="shared" si="101"/>
        <v>8</v>
      </c>
      <c r="F936" s="33" t="str">
        <f t="shared" si="102"/>
        <v>05</v>
      </c>
      <c r="G936" s="33" t="str">
        <f t="shared" si="103"/>
        <v>2</v>
      </c>
      <c r="H936" s="33" t="str">
        <f t="shared" si="104"/>
        <v>0</v>
      </c>
      <c r="I936" s="28">
        <v>24180520</v>
      </c>
      <c r="J936" s="29" t="s">
        <v>1437</v>
      </c>
      <c r="K936" s="29" t="s">
        <v>1438</v>
      </c>
      <c r="L936" s="29" t="s">
        <v>180</v>
      </c>
      <c r="M936" s="34"/>
    </row>
    <row r="937" spans="2:13" ht="45">
      <c r="B937" s="32" t="str">
        <f t="shared" si="98"/>
        <v>2</v>
      </c>
      <c r="C937" s="33" t="str">
        <f t="shared" si="99"/>
        <v>4</v>
      </c>
      <c r="D937" s="33" t="str">
        <f t="shared" si="100"/>
        <v>1</v>
      </c>
      <c r="E937" s="33" t="str">
        <f t="shared" si="101"/>
        <v>8</v>
      </c>
      <c r="F937" s="33" t="str">
        <f t="shared" si="102"/>
        <v>05</v>
      </c>
      <c r="G937" s="33" t="str">
        <f t="shared" si="103"/>
        <v>9</v>
      </c>
      <c r="H937" s="33" t="str">
        <f t="shared" si="104"/>
        <v>0</v>
      </c>
      <c r="I937" s="28">
        <v>24180590</v>
      </c>
      <c r="J937" s="29" t="s">
        <v>1439</v>
      </c>
      <c r="K937" s="29" t="s">
        <v>1440</v>
      </c>
      <c r="L937" s="29" t="s">
        <v>180</v>
      </c>
      <c r="M937" s="34"/>
    </row>
    <row r="938" spans="2:13" ht="45">
      <c r="B938" s="32" t="str">
        <f t="shared" si="98"/>
        <v>2</v>
      </c>
      <c r="C938" s="33" t="str">
        <f t="shared" si="99"/>
        <v>4</v>
      </c>
      <c r="D938" s="33" t="str">
        <f t="shared" si="100"/>
        <v>1</v>
      </c>
      <c r="E938" s="33" t="str">
        <f t="shared" si="101"/>
        <v>8</v>
      </c>
      <c r="F938" s="33" t="str">
        <f t="shared" si="102"/>
        <v>08</v>
      </c>
      <c r="G938" s="33" t="str">
        <f t="shared" si="103"/>
        <v>0</v>
      </c>
      <c r="H938" s="33" t="str">
        <f t="shared" si="104"/>
        <v>0</v>
      </c>
      <c r="I938" s="28">
        <v>24180800</v>
      </c>
      <c r="J938" s="29" t="s">
        <v>977</v>
      </c>
      <c r="K938" s="29" t="s">
        <v>1441</v>
      </c>
      <c r="L938" s="29" t="s">
        <v>979</v>
      </c>
      <c r="M938" s="34" t="s">
        <v>22</v>
      </c>
    </row>
    <row r="939" spans="2:13" ht="45">
      <c r="B939" s="32" t="str">
        <f t="shared" si="98"/>
        <v>2</v>
      </c>
      <c r="C939" s="33" t="str">
        <f t="shared" si="99"/>
        <v>4</v>
      </c>
      <c r="D939" s="33" t="str">
        <f t="shared" si="100"/>
        <v>1</v>
      </c>
      <c r="E939" s="33" t="str">
        <f t="shared" si="101"/>
        <v>8</v>
      </c>
      <c r="F939" s="33" t="str">
        <f t="shared" si="102"/>
        <v>08</v>
      </c>
      <c r="G939" s="33" t="str">
        <f t="shared" si="103"/>
        <v>1</v>
      </c>
      <c r="H939" s="33" t="str">
        <f t="shared" si="104"/>
        <v>0</v>
      </c>
      <c r="I939" s="28">
        <v>24180810</v>
      </c>
      <c r="J939" s="29" t="s">
        <v>977</v>
      </c>
      <c r="K939" s="29" t="s">
        <v>1441</v>
      </c>
      <c r="L939" s="29" t="s">
        <v>979</v>
      </c>
      <c r="M939" s="34" t="s">
        <v>22</v>
      </c>
    </row>
    <row r="940" spans="2:13" ht="75">
      <c r="B940" s="32" t="str">
        <f t="shared" si="98"/>
        <v>2</v>
      </c>
      <c r="C940" s="33" t="str">
        <f t="shared" si="99"/>
        <v>4</v>
      </c>
      <c r="D940" s="33" t="str">
        <f t="shared" si="100"/>
        <v>1</v>
      </c>
      <c r="E940" s="33" t="str">
        <f t="shared" si="101"/>
        <v>8</v>
      </c>
      <c r="F940" s="33" t="str">
        <f t="shared" si="102"/>
        <v>10</v>
      </c>
      <c r="G940" s="33" t="str">
        <f t="shared" si="103"/>
        <v>0</v>
      </c>
      <c r="H940" s="33" t="str">
        <f t="shared" si="104"/>
        <v>0</v>
      </c>
      <c r="I940" s="28">
        <v>24181000</v>
      </c>
      <c r="J940" s="29" t="s">
        <v>1442</v>
      </c>
      <c r="K940" s="29" t="s">
        <v>1443</v>
      </c>
      <c r="L940" s="29"/>
      <c r="M940" s="34"/>
    </row>
    <row r="941" spans="2:13" ht="45">
      <c r="B941" s="32" t="str">
        <f t="shared" si="98"/>
        <v>2</v>
      </c>
      <c r="C941" s="33" t="str">
        <f t="shared" si="99"/>
        <v>4</v>
      </c>
      <c r="D941" s="33" t="str">
        <f t="shared" si="100"/>
        <v>1</v>
      </c>
      <c r="E941" s="33" t="str">
        <f t="shared" si="101"/>
        <v>8</v>
      </c>
      <c r="F941" s="33" t="str">
        <f t="shared" si="102"/>
        <v>10</v>
      </c>
      <c r="G941" s="33" t="str">
        <f t="shared" si="103"/>
        <v>1</v>
      </c>
      <c r="H941" s="33" t="str">
        <f t="shared" si="104"/>
        <v>0</v>
      </c>
      <c r="I941" s="28">
        <v>24181010</v>
      </c>
      <c r="J941" s="29" t="s">
        <v>1444</v>
      </c>
      <c r="K941" s="29" t="s">
        <v>1445</v>
      </c>
      <c r="L941" s="29"/>
      <c r="M941" s="34"/>
    </row>
    <row r="942" spans="2:13" ht="45">
      <c r="B942" s="32" t="str">
        <f t="shared" si="98"/>
        <v>2</v>
      </c>
      <c r="C942" s="33" t="str">
        <f t="shared" si="99"/>
        <v>4</v>
      </c>
      <c r="D942" s="33" t="str">
        <f t="shared" si="100"/>
        <v>1</v>
      </c>
      <c r="E942" s="33" t="str">
        <f t="shared" si="101"/>
        <v>8</v>
      </c>
      <c r="F942" s="33" t="str">
        <f t="shared" si="102"/>
        <v>10</v>
      </c>
      <c r="G942" s="33" t="str">
        <f t="shared" si="103"/>
        <v>2</v>
      </c>
      <c r="H942" s="33" t="str">
        <f t="shared" si="104"/>
        <v>0</v>
      </c>
      <c r="I942" s="28">
        <v>24181020</v>
      </c>
      <c r="J942" s="29" t="s">
        <v>1446</v>
      </c>
      <c r="K942" s="29" t="s">
        <v>1447</v>
      </c>
      <c r="L942" s="29"/>
      <c r="M942" s="34"/>
    </row>
    <row r="943" spans="2:13" ht="45">
      <c r="B943" s="32" t="str">
        <f t="shared" si="98"/>
        <v>2</v>
      </c>
      <c r="C943" s="33" t="str">
        <f t="shared" si="99"/>
        <v>4</v>
      </c>
      <c r="D943" s="33" t="str">
        <f t="shared" si="100"/>
        <v>1</v>
      </c>
      <c r="E943" s="33" t="str">
        <f t="shared" si="101"/>
        <v>8</v>
      </c>
      <c r="F943" s="33" t="str">
        <f t="shared" si="102"/>
        <v>10</v>
      </c>
      <c r="G943" s="33" t="str">
        <f t="shared" si="103"/>
        <v>5</v>
      </c>
      <c r="H943" s="33" t="str">
        <f t="shared" si="104"/>
        <v>0</v>
      </c>
      <c r="I943" s="28">
        <v>24181050</v>
      </c>
      <c r="J943" s="29" t="s">
        <v>1448</v>
      </c>
      <c r="K943" s="29" t="s">
        <v>1449</v>
      </c>
      <c r="L943" s="29"/>
      <c r="M943" s="34"/>
    </row>
    <row r="944" spans="2:13" ht="90">
      <c r="B944" s="32" t="str">
        <f t="shared" si="98"/>
        <v>2</v>
      </c>
      <c r="C944" s="33" t="str">
        <f t="shared" si="99"/>
        <v>4</v>
      </c>
      <c r="D944" s="33" t="str">
        <f t="shared" si="100"/>
        <v>1</v>
      </c>
      <c r="E944" s="33" t="str">
        <f t="shared" si="101"/>
        <v>8</v>
      </c>
      <c r="F944" s="33" t="str">
        <f t="shared" si="102"/>
        <v>10</v>
      </c>
      <c r="G944" s="33" t="str">
        <f t="shared" si="103"/>
        <v>6</v>
      </c>
      <c r="H944" s="33" t="str">
        <f t="shared" si="104"/>
        <v>0</v>
      </c>
      <c r="I944" s="28">
        <v>24181060</v>
      </c>
      <c r="J944" s="29" t="s">
        <v>1450</v>
      </c>
      <c r="K944" s="29" t="s">
        <v>1451</v>
      </c>
      <c r="L944" s="29"/>
      <c r="M944" s="34"/>
    </row>
    <row r="945" spans="2:13" ht="90">
      <c r="B945" s="32" t="str">
        <f t="shared" si="98"/>
        <v>2</v>
      </c>
      <c r="C945" s="33" t="str">
        <f t="shared" si="99"/>
        <v>4</v>
      </c>
      <c r="D945" s="33" t="str">
        <f t="shared" si="100"/>
        <v>1</v>
      </c>
      <c r="E945" s="33" t="str">
        <f t="shared" si="101"/>
        <v>8</v>
      </c>
      <c r="F945" s="33" t="str">
        <f t="shared" si="102"/>
        <v>10</v>
      </c>
      <c r="G945" s="33" t="str">
        <f t="shared" si="103"/>
        <v>7</v>
      </c>
      <c r="H945" s="33" t="str">
        <f t="shared" si="104"/>
        <v>0</v>
      </c>
      <c r="I945" s="28">
        <v>24181070</v>
      </c>
      <c r="J945" s="29" t="s">
        <v>1452</v>
      </c>
      <c r="K945" s="29" t="s">
        <v>1453</v>
      </c>
      <c r="L945" s="29"/>
      <c r="M945" s="34"/>
    </row>
    <row r="946" spans="2:13" ht="45">
      <c r="B946" s="32" t="str">
        <f t="shared" si="98"/>
        <v>2</v>
      </c>
      <c r="C946" s="33" t="str">
        <f t="shared" si="99"/>
        <v>4</v>
      </c>
      <c r="D946" s="33" t="str">
        <f t="shared" si="100"/>
        <v>1</v>
      </c>
      <c r="E946" s="33" t="str">
        <f t="shared" si="101"/>
        <v>8</v>
      </c>
      <c r="F946" s="33" t="str">
        <f t="shared" si="102"/>
        <v>10</v>
      </c>
      <c r="G946" s="33" t="str">
        <f t="shared" si="103"/>
        <v>9</v>
      </c>
      <c r="H946" s="33" t="str">
        <f t="shared" si="104"/>
        <v>0</v>
      </c>
      <c r="I946" s="28">
        <v>24181090</v>
      </c>
      <c r="J946" s="29" t="s">
        <v>995</v>
      </c>
      <c r="K946" s="29" t="s">
        <v>1454</v>
      </c>
      <c r="L946" s="29"/>
      <c r="M946" s="34"/>
    </row>
    <row r="947" spans="2:13" ht="45">
      <c r="B947" s="32" t="str">
        <f t="shared" si="98"/>
        <v>2</v>
      </c>
      <c r="C947" s="33" t="str">
        <f t="shared" si="99"/>
        <v>4</v>
      </c>
      <c r="D947" s="33" t="str">
        <f t="shared" si="100"/>
        <v>1</v>
      </c>
      <c r="E947" s="33" t="str">
        <f t="shared" si="101"/>
        <v>8</v>
      </c>
      <c r="F947" s="33" t="str">
        <f t="shared" si="102"/>
        <v>12</v>
      </c>
      <c r="G947" s="33" t="str">
        <f t="shared" si="103"/>
        <v>0</v>
      </c>
      <c r="H947" s="33" t="str">
        <f t="shared" si="104"/>
        <v>0</v>
      </c>
      <c r="I947" s="28">
        <v>24181200</v>
      </c>
      <c r="J947" s="29" t="s">
        <v>1008</v>
      </c>
      <c r="K947" s="29" t="s">
        <v>1455</v>
      </c>
      <c r="L947" s="29"/>
      <c r="M947" s="34"/>
    </row>
    <row r="948" spans="2:13" ht="45">
      <c r="B948" s="32" t="str">
        <f t="shared" si="98"/>
        <v>2</v>
      </c>
      <c r="C948" s="33" t="str">
        <f t="shared" si="99"/>
        <v>4</v>
      </c>
      <c r="D948" s="33" t="str">
        <f t="shared" si="100"/>
        <v>1</v>
      </c>
      <c r="E948" s="33" t="str">
        <f t="shared" si="101"/>
        <v>8</v>
      </c>
      <c r="F948" s="33" t="str">
        <f t="shared" si="102"/>
        <v>12</v>
      </c>
      <c r="G948" s="33" t="str">
        <f t="shared" si="103"/>
        <v>1</v>
      </c>
      <c r="H948" s="33" t="str">
        <f t="shared" si="104"/>
        <v>0</v>
      </c>
      <c r="I948" s="28">
        <v>24181210</v>
      </c>
      <c r="J948" s="29" t="s">
        <v>1008</v>
      </c>
      <c r="K948" s="29" t="s">
        <v>1455</v>
      </c>
      <c r="L948" s="29"/>
      <c r="M948" s="34"/>
    </row>
    <row r="949" spans="2:13" ht="75">
      <c r="B949" s="32" t="str">
        <f t="shared" si="98"/>
        <v>2</v>
      </c>
      <c r="C949" s="33" t="str">
        <f t="shared" si="99"/>
        <v>4</v>
      </c>
      <c r="D949" s="33" t="str">
        <f t="shared" si="100"/>
        <v>1</v>
      </c>
      <c r="E949" s="33" t="str">
        <f t="shared" si="101"/>
        <v>8</v>
      </c>
      <c r="F949" s="33" t="str">
        <f t="shared" si="102"/>
        <v>99</v>
      </c>
      <c r="G949" s="33" t="str">
        <f t="shared" si="103"/>
        <v>0</v>
      </c>
      <c r="H949" s="33" t="str">
        <f t="shared" si="104"/>
        <v>0</v>
      </c>
      <c r="I949" s="28">
        <v>24189900</v>
      </c>
      <c r="J949" s="29" t="s">
        <v>1012</v>
      </c>
      <c r="K949" s="29" t="s">
        <v>1456</v>
      </c>
      <c r="L949" s="29"/>
      <c r="M949" s="34"/>
    </row>
    <row r="950" spans="2:13" ht="75">
      <c r="B950" s="32" t="str">
        <f t="shared" si="98"/>
        <v>2</v>
      </c>
      <c r="C950" s="33" t="str">
        <f t="shared" si="99"/>
        <v>4</v>
      </c>
      <c r="D950" s="33" t="str">
        <f t="shared" si="100"/>
        <v>1</v>
      </c>
      <c r="E950" s="33" t="str">
        <f t="shared" si="101"/>
        <v>8</v>
      </c>
      <c r="F950" s="33" t="str">
        <f t="shared" si="102"/>
        <v>99</v>
      </c>
      <c r="G950" s="33" t="str">
        <f t="shared" si="103"/>
        <v>1</v>
      </c>
      <c r="H950" s="33" t="str">
        <f t="shared" si="104"/>
        <v>0</v>
      </c>
      <c r="I950" s="28">
        <v>24189910</v>
      </c>
      <c r="J950" s="29" t="s">
        <v>1012</v>
      </c>
      <c r="K950" s="29" t="s">
        <v>1456</v>
      </c>
      <c r="L950" s="29"/>
      <c r="M950" s="34"/>
    </row>
    <row r="951" spans="2:13" ht="60">
      <c r="B951" s="32" t="str">
        <f t="shared" si="98"/>
        <v>2</v>
      </c>
      <c r="C951" s="33" t="str">
        <f t="shared" si="99"/>
        <v>4</v>
      </c>
      <c r="D951" s="33" t="str">
        <f t="shared" si="100"/>
        <v>2</v>
      </c>
      <c r="E951" s="33" t="str">
        <f t="shared" si="101"/>
        <v>0</v>
      </c>
      <c r="F951" s="33" t="str">
        <f t="shared" si="102"/>
        <v>00</v>
      </c>
      <c r="G951" s="33" t="str">
        <f t="shared" si="103"/>
        <v>0</v>
      </c>
      <c r="H951" s="33" t="str">
        <f t="shared" si="104"/>
        <v>0</v>
      </c>
      <c r="I951" s="28">
        <v>24200000</v>
      </c>
      <c r="J951" s="29" t="s">
        <v>1014</v>
      </c>
      <c r="K951" s="29" t="s">
        <v>1457</v>
      </c>
      <c r="L951" s="29"/>
      <c r="M951" s="34"/>
    </row>
    <row r="952" spans="2:13" ht="60">
      <c r="B952" s="32" t="str">
        <f t="shared" si="98"/>
        <v>2</v>
      </c>
      <c r="C952" s="33" t="str">
        <f t="shared" si="99"/>
        <v>4</v>
      </c>
      <c r="D952" s="33" t="str">
        <f t="shared" si="100"/>
        <v>2</v>
      </c>
      <c r="E952" s="33" t="str">
        <f t="shared" si="101"/>
        <v>0</v>
      </c>
      <c r="F952" s="33" t="str">
        <f t="shared" si="102"/>
        <v>00</v>
      </c>
      <c r="G952" s="33" t="str">
        <f t="shared" si="103"/>
        <v>1</v>
      </c>
      <c r="H952" s="33" t="str">
        <f t="shared" si="104"/>
        <v>0</v>
      </c>
      <c r="I952" s="28">
        <v>24200010</v>
      </c>
      <c r="J952" s="29" t="s">
        <v>1014</v>
      </c>
      <c r="K952" s="29" t="s">
        <v>1457</v>
      </c>
      <c r="L952" s="29"/>
      <c r="M952" s="34"/>
    </row>
    <row r="953" spans="2:13" ht="45">
      <c r="B953" s="32" t="str">
        <f t="shared" si="98"/>
        <v>2</v>
      </c>
      <c r="C953" s="33" t="str">
        <f t="shared" si="99"/>
        <v>4</v>
      </c>
      <c r="D953" s="33" t="str">
        <f t="shared" si="100"/>
        <v>2</v>
      </c>
      <c r="E953" s="33" t="str">
        <f t="shared" si="101"/>
        <v>8</v>
      </c>
      <c r="F953" s="33" t="str">
        <f t="shared" si="102"/>
        <v>00</v>
      </c>
      <c r="G953" s="33" t="str">
        <f t="shared" si="103"/>
        <v>0</v>
      </c>
      <c r="H953" s="33" t="str">
        <f t="shared" si="104"/>
        <v>0</v>
      </c>
      <c r="I953" s="28">
        <v>24280000</v>
      </c>
      <c r="J953" s="29" t="s">
        <v>1458</v>
      </c>
      <c r="K953" s="29" t="s">
        <v>1459</v>
      </c>
      <c r="L953" s="29"/>
      <c r="M953" s="34"/>
    </row>
    <row r="954" spans="2:13" ht="45">
      <c r="B954" s="32" t="str">
        <f t="shared" si="98"/>
        <v>2</v>
      </c>
      <c r="C954" s="33" t="str">
        <f t="shared" si="99"/>
        <v>4</v>
      </c>
      <c r="D954" s="33" t="str">
        <f t="shared" si="100"/>
        <v>2</v>
      </c>
      <c r="E954" s="33" t="str">
        <f t="shared" si="101"/>
        <v>8</v>
      </c>
      <c r="F954" s="33" t="str">
        <f t="shared" si="102"/>
        <v>01</v>
      </c>
      <c r="G954" s="33" t="str">
        <f t="shared" si="103"/>
        <v>0</v>
      </c>
      <c r="H954" s="33" t="str">
        <f t="shared" si="104"/>
        <v>0</v>
      </c>
      <c r="I954" s="28">
        <v>24280100</v>
      </c>
      <c r="J954" s="29" t="s">
        <v>1460</v>
      </c>
      <c r="K954" s="29" t="s">
        <v>1461</v>
      </c>
      <c r="L954" s="29"/>
      <c r="M954" s="34"/>
    </row>
    <row r="955" spans="2:13" ht="45">
      <c r="B955" s="32" t="str">
        <f t="shared" si="98"/>
        <v>2</v>
      </c>
      <c r="C955" s="33" t="str">
        <f t="shared" si="99"/>
        <v>4</v>
      </c>
      <c r="D955" s="33" t="str">
        <f t="shared" si="100"/>
        <v>2</v>
      </c>
      <c r="E955" s="33" t="str">
        <f t="shared" si="101"/>
        <v>8</v>
      </c>
      <c r="F955" s="33" t="str">
        <f t="shared" si="102"/>
        <v>01</v>
      </c>
      <c r="G955" s="33" t="str">
        <f t="shared" si="103"/>
        <v>1</v>
      </c>
      <c r="H955" s="33" t="str">
        <f t="shared" si="104"/>
        <v>0</v>
      </c>
      <c r="I955" s="28">
        <v>24280110</v>
      </c>
      <c r="J955" s="29" t="s">
        <v>1460</v>
      </c>
      <c r="K955" s="29" t="s">
        <v>1462</v>
      </c>
      <c r="L955" s="29"/>
      <c r="M955" s="34"/>
    </row>
    <row r="956" spans="2:13" ht="60">
      <c r="B956" s="32" t="str">
        <f t="shared" si="98"/>
        <v>2</v>
      </c>
      <c r="C956" s="33" t="str">
        <f t="shared" si="99"/>
        <v>4</v>
      </c>
      <c r="D956" s="33" t="str">
        <f t="shared" si="100"/>
        <v>2</v>
      </c>
      <c r="E956" s="33" t="str">
        <f t="shared" si="101"/>
        <v>8</v>
      </c>
      <c r="F956" s="33" t="str">
        <f t="shared" si="102"/>
        <v>03</v>
      </c>
      <c r="G956" s="33" t="str">
        <f t="shared" si="103"/>
        <v>0</v>
      </c>
      <c r="H956" s="33" t="str">
        <f t="shared" si="104"/>
        <v>0</v>
      </c>
      <c r="I956" s="28">
        <v>24280300</v>
      </c>
      <c r="J956" s="29" t="s">
        <v>1058</v>
      </c>
      <c r="K956" s="29" t="s">
        <v>1463</v>
      </c>
      <c r="L956" s="29"/>
      <c r="M956" s="34"/>
    </row>
    <row r="957" spans="2:13" ht="60">
      <c r="B957" s="32" t="str">
        <f t="shared" si="98"/>
        <v>2</v>
      </c>
      <c r="C957" s="33" t="str">
        <f t="shared" si="99"/>
        <v>4</v>
      </c>
      <c r="D957" s="33" t="str">
        <f t="shared" si="100"/>
        <v>2</v>
      </c>
      <c r="E957" s="33" t="str">
        <f t="shared" si="101"/>
        <v>8</v>
      </c>
      <c r="F957" s="33" t="str">
        <f t="shared" si="102"/>
        <v>03</v>
      </c>
      <c r="G957" s="33" t="str">
        <f t="shared" si="103"/>
        <v>1</v>
      </c>
      <c r="H957" s="33" t="str">
        <f t="shared" si="104"/>
        <v>0</v>
      </c>
      <c r="I957" s="28">
        <v>24280310</v>
      </c>
      <c r="J957" s="29" t="s">
        <v>1058</v>
      </c>
      <c r="K957" s="29" t="s">
        <v>1463</v>
      </c>
      <c r="L957" s="29"/>
      <c r="M957" s="34"/>
    </row>
    <row r="958" spans="2:13" ht="45">
      <c r="B958" s="32" t="str">
        <f t="shared" si="98"/>
        <v>2</v>
      </c>
      <c r="C958" s="33" t="str">
        <f t="shared" si="99"/>
        <v>4</v>
      </c>
      <c r="D958" s="33" t="str">
        <f t="shared" si="100"/>
        <v>2</v>
      </c>
      <c r="E958" s="33" t="str">
        <f t="shared" si="101"/>
        <v>8</v>
      </c>
      <c r="F958" s="33" t="str">
        <f t="shared" si="102"/>
        <v>05</v>
      </c>
      <c r="G958" s="33" t="str">
        <f t="shared" si="103"/>
        <v>0</v>
      </c>
      <c r="H958" s="33" t="str">
        <f t="shared" si="104"/>
        <v>0</v>
      </c>
      <c r="I958" s="28">
        <v>24280500</v>
      </c>
      <c r="J958" s="29" t="s">
        <v>1433</v>
      </c>
      <c r="K958" s="29" t="s">
        <v>1464</v>
      </c>
      <c r="L958" s="29"/>
      <c r="M958" s="34"/>
    </row>
    <row r="959" spans="2:13" ht="45">
      <c r="B959" s="32" t="str">
        <f t="shared" si="98"/>
        <v>2</v>
      </c>
      <c r="C959" s="33" t="str">
        <f t="shared" si="99"/>
        <v>4</v>
      </c>
      <c r="D959" s="33" t="str">
        <f t="shared" si="100"/>
        <v>2</v>
      </c>
      <c r="E959" s="33" t="str">
        <f t="shared" si="101"/>
        <v>8</v>
      </c>
      <c r="F959" s="33" t="str">
        <f t="shared" si="102"/>
        <v>05</v>
      </c>
      <c r="G959" s="33" t="str">
        <f t="shared" si="103"/>
        <v>1</v>
      </c>
      <c r="H959" s="33" t="str">
        <f t="shared" si="104"/>
        <v>0</v>
      </c>
      <c r="I959" s="28">
        <v>24280510</v>
      </c>
      <c r="J959" s="29" t="s">
        <v>1433</v>
      </c>
      <c r="K959" s="29" t="s">
        <v>1464</v>
      </c>
      <c r="L959" s="29"/>
      <c r="M959" s="34"/>
    </row>
    <row r="960" spans="2:13" ht="60">
      <c r="B960" s="32" t="str">
        <f t="shared" si="98"/>
        <v>2</v>
      </c>
      <c r="C960" s="33" t="str">
        <f t="shared" si="99"/>
        <v>4</v>
      </c>
      <c r="D960" s="33" t="str">
        <f t="shared" si="100"/>
        <v>2</v>
      </c>
      <c r="E960" s="33" t="str">
        <f t="shared" si="101"/>
        <v>8</v>
      </c>
      <c r="F960" s="33" t="str">
        <f t="shared" si="102"/>
        <v>10</v>
      </c>
      <c r="G960" s="33" t="str">
        <f t="shared" si="103"/>
        <v>0</v>
      </c>
      <c r="H960" s="33" t="str">
        <f t="shared" si="104"/>
        <v>0</v>
      </c>
      <c r="I960" s="28">
        <v>24281000</v>
      </c>
      <c r="J960" s="29" t="s">
        <v>1465</v>
      </c>
      <c r="K960" s="29" t="s">
        <v>1466</v>
      </c>
      <c r="L960" s="29"/>
      <c r="M960" s="34"/>
    </row>
    <row r="961" spans="2:13" ht="45">
      <c r="B961" s="32" t="str">
        <f t="shared" si="98"/>
        <v>2</v>
      </c>
      <c r="C961" s="33" t="str">
        <f t="shared" si="99"/>
        <v>4</v>
      </c>
      <c r="D961" s="33" t="str">
        <f t="shared" si="100"/>
        <v>2</v>
      </c>
      <c r="E961" s="33" t="str">
        <f t="shared" si="101"/>
        <v>8</v>
      </c>
      <c r="F961" s="33" t="str">
        <f t="shared" si="102"/>
        <v>10</v>
      </c>
      <c r="G961" s="33" t="str">
        <f t="shared" si="103"/>
        <v>1</v>
      </c>
      <c r="H961" s="33" t="str">
        <f t="shared" si="104"/>
        <v>0</v>
      </c>
      <c r="I961" s="28">
        <v>24281010</v>
      </c>
      <c r="J961" s="29" t="s">
        <v>1467</v>
      </c>
      <c r="K961" s="29" t="s">
        <v>1468</v>
      </c>
      <c r="L961" s="29"/>
      <c r="M961" s="34"/>
    </row>
    <row r="962" spans="2:13" ht="45">
      <c r="B962" s="32" t="str">
        <f t="shared" si="98"/>
        <v>2</v>
      </c>
      <c r="C962" s="33" t="str">
        <f t="shared" si="99"/>
        <v>4</v>
      </c>
      <c r="D962" s="33" t="str">
        <f t="shared" si="100"/>
        <v>2</v>
      </c>
      <c r="E962" s="33" t="str">
        <f t="shared" si="101"/>
        <v>8</v>
      </c>
      <c r="F962" s="33" t="str">
        <f t="shared" si="102"/>
        <v>10</v>
      </c>
      <c r="G962" s="33" t="str">
        <f t="shared" si="103"/>
        <v>2</v>
      </c>
      <c r="H962" s="33" t="str">
        <f t="shared" si="104"/>
        <v>0</v>
      </c>
      <c r="I962" s="28">
        <v>24281020</v>
      </c>
      <c r="J962" s="29" t="s">
        <v>1469</v>
      </c>
      <c r="K962" s="29" t="s">
        <v>1470</v>
      </c>
      <c r="L962" s="29"/>
      <c r="M962" s="34"/>
    </row>
    <row r="963" spans="2:13" ht="45">
      <c r="B963" s="32" t="str">
        <f t="shared" si="98"/>
        <v>2</v>
      </c>
      <c r="C963" s="33" t="str">
        <f t="shared" si="99"/>
        <v>4</v>
      </c>
      <c r="D963" s="33" t="str">
        <f t="shared" si="100"/>
        <v>2</v>
      </c>
      <c r="E963" s="33" t="str">
        <f t="shared" si="101"/>
        <v>8</v>
      </c>
      <c r="F963" s="33" t="str">
        <f t="shared" si="102"/>
        <v>10</v>
      </c>
      <c r="G963" s="33" t="str">
        <f t="shared" si="103"/>
        <v>5</v>
      </c>
      <c r="H963" s="33" t="str">
        <f t="shared" si="104"/>
        <v>0</v>
      </c>
      <c r="I963" s="28">
        <v>24281050</v>
      </c>
      <c r="J963" s="29" t="s">
        <v>1471</v>
      </c>
      <c r="K963" s="29" t="s">
        <v>1472</v>
      </c>
      <c r="L963" s="29"/>
      <c r="M963" s="34"/>
    </row>
    <row r="964" spans="2:13" ht="90">
      <c r="B964" s="32" t="str">
        <f t="shared" si="98"/>
        <v>2</v>
      </c>
      <c r="C964" s="33" t="str">
        <f t="shared" si="99"/>
        <v>4</v>
      </c>
      <c r="D964" s="33" t="str">
        <f t="shared" si="100"/>
        <v>2</v>
      </c>
      <c r="E964" s="33" t="str">
        <f t="shared" si="101"/>
        <v>8</v>
      </c>
      <c r="F964" s="33" t="str">
        <f t="shared" si="102"/>
        <v>10</v>
      </c>
      <c r="G964" s="33" t="str">
        <f t="shared" si="103"/>
        <v>6</v>
      </c>
      <c r="H964" s="33" t="str">
        <f t="shared" si="104"/>
        <v>0</v>
      </c>
      <c r="I964" s="28">
        <v>24281060</v>
      </c>
      <c r="J964" s="29" t="s">
        <v>1473</v>
      </c>
      <c r="K964" s="29" t="s">
        <v>1474</v>
      </c>
      <c r="L964" s="29"/>
      <c r="M964" s="34"/>
    </row>
    <row r="965" spans="2:13" ht="90">
      <c r="B965" s="32" t="str">
        <f t="shared" si="98"/>
        <v>2</v>
      </c>
      <c r="C965" s="33" t="str">
        <f t="shared" si="99"/>
        <v>4</v>
      </c>
      <c r="D965" s="33" t="str">
        <f t="shared" si="100"/>
        <v>2</v>
      </c>
      <c r="E965" s="33" t="str">
        <f t="shared" si="101"/>
        <v>8</v>
      </c>
      <c r="F965" s="33" t="str">
        <f t="shared" si="102"/>
        <v>10</v>
      </c>
      <c r="G965" s="33" t="str">
        <f t="shared" si="103"/>
        <v>7</v>
      </c>
      <c r="H965" s="33" t="str">
        <f t="shared" si="104"/>
        <v>0</v>
      </c>
      <c r="I965" s="28">
        <v>24281070</v>
      </c>
      <c r="J965" s="29" t="s">
        <v>1475</v>
      </c>
      <c r="K965" s="29" t="s">
        <v>1476</v>
      </c>
      <c r="L965" s="29"/>
      <c r="M965" s="34"/>
    </row>
    <row r="966" spans="2:13" ht="45">
      <c r="B966" s="32" t="str">
        <f t="shared" si="98"/>
        <v>2</v>
      </c>
      <c r="C966" s="33" t="str">
        <f t="shared" si="99"/>
        <v>4</v>
      </c>
      <c r="D966" s="33" t="str">
        <f t="shared" si="100"/>
        <v>2</v>
      </c>
      <c r="E966" s="33" t="str">
        <f t="shared" si="101"/>
        <v>8</v>
      </c>
      <c r="F966" s="33" t="str">
        <f t="shared" si="102"/>
        <v>10</v>
      </c>
      <c r="G966" s="33" t="str">
        <f t="shared" si="103"/>
        <v>9</v>
      </c>
      <c r="H966" s="33" t="str">
        <f t="shared" si="104"/>
        <v>0</v>
      </c>
      <c r="I966" s="28">
        <v>24281090</v>
      </c>
      <c r="J966" s="29" t="s">
        <v>1051</v>
      </c>
      <c r="K966" s="29" t="s">
        <v>1477</v>
      </c>
      <c r="L966" s="29"/>
      <c r="M966" s="34"/>
    </row>
    <row r="967" spans="2:13" ht="60">
      <c r="B967" s="32" t="str">
        <f t="shared" si="98"/>
        <v>2</v>
      </c>
      <c r="C967" s="33" t="str">
        <f t="shared" si="99"/>
        <v>4</v>
      </c>
      <c r="D967" s="33" t="str">
        <f t="shared" si="100"/>
        <v>2</v>
      </c>
      <c r="E967" s="33" t="str">
        <f t="shared" si="101"/>
        <v>8</v>
      </c>
      <c r="F967" s="33" t="str">
        <f t="shared" si="102"/>
        <v>99</v>
      </c>
      <c r="G967" s="33" t="str">
        <f t="shared" si="103"/>
        <v>0</v>
      </c>
      <c r="H967" s="33" t="str">
        <f t="shared" si="104"/>
        <v>0</v>
      </c>
      <c r="I967" s="28">
        <v>24289900</v>
      </c>
      <c r="J967" s="29" t="s">
        <v>1029</v>
      </c>
      <c r="K967" s="29" t="s">
        <v>1478</v>
      </c>
      <c r="L967" s="29"/>
      <c r="M967" s="34"/>
    </row>
    <row r="968" spans="2:13" ht="60">
      <c r="B968" s="32" t="str">
        <f t="shared" si="98"/>
        <v>2</v>
      </c>
      <c r="C968" s="33" t="str">
        <f t="shared" si="99"/>
        <v>4</v>
      </c>
      <c r="D968" s="33" t="str">
        <f t="shared" si="100"/>
        <v>2</v>
      </c>
      <c r="E968" s="33" t="str">
        <f t="shared" si="101"/>
        <v>8</v>
      </c>
      <c r="F968" s="33" t="str">
        <f t="shared" si="102"/>
        <v>99</v>
      </c>
      <c r="G968" s="33" t="str">
        <f t="shared" si="103"/>
        <v>1</v>
      </c>
      <c r="H968" s="33" t="str">
        <f t="shared" si="104"/>
        <v>0</v>
      </c>
      <c r="I968" s="28">
        <v>24289910</v>
      </c>
      <c r="J968" s="29" t="s">
        <v>1029</v>
      </c>
      <c r="K968" s="29" t="s">
        <v>1478</v>
      </c>
      <c r="L968" s="29"/>
      <c r="M968" s="34"/>
    </row>
    <row r="969" spans="2:13" ht="60">
      <c r="B969" s="32" t="str">
        <f t="shared" si="98"/>
        <v>2</v>
      </c>
      <c r="C969" s="33" t="str">
        <f t="shared" si="99"/>
        <v>4</v>
      </c>
      <c r="D969" s="33" t="str">
        <f t="shared" si="100"/>
        <v>3</v>
      </c>
      <c r="E969" s="33" t="str">
        <f t="shared" si="101"/>
        <v>0</v>
      </c>
      <c r="F969" s="33" t="str">
        <f t="shared" si="102"/>
        <v>00</v>
      </c>
      <c r="G969" s="33" t="str">
        <f t="shared" si="103"/>
        <v>0</v>
      </c>
      <c r="H969" s="33" t="str">
        <f t="shared" si="104"/>
        <v>0</v>
      </c>
      <c r="I969" s="28">
        <v>24300000</v>
      </c>
      <c r="J969" s="29" t="s">
        <v>1054</v>
      </c>
      <c r="K969" s="29" t="s">
        <v>1479</v>
      </c>
      <c r="L969" s="29"/>
      <c r="M969" s="34"/>
    </row>
    <row r="970" spans="2:13" ht="60">
      <c r="B970" s="32" t="str">
        <f t="shared" si="98"/>
        <v>2</v>
      </c>
      <c r="C970" s="33" t="str">
        <f t="shared" si="99"/>
        <v>4</v>
      </c>
      <c r="D970" s="33" t="str">
        <f t="shared" si="100"/>
        <v>3</v>
      </c>
      <c r="E970" s="33" t="str">
        <f t="shared" si="101"/>
        <v>0</v>
      </c>
      <c r="F970" s="33" t="str">
        <f t="shared" si="102"/>
        <v>00</v>
      </c>
      <c r="G970" s="33" t="str">
        <f t="shared" si="103"/>
        <v>1</v>
      </c>
      <c r="H970" s="33" t="str">
        <f t="shared" si="104"/>
        <v>0</v>
      </c>
      <c r="I970" s="28">
        <v>24300010</v>
      </c>
      <c r="J970" s="29" t="s">
        <v>1054</v>
      </c>
      <c r="K970" s="29" t="s">
        <v>1479</v>
      </c>
      <c r="L970" s="29"/>
      <c r="M970" s="34"/>
    </row>
    <row r="971" spans="2:13" ht="45">
      <c r="B971" s="32" t="str">
        <f t="shared" si="98"/>
        <v>2</v>
      </c>
      <c r="C971" s="33" t="str">
        <f t="shared" si="99"/>
        <v>4</v>
      </c>
      <c r="D971" s="33" t="str">
        <f t="shared" si="100"/>
        <v>3</v>
      </c>
      <c r="E971" s="33" t="str">
        <f t="shared" si="101"/>
        <v>8</v>
      </c>
      <c r="F971" s="33" t="str">
        <f t="shared" si="102"/>
        <v>00</v>
      </c>
      <c r="G971" s="33" t="str">
        <f t="shared" si="103"/>
        <v>0</v>
      </c>
      <c r="H971" s="33" t="str">
        <f t="shared" si="104"/>
        <v>0</v>
      </c>
      <c r="I971" s="28">
        <v>24380000</v>
      </c>
      <c r="J971" s="29" t="s">
        <v>1054</v>
      </c>
      <c r="K971" s="29" t="s">
        <v>1480</v>
      </c>
      <c r="L971" s="29"/>
      <c r="M971" s="34"/>
    </row>
    <row r="972" spans="2:13" ht="30">
      <c r="B972" s="32" t="str">
        <f t="shared" si="98"/>
        <v>2</v>
      </c>
      <c r="C972" s="33" t="str">
        <f t="shared" si="99"/>
        <v>4</v>
      </c>
      <c r="D972" s="33" t="str">
        <f t="shared" si="100"/>
        <v>3</v>
      </c>
      <c r="E972" s="33" t="str">
        <f t="shared" si="101"/>
        <v>8</v>
      </c>
      <c r="F972" s="33" t="str">
        <f t="shared" si="102"/>
        <v>01</v>
      </c>
      <c r="G972" s="33" t="str">
        <f t="shared" si="103"/>
        <v>0</v>
      </c>
      <c r="H972" s="33" t="str">
        <f t="shared" si="104"/>
        <v>0</v>
      </c>
      <c r="I972" s="28">
        <v>24380100</v>
      </c>
      <c r="J972" s="29" t="s">
        <v>1060</v>
      </c>
      <c r="K972" s="29" t="s">
        <v>1481</v>
      </c>
      <c r="L972" s="29"/>
      <c r="M972" s="34"/>
    </row>
    <row r="973" spans="2:13" ht="30">
      <c r="B973" s="32" t="str">
        <f t="shared" si="98"/>
        <v>2</v>
      </c>
      <c r="C973" s="33" t="str">
        <f t="shared" si="99"/>
        <v>4</v>
      </c>
      <c r="D973" s="33" t="str">
        <f t="shared" si="100"/>
        <v>3</v>
      </c>
      <c r="E973" s="33" t="str">
        <f t="shared" si="101"/>
        <v>8</v>
      </c>
      <c r="F973" s="33" t="str">
        <f t="shared" si="102"/>
        <v>01</v>
      </c>
      <c r="G973" s="33" t="str">
        <f t="shared" si="103"/>
        <v>1</v>
      </c>
      <c r="H973" s="33" t="str">
        <f t="shared" si="104"/>
        <v>0</v>
      </c>
      <c r="I973" s="28">
        <v>24380110</v>
      </c>
      <c r="J973" s="29" t="s">
        <v>1060</v>
      </c>
      <c r="K973" s="29" t="s">
        <v>1481</v>
      </c>
      <c r="L973" s="29"/>
      <c r="M973" s="34"/>
    </row>
    <row r="974" spans="2:13" ht="60">
      <c r="B974" s="32" t="str">
        <f t="shared" ref="B974:B1030" si="105">MID($I974,1,1)</f>
        <v>2</v>
      </c>
      <c r="C974" s="33" t="str">
        <f t="shared" ref="C974:C1030" si="106">MID($I974,2,1)</f>
        <v>4</v>
      </c>
      <c r="D974" s="33" t="str">
        <f t="shared" ref="D974:D1030" si="107">MID($I974,3,1)</f>
        <v>3</v>
      </c>
      <c r="E974" s="33" t="str">
        <f t="shared" ref="E974:E1030" si="108">MID($I974,4,1)</f>
        <v>8</v>
      </c>
      <c r="F974" s="33" t="str">
        <f t="shared" ref="F974:F1030" si="109">MID($I974,5,2)</f>
        <v>10</v>
      </c>
      <c r="G974" s="33" t="str">
        <f t="shared" ref="G974:G1030" si="110">MID($I974,7,1)</f>
        <v>0</v>
      </c>
      <c r="H974" s="33" t="str">
        <f t="shared" ref="H974:H1030" si="111">MID($I974,8,1)</f>
        <v>0</v>
      </c>
      <c r="I974" s="28">
        <v>24381000</v>
      </c>
      <c r="J974" s="29" t="s">
        <v>1482</v>
      </c>
      <c r="K974" s="29" t="s">
        <v>1483</v>
      </c>
      <c r="L974" s="29"/>
      <c r="M974" s="34"/>
    </row>
    <row r="975" spans="2:13" ht="45">
      <c r="B975" s="32" t="str">
        <f t="shared" si="105"/>
        <v>2</v>
      </c>
      <c r="C975" s="33" t="str">
        <f t="shared" si="106"/>
        <v>4</v>
      </c>
      <c r="D975" s="33" t="str">
        <f t="shared" si="107"/>
        <v>3</v>
      </c>
      <c r="E975" s="33" t="str">
        <f t="shared" si="108"/>
        <v>8</v>
      </c>
      <c r="F975" s="33" t="str">
        <f t="shared" si="109"/>
        <v>10</v>
      </c>
      <c r="G975" s="33" t="str">
        <f t="shared" si="110"/>
        <v>1</v>
      </c>
      <c r="H975" s="33" t="str">
        <f t="shared" si="111"/>
        <v>0</v>
      </c>
      <c r="I975" s="28">
        <v>24381010</v>
      </c>
      <c r="J975" s="29" t="s">
        <v>1484</v>
      </c>
      <c r="K975" s="29" t="s">
        <v>1485</v>
      </c>
      <c r="L975" s="29"/>
      <c r="M975" s="34"/>
    </row>
    <row r="976" spans="2:13" ht="45">
      <c r="B976" s="32" t="str">
        <f t="shared" si="105"/>
        <v>2</v>
      </c>
      <c r="C976" s="33" t="str">
        <f t="shared" si="106"/>
        <v>4</v>
      </c>
      <c r="D976" s="33" t="str">
        <f t="shared" si="107"/>
        <v>3</v>
      </c>
      <c r="E976" s="33" t="str">
        <f t="shared" si="108"/>
        <v>8</v>
      </c>
      <c r="F976" s="33" t="str">
        <f t="shared" si="109"/>
        <v>10</v>
      </c>
      <c r="G976" s="33" t="str">
        <f t="shared" si="110"/>
        <v>2</v>
      </c>
      <c r="H976" s="33" t="str">
        <f t="shared" si="111"/>
        <v>0</v>
      </c>
      <c r="I976" s="28">
        <v>24381020</v>
      </c>
      <c r="J976" s="29" t="s">
        <v>1486</v>
      </c>
      <c r="K976" s="29" t="s">
        <v>1487</v>
      </c>
      <c r="L976" s="29"/>
      <c r="M976" s="34"/>
    </row>
    <row r="977" spans="2:13" ht="45">
      <c r="B977" s="32" t="str">
        <f t="shared" si="105"/>
        <v>2</v>
      </c>
      <c r="C977" s="33" t="str">
        <f t="shared" si="106"/>
        <v>4</v>
      </c>
      <c r="D977" s="33" t="str">
        <f t="shared" si="107"/>
        <v>3</v>
      </c>
      <c r="E977" s="33" t="str">
        <f t="shared" si="108"/>
        <v>8</v>
      </c>
      <c r="F977" s="33" t="str">
        <f t="shared" si="109"/>
        <v>10</v>
      </c>
      <c r="G977" s="33" t="str">
        <f t="shared" si="110"/>
        <v>3</v>
      </c>
      <c r="H977" s="33" t="str">
        <f t="shared" si="111"/>
        <v>0</v>
      </c>
      <c r="I977" s="28">
        <v>24381030</v>
      </c>
      <c r="J977" s="29" t="s">
        <v>1488</v>
      </c>
      <c r="K977" s="29" t="s">
        <v>1489</v>
      </c>
      <c r="L977" s="29"/>
      <c r="M977" s="34"/>
    </row>
    <row r="978" spans="2:13" ht="45">
      <c r="B978" s="32" t="str">
        <f t="shared" si="105"/>
        <v>2</v>
      </c>
      <c r="C978" s="33" t="str">
        <f t="shared" si="106"/>
        <v>4</v>
      </c>
      <c r="D978" s="33" t="str">
        <f t="shared" si="107"/>
        <v>3</v>
      </c>
      <c r="E978" s="33" t="str">
        <f t="shared" si="108"/>
        <v>8</v>
      </c>
      <c r="F978" s="33" t="str">
        <f t="shared" si="109"/>
        <v>10</v>
      </c>
      <c r="G978" s="33" t="str">
        <f t="shared" si="110"/>
        <v>9</v>
      </c>
      <c r="H978" s="33" t="str">
        <f t="shared" si="111"/>
        <v>0</v>
      </c>
      <c r="I978" s="28">
        <v>24381090</v>
      </c>
      <c r="J978" s="29" t="s">
        <v>1068</v>
      </c>
      <c r="K978" s="29" t="s">
        <v>1490</v>
      </c>
      <c r="L978" s="29"/>
      <c r="M978" s="34"/>
    </row>
    <row r="979" spans="2:13" ht="45">
      <c r="B979" s="32" t="str">
        <f t="shared" si="105"/>
        <v>2</v>
      </c>
      <c r="C979" s="33" t="str">
        <f t="shared" si="106"/>
        <v>4</v>
      </c>
      <c r="D979" s="33" t="str">
        <f t="shared" si="107"/>
        <v>3</v>
      </c>
      <c r="E979" s="33" t="str">
        <f t="shared" si="108"/>
        <v>8</v>
      </c>
      <c r="F979" s="33" t="str">
        <f t="shared" si="109"/>
        <v>99</v>
      </c>
      <c r="G979" s="33" t="str">
        <f t="shared" si="110"/>
        <v>0</v>
      </c>
      <c r="H979" s="33" t="str">
        <f t="shared" si="111"/>
        <v>0</v>
      </c>
      <c r="I979" s="28">
        <v>24389900</v>
      </c>
      <c r="J979" s="29" t="s">
        <v>1070</v>
      </c>
      <c r="K979" s="29" t="s">
        <v>1491</v>
      </c>
      <c r="L979" s="29"/>
      <c r="M979" s="34"/>
    </row>
    <row r="980" spans="2:13" ht="45">
      <c r="B980" s="32" t="str">
        <f t="shared" si="105"/>
        <v>2</v>
      </c>
      <c r="C980" s="33" t="str">
        <f t="shared" si="106"/>
        <v>4</v>
      </c>
      <c r="D980" s="33" t="str">
        <f t="shared" si="107"/>
        <v>3</v>
      </c>
      <c r="E980" s="33" t="str">
        <f t="shared" si="108"/>
        <v>8</v>
      </c>
      <c r="F980" s="33" t="str">
        <f t="shared" si="109"/>
        <v>99</v>
      </c>
      <c r="G980" s="33" t="str">
        <f t="shared" si="110"/>
        <v>1</v>
      </c>
      <c r="H980" s="33" t="str">
        <f t="shared" si="111"/>
        <v>0</v>
      </c>
      <c r="I980" s="28">
        <v>24389910</v>
      </c>
      <c r="J980" s="29" t="s">
        <v>1070</v>
      </c>
      <c r="K980" s="29" t="s">
        <v>1491</v>
      </c>
      <c r="L980" s="29"/>
      <c r="M980" s="34"/>
    </row>
    <row r="981" spans="2:13" ht="75">
      <c r="B981" s="32" t="str">
        <f t="shared" si="105"/>
        <v>2</v>
      </c>
      <c r="C981" s="33" t="str">
        <f t="shared" si="106"/>
        <v>4</v>
      </c>
      <c r="D981" s="33" t="str">
        <f t="shared" si="107"/>
        <v>4</v>
      </c>
      <c r="E981" s="33" t="str">
        <f t="shared" si="108"/>
        <v>0</v>
      </c>
      <c r="F981" s="33" t="str">
        <f t="shared" si="109"/>
        <v>00</v>
      </c>
      <c r="G981" s="33" t="str">
        <f t="shared" si="110"/>
        <v>0</v>
      </c>
      <c r="H981" s="33" t="str">
        <f t="shared" si="111"/>
        <v>0</v>
      </c>
      <c r="I981" s="28">
        <v>24400000</v>
      </c>
      <c r="J981" s="29" t="s">
        <v>1072</v>
      </c>
      <c r="K981" s="29" t="s">
        <v>1492</v>
      </c>
      <c r="L981" s="29"/>
      <c r="M981" s="34"/>
    </row>
    <row r="982" spans="2:13" ht="75">
      <c r="B982" s="32" t="str">
        <f t="shared" si="105"/>
        <v>2</v>
      </c>
      <c r="C982" s="33" t="str">
        <f t="shared" si="106"/>
        <v>4</v>
      </c>
      <c r="D982" s="33" t="str">
        <f t="shared" si="107"/>
        <v>4</v>
      </c>
      <c r="E982" s="33" t="str">
        <f t="shared" si="108"/>
        <v>0</v>
      </c>
      <c r="F982" s="33" t="str">
        <f t="shared" si="109"/>
        <v>00</v>
      </c>
      <c r="G982" s="33" t="str">
        <f t="shared" si="110"/>
        <v>1</v>
      </c>
      <c r="H982" s="33" t="str">
        <f t="shared" si="111"/>
        <v>0</v>
      </c>
      <c r="I982" s="28">
        <v>24400010</v>
      </c>
      <c r="J982" s="29" t="s">
        <v>1072</v>
      </c>
      <c r="K982" s="29" t="s">
        <v>1492</v>
      </c>
      <c r="L982" s="29"/>
      <c r="M982" s="34"/>
    </row>
    <row r="983" spans="2:13" ht="75">
      <c r="B983" s="32" t="str">
        <f t="shared" si="105"/>
        <v>2</v>
      </c>
      <c r="C983" s="33" t="str">
        <f t="shared" si="106"/>
        <v>4</v>
      </c>
      <c r="D983" s="33" t="str">
        <f t="shared" si="107"/>
        <v>4</v>
      </c>
      <c r="E983" s="33" t="str">
        <f t="shared" si="108"/>
        <v>8</v>
      </c>
      <c r="F983" s="33" t="str">
        <f t="shared" si="109"/>
        <v>00</v>
      </c>
      <c r="G983" s="33" t="str">
        <f t="shared" si="110"/>
        <v>0</v>
      </c>
      <c r="H983" s="33" t="str">
        <f t="shared" si="111"/>
        <v>0</v>
      </c>
      <c r="I983" s="28">
        <v>24480000</v>
      </c>
      <c r="J983" s="29" t="s">
        <v>1075</v>
      </c>
      <c r="K983" s="29" t="s">
        <v>1493</v>
      </c>
      <c r="L983" s="29"/>
      <c r="M983" s="34"/>
    </row>
    <row r="984" spans="2:13" ht="60">
      <c r="B984" s="32" t="str">
        <f t="shared" si="105"/>
        <v>2</v>
      </c>
      <c r="C984" s="33" t="str">
        <f t="shared" si="106"/>
        <v>4</v>
      </c>
      <c r="D984" s="33" t="str">
        <f t="shared" si="107"/>
        <v>4</v>
      </c>
      <c r="E984" s="33" t="str">
        <f t="shared" si="108"/>
        <v>8</v>
      </c>
      <c r="F984" s="33" t="str">
        <f t="shared" si="109"/>
        <v>01</v>
      </c>
      <c r="G984" s="33" t="str">
        <f t="shared" si="110"/>
        <v>0</v>
      </c>
      <c r="H984" s="33" t="str">
        <f t="shared" si="111"/>
        <v>0</v>
      </c>
      <c r="I984" s="28">
        <v>24480100</v>
      </c>
      <c r="J984" s="29" t="s">
        <v>1494</v>
      </c>
      <c r="K984" s="29" t="s">
        <v>1495</v>
      </c>
      <c r="L984" s="29"/>
      <c r="M984" s="34"/>
    </row>
    <row r="985" spans="2:13" ht="60">
      <c r="B985" s="32" t="str">
        <f t="shared" si="105"/>
        <v>2</v>
      </c>
      <c r="C985" s="33" t="str">
        <f t="shared" si="106"/>
        <v>4</v>
      </c>
      <c r="D985" s="33" t="str">
        <f t="shared" si="107"/>
        <v>4</v>
      </c>
      <c r="E985" s="33" t="str">
        <f t="shared" si="108"/>
        <v>8</v>
      </c>
      <c r="F985" s="33" t="str">
        <f t="shared" si="109"/>
        <v>01</v>
      </c>
      <c r="G985" s="33" t="str">
        <f t="shared" si="110"/>
        <v>1</v>
      </c>
      <c r="H985" s="33" t="str">
        <f t="shared" si="111"/>
        <v>0</v>
      </c>
      <c r="I985" s="28">
        <v>24480110</v>
      </c>
      <c r="J985" s="29" t="s">
        <v>1496</v>
      </c>
      <c r="K985" s="29" t="s">
        <v>1497</v>
      </c>
      <c r="L985" s="29"/>
      <c r="M985" s="34"/>
    </row>
    <row r="986" spans="2:13" ht="60">
      <c r="B986" s="32" t="str">
        <f t="shared" si="105"/>
        <v>2</v>
      </c>
      <c r="C986" s="33" t="str">
        <f t="shared" si="106"/>
        <v>4</v>
      </c>
      <c r="D986" s="33" t="str">
        <f t="shared" si="107"/>
        <v>4</v>
      </c>
      <c r="E986" s="33" t="str">
        <f t="shared" si="108"/>
        <v>8</v>
      </c>
      <c r="F986" s="33" t="str">
        <f t="shared" si="109"/>
        <v>01</v>
      </c>
      <c r="G986" s="33" t="str">
        <f t="shared" si="110"/>
        <v>2</v>
      </c>
      <c r="H986" s="33" t="str">
        <f t="shared" si="111"/>
        <v>0</v>
      </c>
      <c r="I986" s="28">
        <v>24480120</v>
      </c>
      <c r="J986" s="29" t="s">
        <v>1498</v>
      </c>
      <c r="K986" s="29" t="s">
        <v>1499</v>
      </c>
      <c r="L986" s="29" t="s">
        <v>180</v>
      </c>
      <c r="M986" s="34"/>
    </row>
    <row r="987" spans="2:13" ht="60">
      <c r="B987" s="32" t="str">
        <f t="shared" si="105"/>
        <v>2</v>
      </c>
      <c r="C987" s="33" t="str">
        <f t="shared" si="106"/>
        <v>4</v>
      </c>
      <c r="D987" s="33" t="str">
        <f t="shared" si="107"/>
        <v>4</v>
      </c>
      <c r="E987" s="33" t="str">
        <f t="shared" si="108"/>
        <v>8</v>
      </c>
      <c r="F987" s="33" t="str">
        <f t="shared" si="109"/>
        <v>01</v>
      </c>
      <c r="G987" s="33" t="str">
        <f t="shared" si="110"/>
        <v>9</v>
      </c>
      <c r="H987" s="33" t="str">
        <f t="shared" si="111"/>
        <v>0</v>
      </c>
      <c r="I987" s="28">
        <v>24480190</v>
      </c>
      <c r="J987" s="29" t="s">
        <v>1083</v>
      </c>
      <c r="K987" s="29" t="s">
        <v>1500</v>
      </c>
      <c r="L987" s="29" t="s">
        <v>180</v>
      </c>
      <c r="M987" s="34"/>
    </row>
    <row r="988" spans="2:13" ht="60">
      <c r="B988" s="32" t="str">
        <f t="shared" si="105"/>
        <v>2</v>
      </c>
      <c r="C988" s="33" t="str">
        <f t="shared" si="106"/>
        <v>4</v>
      </c>
      <c r="D988" s="33" t="str">
        <f t="shared" si="107"/>
        <v>4</v>
      </c>
      <c r="E988" s="33" t="str">
        <f t="shared" si="108"/>
        <v>8</v>
      </c>
      <c r="F988" s="33" t="str">
        <f t="shared" si="109"/>
        <v>10</v>
      </c>
      <c r="G988" s="33" t="str">
        <f t="shared" si="110"/>
        <v>0</v>
      </c>
      <c r="H988" s="33" t="str">
        <f t="shared" si="111"/>
        <v>0</v>
      </c>
      <c r="I988" s="28">
        <v>24481000</v>
      </c>
      <c r="J988" s="29" t="s">
        <v>1074</v>
      </c>
      <c r="K988" s="29" t="s">
        <v>1501</v>
      </c>
      <c r="L988" s="29"/>
      <c r="M988" s="34"/>
    </row>
    <row r="989" spans="2:13" ht="60">
      <c r="B989" s="32" t="str">
        <f t="shared" si="105"/>
        <v>2</v>
      </c>
      <c r="C989" s="33" t="str">
        <f t="shared" si="106"/>
        <v>4</v>
      </c>
      <c r="D989" s="33" t="str">
        <f t="shared" si="107"/>
        <v>4</v>
      </c>
      <c r="E989" s="33" t="str">
        <f t="shared" si="108"/>
        <v>8</v>
      </c>
      <c r="F989" s="33" t="str">
        <f t="shared" si="109"/>
        <v>10</v>
      </c>
      <c r="G989" s="33" t="str">
        <f t="shared" si="110"/>
        <v>1</v>
      </c>
      <c r="H989" s="33" t="str">
        <f t="shared" si="111"/>
        <v>0</v>
      </c>
      <c r="I989" s="28">
        <v>24481010</v>
      </c>
      <c r="J989" s="29" t="s">
        <v>1074</v>
      </c>
      <c r="K989" s="29" t="s">
        <v>1501</v>
      </c>
      <c r="L989" s="29"/>
      <c r="M989" s="34"/>
    </row>
    <row r="990" spans="2:13" ht="75">
      <c r="B990" s="32" t="str">
        <f t="shared" si="105"/>
        <v>2</v>
      </c>
      <c r="C990" s="33" t="str">
        <f t="shared" si="106"/>
        <v>4</v>
      </c>
      <c r="D990" s="33" t="str">
        <f t="shared" si="107"/>
        <v>5</v>
      </c>
      <c r="E990" s="33" t="str">
        <f t="shared" si="108"/>
        <v>0</v>
      </c>
      <c r="F990" s="33" t="str">
        <f t="shared" si="109"/>
        <v>00</v>
      </c>
      <c r="G990" s="33" t="str">
        <f t="shared" si="110"/>
        <v>0</v>
      </c>
      <c r="H990" s="33" t="str">
        <f t="shared" si="111"/>
        <v>0</v>
      </c>
      <c r="I990" s="28">
        <v>24500000</v>
      </c>
      <c r="J990" s="29" t="s">
        <v>1087</v>
      </c>
      <c r="K990" s="29" t="s">
        <v>1502</v>
      </c>
      <c r="L990" s="29"/>
      <c r="M990" s="34"/>
    </row>
    <row r="991" spans="2:13" ht="75">
      <c r="B991" s="32" t="str">
        <f t="shared" si="105"/>
        <v>2</v>
      </c>
      <c r="C991" s="33" t="str">
        <f t="shared" si="106"/>
        <v>4</v>
      </c>
      <c r="D991" s="33" t="str">
        <f t="shared" si="107"/>
        <v>5</v>
      </c>
      <c r="E991" s="33" t="str">
        <f t="shared" si="108"/>
        <v>0</v>
      </c>
      <c r="F991" s="33" t="str">
        <f t="shared" si="109"/>
        <v>00</v>
      </c>
      <c r="G991" s="33" t="str">
        <f t="shared" si="110"/>
        <v>1</v>
      </c>
      <c r="H991" s="33" t="str">
        <f t="shared" si="111"/>
        <v>0</v>
      </c>
      <c r="I991" s="28">
        <v>24500010</v>
      </c>
      <c r="J991" s="29" t="s">
        <v>1087</v>
      </c>
      <c r="K991" s="29" t="s">
        <v>1502</v>
      </c>
      <c r="L991" s="29"/>
      <c r="M991" s="34"/>
    </row>
    <row r="992" spans="2:13" ht="75">
      <c r="B992" s="32" t="str">
        <f t="shared" si="105"/>
        <v>2</v>
      </c>
      <c r="C992" s="33" t="str">
        <f t="shared" si="106"/>
        <v>4</v>
      </c>
      <c r="D992" s="33" t="str">
        <f t="shared" si="107"/>
        <v>5</v>
      </c>
      <c r="E992" s="33" t="str">
        <f t="shared" si="108"/>
        <v>8</v>
      </c>
      <c r="F992" s="33" t="str">
        <f t="shared" si="109"/>
        <v>00</v>
      </c>
      <c r="G992" s="33" t="str">
        <f t="shared" si="110"/>
        <v>0</v>
      </c>
      <c r="H992" s="33" t="str">
        <f t="shared" si="111"/>
        <v>0</v>
      </c>
      <c r="I992" s="28">
        <v>24580000</v>
      </c>
      <c r="J992" s="29" t="s">
        <v>1089</v>
      </c>
      <c r="K992" s="29" t="s">
        <v>1503</v>
      </c>
      <c r="L992" s="29"/>
      <c r="M992" s="34"/>
    </row>
    <row r="993" spans="2:13" ht="75">
      <c r="B993" s="32" t="str">
        <f t="shared" si="105"/>
        <v>2</v>
      </c>
      <c r="C993" s="33" t="str">
        <f t="shared" si="106"/>
        <v>4</v>
      </c>
      <c r="D993" s="33" t="str">
        <f t="shared" si="107"/>
        <v>5</v>
      </c>
      <c r="E993" s="33" t="str">
        <f t="shared" si="108"/>
        <v>8</v>
      </c>
      <c r="F993" s="33" t="str">
        <f t="shared" si="109"/>
        <v>01</v>
      </c>
      <c r="G993" s="33" t="str">
        <f t="shared" si="110"/>
        <v>0</v>
      </c>
      <c r="H993" s="33" t="str">
        <f t="shared" si="111"/>
        <v>0</v>
      </c>
      <c r="I993" s="28">
        <v>24580100</v>
      </c>
      <c r="J993" s="29" t="s">
        <v>1087</v>
      </c>
      <c r="K993" s="29" t="s">
        <v>1502</v>
      </c>
      <c r="L993" s="29"/>
      <c r="M993" s="34"/>
    </row>
    <row r="994" spans="2:13" ht="75">
      <c r="B994" s="32" t="str">
        <f t="shared" si="105"/>
        <v>2</v>
      </c>
      <c r="C994" s="33" t="str">
        <f t="shared" si="106"/>
        <v>4</v>
      </c>
      <c r="D994" s="33" t="str">
        <f t="shared" si="107"/>
        <v>5</v>
      </c>
      <c r="E994" s="33" t="str">
        <f t="shared" si="108"/>
        <v>8</v>
      </c>
      <c r="F994" s="33" t="str">
        <f t="shared" si="109"/>
        <v>01</v>
      </c>
      <c r="G994" s="33" t="str">
        <f t="shared" si="110"/>
        <v>1</v>
      </c>
      <c r="H994" s="33" t="str">
        <f t="shared" si="111"/>
        <v>0</v>
      </c>
      <c r="I994" s="28">
        <v>24580110</v>
      </c>
      <c r="J994" s="29" t="s">
        <v>1087</v>
      </c>
      <c r="K994" s="29" t="s">
        <v>1502</v>
      </c>
      <c r="L994" s="29"/>
      <c r="M994" s="34"/>
    </row>
    <row r="995" spans="2:13" ht="45">
      <c r="B995" s="32" t="str">
        <f t="shared" si="105"/>
        <v>2</v>
      </c>
      <c r="C995" s="33" t="str">
        <f t="shared" si="106"/>
        <v>4</v>
      </c>
      <c r="D995" s="33" t="str">
        <f t="shared" si="107"/>
        <v>6</v>
      </c>
      <c r="E995" s="33" t="str">
        <f t="shared" si="108"/>
        <v>0</v>
      </c>
      <c r="F995" s="33" t="str">
        <f t="shared" si="109"/>
        <v>00</v>
      </c>
      <c r="G995" s="33" t="str">
        <f t="shared" si="110"/>
        <v>0</v>
      </c>
      <c r="H995" s="33" t="str">
        <f t="shared" si="111"/>
        <v>0</v>
      </c>
      <c r="I995" s="28">
        <v>24600000</v>
      </c>
      <c r="J995" s="29" t="s">
        <v>1095</v>
      </c>
      <c r="K995" s="29" t="s">
        <v>1504</v>
      </c>
      <c r="L995" s="29"/>
      <c r="M995" s="34"/>
    </row>
    <row r="996" spans="2:13" ht="45">
      <c r="B996" s="32" t="str">
        <f t="shared" si="105"/>
        <v>2</v>
      </c>
      <c r="C996" s="33" t="str">
        <f t="shared" si="106"/>
        <v>4</v>
      </c>
      <c r="D996" s="33" t="str">
        <f t="shared" si="107"/>
        <v>6</v>
      </c>
      <c r="E996" s="33" t="str">
        <f t="shared" si="108"/>
        <v>0</v>
      </c>
      <c r="F996" s="33" t="str">
        <f t="shared" si="109"/>
        <v>00</v>
      </c>
      <c r="G996" s="33" t="str">
        <f t="shared" si="110"/>
        <v>1</v>
      </c>
      <c r="H996" s="33" t="str">
        <f t="shared" si="111"/>
        <v>0</v>
      </c>
      <c r="I996" s="28">
        <v>24600010</v>
      </c>
      <c r="J996" s="29" t="s">
        <v>1095</v>
      </c>
      <c r="K996" s="29" t="s">
        <v>1504</v>
      </c>
      <c r="L996" s="29"/>
      <c r="M996" s="34"/>
    </row>
    <row r="997" spans="2:13" ht="60">
      <c r="B997" s="32" t="str">
        <f t="shared" si="105"/>
        <v>2</v>
      </c>
      <c r="C997" s="33" t="str">
        <f t="shared" si="106"/>
        <v>4</v>
      </c>
      <c r="D997" s="33" t="str">
        <f t="shared" si="107"/>
        <v>6</v>
      </c>
      <c r="E997" s="33" t="str">
        <f t="shared" si="108"/>
        <v>8</v>
      </c>
      <c r="F997" s="33" t="str">
        <f t="shared" si="109"/>
        <v>00</v>
      </c>
      <c r="G997" s="33" t="str">
        <f t="shared" si="110"/>
        <v>0</v>
      </c>
      <c r="H997" s="33" t="str">
        <f t="shared" si="111"/>
        <v>0</v>
      </c>
      <c r="I997" s="28">
        <v>24680000</v>
      </c>
      <c r="J997" s="29" t="s">
        <v>1097</v>
      </c>
      <c r="K997" s="29" t="s">
        <v>1505</v>
      </c>
      <c r="L997" s="29"/>
      <c r="M997" s="34"/>
    </row>
    <row r="998" spans="2:13" ht="45">
      <c r="B998" s="32" t="str">
        <f t="shared" si="105"/>
        <v>2</v>
      </c>
      <c r="C998" s="33" t="str">
        <f t="shared" si="106"/>
        <v>4</v>
      </c>
      <c r="D998" s="33" t="str">
        <f t="shared" si="107"/>
        <v>6</v>
      </c>
      <c r="E998" s="33" t="str">
        <f t="shared" si="108"/>
        <v>8</v>
      </c>
      <c r="F998" s="33" t="str">
        <f t="shared" si="109"/>
        <v>01</v>
      </c>
      <c r="G998" s="33" t="str">
        <f t="shared" si="110"/>
        <v>0</v>
      </c>
      <c r="H998" s="33" t="str">
        <f t="shared" si="111"/>
        <v>0</v>
      </c>
      <c r="I998" s="28">
        <v>24680100</v>
      </c>
      <c r="J998" s="29" t="s">
        <v>1095</v>
      </c>
      <c r="K998" s="29" t="s">
        <v>1504</v>
      </c>
      <c r="L998" s="29"/>
      <c r="M998" s="34"/>
    </row>
    <row r="999" spans="2:13" ht="60">
      <c r="B999" s="32" t="str">
        <f t="shared" si="105"/>
        <v>2</v>
      </c>
      <c r="C999" s="33" t="str">
        <f t="shared" si="106"/>
        <v>4</v>
      </c>
      <c r="D999" s="33" t="str">
        <f t="shared" si="107"/>
        <v>6</v>
      </c>
      <c r="E999" s="33" t="str">
        <f t="shared" si="108"/>
        <v>8</v>
      </c>
      <c r="F999" s="33" t="str">
        <f t="shared" si="109"/>
        <v>01</v>
      </c>
      <c r="G999" s="33" t="str">
        <f t="shared" si="110"/>
        <v>1</v>
      </c>
      <c r="H999" s="33" t="str">
        <f t="shared" si="111"/>
        <v>0</v>
      </c>
      <c r="I999" s="28">
        <v>24680110</v>
      </c>
      <c r="J999" s="29" t="s">
        <v>1506</v>
      </c>
      <c r="K999" s="29" t="s">
        <v>1507</v>
      </c>
      <c r="L999" s="29"/>
      <c r="M999" s="34"/>
    </row>
    <row r="1000" spans="2:13" ht="60">
      <c r="B1000" s="32" t="str">
        <f t="shared" si="105"/>
        <v>2</v>
      </c>
      <c r="C1000" s="33" t="str">
        <f t="shared" si="106"/>
        <v>4</v>
      </c>
      <c r="D1000" s="33" t="str">
        <f t="shared" si="107"/>
        <v>6</v>
      </c>
      <c r="E1000" s="33" t="str">
        <f t="shared" si="108"/>
        <v>8</v>
      </c>
      <c r="F1000" s="33" t="str">
        <f t="shared" si="109"/>
        <v>01</v>
      </c>
      <c r="G1000" s="33" t="str">
        <f t="shared" si="110"/>
        <v>2</v>
      </c>
      <c r="H1000" s="33" t="str">
        <f t="shared" si="111"/>
        <v>0</v>
      </c>
      <c r="I1000" s="28">
        <v>24680120</v>
      </c>
      <c r="J1000" s="29" t="s">
        <v>1508</v>
      </c>
      <c r="K1000" s="29" t="s">
        <v>1509</v>
      </c>
      <c r="L1000" s="29" t="s">
        <v>180</v>
      </c>
      <c r="M1000" s="34"/>
    </row>
    <row r="1001" spans="2:13" ht="60">
      <c r="B1001" s="32" t="str">
        <f t="shared" si="105"/>
        <v>2</v>
      </c>
      <c r="C1001" s="33" t="str">
        <f t="shared" si="106"/>
        <v>4</v>
      </c>
      <c r="D1001" s="33" t="str">
        <f t="shared" si="107"/>
        <v>6</v>
      </c>
      <c r="E1001" s="33" t="str">
        <f t="shared" si="108"/>
        <v>8</v>
      </c>
      <c r="F1001" s="33" t="str">
        <f t="shared" si="109"/>
        <v>01</v>
      </c>
      <c r="G1001" s="33" t="str">
        <f t="shared" si="110"/>
        <v>9</v>
      </c>
      <c r="H1001" s="33" t="str">
        <f t="shared" si="111"/>
        <v>0</v>
      </c>
      <c r="I1001" s="28">
        <v>24680190</v>
      </c>
      <c r="J1001" s="29" t="s">
        <v>1510</v>
      </c>
      <c r="K1001" s="29" t="s">
        <v>1511</v>
      </c>
      <c r="L1001" s="29" t="s">
        <v>180</v>
      </c>
      <c r="M1001" s="34"/>
    </row>
    <row r="1002" spans="2:13" ht="60">
      <c r="B1002" s="32" t="str">
        <f t="shared" si="105"/>
        <v>2</v>
      </c>
      <c r="C1002" s="33" t="str">
        <f t="shared" si="106"/>
        <v>4</v>
      </c>
      <c r="D1002" s="33" t="str">
        <f t="shared" si="107"/>
        <v>6</v>
      </c>
      <c r="E1002" s="33" t="str">
        <f t="shared" si="108"/>
        <v>8</v>
      </c>
      <c r="F1002" s="33" t="str">
        <f t="shared" si="109"/>
        <v>10</v>
      </c>
      <c r="G1002" s="33" t="str">
        <f t="shared" si="110"/>
        <v>1</v>
      </c>
      <c r="H1002" s="33" t="str">
        <f t="shared" si="111"/>
        <v>0</v>
      </c>
      <c r="I1002" s="28">
        <v>24681010</v>
      </c>
      <c r="J1002" s="29" t="s">
        <v>1510</v>
      </c>
      <c r="K1002" s="29" t="s">
        <v>1511</v>
      </c>
      <c r="L1002" s="29" t="s">
        <v>979</v>
      </c>
      <c r="M1002" s="34" t="s">
        <v>22</v>
      </c>
    </row>
    <row r="1003" spans="2:13" ht="60">
      <c r="B1003" s="32" t="str">
        <f t="shared" si="105"/>
        <v>2</v>
      </c>
      <c r="C1003" s="33" t="str">
        <f t="shared" si="106"/>
        <v>4</v>
      </c>
      <c r="D1003" s="33" t="str">
        <f t="shared" si="107"/>
        <v>7</v>
      </c>
      <c r="E1003" s="33" t="str">
        <f t="shared" si="108"/>
        <v>0</v>
      </c>
      <c r="F1003" s="33" t="str">
        <f t="shared" si="109"/>
        <v>00</v>
      </c>
      <c r="G1003" s="33" t="str">
        <f t="shared" si="110"/>
        <v>0</v>
      </c>
      <c r="H1003" s="33" t="str">
        <f t="shared" si="111"/>
        <v>0</v>
      </c>
      <c r="I1003" s="28">
        <v>24700000</v>
      </c>
      <c r="J1003" s="29" t="s">
        <v>1107</v>
      </c>
      <c r="K1003" s="29" t="s">
        <v>1512</v>
      </c>
      <c r="L1003" s="29"/>
      <c r="M1003" s="34"/>
    </row>
    <row r="1004" spans="2:13" ht="60">
      <c r="B1004" s="32" t="str">
        <f t="shared" si="105"/>
        <v>2</v>
      </c>
      <c r="C1004" s="33" t="str">
        <f t="shared" si="106"/>
        <v>4</v>
      </c>
      <c r="D1004" s="33" t="str">
        <f t="shared" si="107"/>
        <v>7</v>
      </c>
      <c r="E1004" s="33" t="str">
        <f t="shared" si="108"/>
        <v>0</v>
      </c>
      <c r="F1004" s="33" t="str">
        <f t="shared" si="109"/>
        <v>00</v>
      </c>
      <c r="G1004" s="33" t="str">
        <f t="shared" si="110"/>
        <v>1</v>
      </c>
      <c r="H1004" s="33" t="str">
        <f t="shared" si="111"/>
        <v>0</v>
      </c>
      <c r="I1004" s="28">
        <v>24700010</v>
      </c>
      <c r="J1004" s="29" t="s">
        <v>1107</v>
      </c>
      <c r="K1004" s="29" t="s">
        <v>1512</v>
      </c>
      <c r="L1004" s="29"/>
      <c r="M1004" s="34"/>
    </row>
    <row r="1005" spans="2:13" ht="60">
      <c r="B1005" s="32" t="str">
        <f t="shared" si="105"/>
        <v>2</v>
      </c>
      <c r="C1005" s="33" t="str">
        <f t="shared" si="106"/>
        <v>4</v>
      </c>
      <c r="D1005" s="33" t="str">
        <f t="shared" si="107"/>
        <v>7</v>
      </c>
      <c r="E1005" s="33" t="str">
        <f t="shared" si="108"/>
        <v>8</v>
      </c>
      <c r="F1005" s="33" t="str">
        <f t="shared" si="109"/>
        <v>00</v>
      </c>
      <c r="G1005" s="33" t="str">
        <f t="shared" si="110"/>
        <v>0</v>
      </c>
      <c r="H1005" s="33" t="str">
        <f t="shared" si="111"/>
        <v>0</v>
      </c>
      <c r="I1005" s="28">
        <v>24780000</v>
      </c>
      <c r="J1005" s="29" t="s">
        <v>1109</v>
      </c>
      <c r="K1005" s="29" t="s">
        <v>1513</v>
      </c>
      <c r="L1005" s="29"/>
      <c r="M1005" s="34"/>
    </row>
    <row r="1006" spans="2:13" ht="30">
      <c r="B1006" s="32" t="str">
        <f t="shared" si="105"/>
        <v>2</v>
      </c>
      <c r="C1006" s="33" t="str">
        <f t="shared" si="106"/>
        <v>4</v>
      </c>
      <c r="D1006" s="33" t="str">
        <f t="shared" si="107"/>
        <v>7</v>
      </c>
      <c r="E1006" s="33" t="str">
        <f t="shared" si="108"/>
        <v>8</v>
      </c>
      <c r="F1006" s="33" t="str">
        <f t="shared" si="109"/>
        <v>01</v>
      </c>
      <c r="G1006" s="33" t="str">
        <f t="shared" si="110"/>
        <v>0</v>
      </c>
      <c r="H1006" s="33" t="str">
        <f t="shared" si="111"/>
        <v>0</v>
      </c>
      <c r="I1006" s="28">
        <v>24780100</v>
      </c>
      <c r="J1006" s="29" t="s">
        <v>1107</v>
      </c>
      <c r="K1006" s="29" t="s">
        <v>1514</v>
      </c>
      <c r="L1006" s="29"/>
      <c r="M1006" s="34"/>
    </row>
    <row r="1007" spans="2:13" ht="30">
      <c r="B1007" s="32" t="str">
        <f t="shared" si="105"/>
        <v>2</v>
      </c>
      <c r="C1007" s="33" t="str">
        <f t="shared" si="106"/>
        <v>4</v>
      </c>
      <c r="D1007" s="33" t="str">
        <f t="shared" si="107"/>
        <v>7</v>
      </c>
      <c r="E1007" s="33" t="str">
        <f t="shared" si="108"/>
        <v>8</v>
      </c>
      <c r="F1007" s="33" t="str">
        <f t="shared" si="109"/>
        <v>01</v>
      </c>
      <c r="G1007" s="33" t="str">
        <f t="shared" si="110"/>
        <v>1</v>
      </c>
      <c r="H1007" s="33" t="str">
        <f t="shared" si="111"/>
        <v>0</v>
      </c>
      <c r="I1007" s="28">
        <v>24780110</v>
      </c>
      <c r="J1007" s="29" t="s">
        <v>1515</v>
      </c>
      <c r="K1007" s="29" t="s">
        <v>1516</v>
      </c>
      <c r="L1007" s="29"/>
      <c r="M1007" s="34"/>
    </row>
    <row r="1008" spans="2:13" ht="30">
      <c r="B1008" s="32" t="str">
        <f t="shared" si="105"/>
        <v>2</v>
      </c>
      <c r="C1008" s="33" t="str">
        <f t="shared" si="106"/>
        <v>4</v>
      </c>
      <c r="D1008" s="33" t="str">
        <f t="shared" si="107"/>
        <v>7</v>
      </c>
      <c r="E1008" s="33" t="str">
        <f t="shared" si="108"/>
        <v>8</v>
      </c>
      <c r="F1008" s="33" t="str">
        <f t="shared" si="109"/>
        <v>01</v>
      </c>
      <c r="G1008" s="33" t="str">
        <f t="shared" si="110"/>
        <v>2</v>
      </c>
      <c r="H1008" s="33" t="str">
        <f t="shared" si="111"/>
        <v>0</v>
      </c>
      <c r="I1008" s="28">
        <v>24780120</v>
      </c>
      <c r="J1008" s="29" t="s">
        <v>1517</v>
      </c>
      <c r="K1008" s="29" t="s">
        <v>1518</v>
      </c>
      <c r="L1008" s="29" t="s">
        <v>180</v>
      </c>
      <c r="M1008" s="34"/>
    </row>
    <row r="1009" spans="2:13" ht="30">
      <c r="B1009" s="32" t="str">
        <f t="shared" si="105"/>
        <v>2</v>
      </c>
      <c r="C1009" s="33" t="str">
        <f t="shared" si="106"/>
        <v>4</v>
      </c>
      <c r="D1009" s="33" t="str">
        <f t="shared" si="107"/>
        <v>7</v>
      </c>
      <c r="E1009" s="33" t="str">
        <f t="shared" si="108"/>
        <v>8</v>
      </c>
      <c r="F1009" s="33" t="str">
        <f t="shared" si="109"/>
        <v>01</v>
      </c>
      <c r="G1009" s="33" t="str">
        <f t="shared" si="110"/>
        <v>9</v>
      </c>
      <c r="H1009" s="33" t="str">
        <f t="shared" si="111"/>
        <v>0</v>
      </c>
      <c r="I1009" s="28">
        <v>24780190</v>
      </c>
      <c r="J1009" s="29" t="s">
        <v>1519</v>
      </c>
      <c r="K1009" s="29" t="s">
        <v>1520</v>
      </c>
      <c r="L1009" s="29"/>
      <c r="M1009" s="34"/>
    </row>
    <row r="1010" spans="2:13" ht="30">
      <c r="B1010" s="32" t="str">
        <f t="shared" si="105"/>
        <v>2</v>
      </c>
      <c r="C1010" s="33" t="str">
        <f t="shared" si="106"/>
        <v>4</v>
      </c>
      <c r="D1010" s="33" t="str">
        <f t="shared" si="107"/>
        <v>8</v>
      </c>
      <c r="E1010" s="33" t="str">
        <f t="shared" si="108"/>
        <v>0</v>
      </c>
      <c r="F1010" s="33" t="str">
        <f t="shared" si="109"/>
        <v>00</v>
      </c>
      <c r="G1010" s="33" t="str">
        <f t="shared" si="110"/>
        <v>0</v>
      </c>
      <c r="H1010" s="33" t="str">
        <f t="shared" si="111"/>
        <v>0</v>
      </c>
      <c r="I1010" s="28">
        <v>24800000</v>
      </c>
      <c r="J1010" s="29" t="s">
        <v>1118</v>
      </c>
      <c r="K1010" s="29" t="s">
        <v>1521</v>
      </c>
      <c r="L1010" s="29"/>
      <c r="M1010" s="34"/>
    </row>
    <row r="1011" spans="2:13" ht="30">
      <c r="B1011" s="32" t="str">
        <f t="shared" si="105"/>
        <v>2</v>
      </c>
      <c r="C1011" s="33" t="str">
        <f t="shared" si="106"/>
        <v>4</v>
      </c>
      <c r="D1011" s="33" t="str">
        <f t="shared" si="107"/>
        <v>8</v>
      </c>
      <c r="E1011" s="33" t="str">
        <f t="shared" si="108"/>
        <v>0</v>
      </c>
      <c r="F1011" s="33" t="str">
        <f t="shared" si="109"/>
        <v>00</v>
      </c>
      <c r="G1011" s="33" t="str">
        <f t="shared" si="110"/>
        <v>1</v>
      </c>
      <c r="H1011" s="33" t="str">
        <f t="shared" si="111"/>
        <v>0</v>
      </c>
      <c r="I1011" s="28">
        <v>24800010</v>
      </c>
      <c r="J1011" s="29" t="s">
        <v>1522</v>
      </c>
      <c r="K1011" s="29" t="s">
        <v>1521</v>
      </c>
      <c r="L1011" s="29"/>
      <c r="M1011" s="34"/>
    </row>
    <row r="1012" spans="2:13" ht="45">
      <c r="B1012" s="32" t="str">
        <f t="shared" si="105"/>
        <v>2</v>
      </c>
      <c r="C1012" s="33" t="str">
        <f t="shared" si="106"/>
        <v>4</v>
      </c>
      <c r="D1012" s="33" t="str">
        <f t="shared" si="107"/>
        <v>8</v>
      </c>
      <c r="E1012" s="33" t="str">
        <f t="shared" si="108"/>
        <v>8</v>
      </c>
      <c r="F1012" s="33" t="str">
        <f t="shared" si="109"/>
        <v>00</v>
      </c>
      <c r="G1012" s="33" t="str">
        <f t="shared" si="110"/>
        <v>0</v>
      </c>
      <c r="H1012" s="33" t="str">
        <f t="shared" si="111"/>
        <v>0</v>
      </c>
      <c r="I1012" s="28">
        <v>24880000</v>
      </c>
      <c r="J1012" s="29" t="s">
        <v>1523</v>
      </c>
      <c r="K1012" s="29" t="s">
        <v>1524</v>
      </c>
      <c r="L1012" s="29"/>
      <c r="M1012" s="34"/>
    </row>
    <row r="1013" spans="2:13" ht="30">
      <c r="B1013" s="32" t="str">
        <f t="shared" si="105"/>
        <v>2</v>
      </c>
      <c r="C1013" s="33" t="str">
        <f t="shared" si="106"/>
        <v>4</v>
      </c>
      <c r="D1013" s="33" t="str">
        <f t="shared" si="107"/>
        <v>8</v>
      </c>
      <c r="E1013" s="33" t="str">
        <f t="shared" si="108"/>
        <v>8</v>
      </c>
      <c r="F1013" s="33" t="str">
        <f t="shared" si="109"/>
        <v>01</v>
      </c>
      <c r="G1013" s="33" t="str">
        <f t="shared" si="110"/>
        <v>0</v>
      </c>
      <c r="H1013" s="33" t="str">
        <f t="shared" si="111"/>
        <v>0</v>
      </c>
      <c r="I1013" s="28">
        <v>24880100</v>
      </c>
      <c r="J1013" s="29" t="s">
        <v>1525</v>
      </c>
      <c r="K1013" s="29" t="s">
        <v>1521</v>
      </c>
      <c r="L1013" s="29"/>
      <c r="M1013" s="34"/>
    </row>
    <row r="1014" spans="2:13" ht="30">
      <c r="B1014" s="32" t="str">
        <f t="shared" si="105"/>
        <v>2</v>
      </c>
      <c r="C1014" s="33" t="str">
        <f t="shared" si="106"/>
        <v>4</v>
      </c>
      <c r="D1014" s="33" t="str">
        <f t="shared" si="107"/>
        <v>8</v>
      </c>
      <c r="E1014" s="33" t="str">
        <f t="shared" si="108"/>
        <v>8</v>
      </c>
      <c r="F1014" s="33" t="str">
        <f t="shared" si="109"/>
        <v>01</v>
      </c>
      <c r="G1014" s="33" t="str">
        <f t="shared" si="110"/>
        <v>1</v>
      </c>
      <c r="H1014" s="33" t="str">
        <f t="shared" si="111"/>
        <v>0</v>
      </c>
      <c r="I1014" s="28">
        <v>24880110</v>
      </c>
      <c r="J1014" s="29" t="s">
        <v>1525</v>
      </c>
      <c r="K1014" s="29" t="s">
        <v>1526</v>
      </c>
      <c r="L1014" s="29"/>
      <c r="M1014" s="34"/>
    </row>
    <row r="1015" spans="2:13" ht="45">
      <c r="B1015" s="32" t="str">
        <f t="shared" si="105"/>
        <v>2</v>
      </c>
      <c r="C1015" s="33" t="str">
        <f t="shared" si="106"/>
        <v>9</v>
      </c>
      <c r="D1015" s="33" t="str">
        <f t="shared" si="107"/>
        <v>0</v>
      </c>
      <c r="E1015" s="33" t="str">
        <f t="shared" si="108"/>
        <v>0</v>
      </c>
      <c r="F1015" s="33" t="str">
        <f t="shared" si="109"/>
        <v>00</v>
      </c>
      <c r="G1015" s="33" t="str">
        <f t="shared" si="110"/>
        <v>0</v>
      </c>
      <c r="H1015" s="33" t="str">
        <f t="shared" si="111"/>
        <v>0</v>
      </c>
      <c r="I1015" s="28">
        <v>29000000</v>
      </c>
      <c r="J1015" s="29" t="s">
        <v>1527</v>
      </c>
      <c r="K1015" s="29" t="s">
        <v>1528</v>
      </c>
      <c r="L1015" s="29"/>
      <c r="M1015" s="34"/>
    </row>
    <row r="1016" spans="2:13" ht="60">
      <c r="B1016" s="32" t="str">
        <f t="shared" si="105"/>
        <v>2</v>
      </c>
      <c r="C1016" s="33" t="str">
        <f t="shared" si="106"/>
        <v>9</v>
      </c>
      <c r="D1016" s="33" t="str">
        <f t="shared" si="107"/>
        <v>1</v>
      </c>
      <c r="E1016" s="33" t="str">
        <f t="shared" si="108"/>
        <v>0</v>
      </c>
      <c r="F1016" s="33" t="str">
        <f t="shared" si="109"/>
        <v>00</v>
      </c>
      <c r="G1016" s="33" t="str">
        <f t="shared" si="110"/>
        <v>0</v>
      </c>
      <c r="H1016" s="33" t="str">
        <f t="shared" si="111"/>
        <v>0</v>
      </c>
      <c r="I1016" s="28">
        <v>29100000</v>
      </c>
      <c r="J1016" s="29" t="s">
        <v>1529</v>
      </c>
      <c r="K1016" s="29" t="s">
        <v>1530</v>
      </c>
      <c r="L1016" s="29"/>
      <c r="M1016" s="34"/>
    </row>
    <row r="1017" spans="2:13" ht="60">
      <c r="B1017" s="32" t="str">
        <f t="shared" si="105"/>
        <v>2</v>
      </c>
      <c r="C1017" s="33" t="str">
        <f t="shared" si="106"/>
        <v>9</v>
      </c>
      <c r="D1017" s="33" t="str">
        <f t="shared" si="107"/>
        <v>1</v>
      </c>
      <c r="E1017" s="33" t="str">
        <f t="shared" si="108"/>
        <v>0</v>
      </c>
      <c r="F1017" s="33" t="str">
        <f t="shared" si="109"/>
        <v>00</v>
      </c>
      <c r="G1017" s="33" t="str">
        <f t="shared" si="110"/>
        <v>1</v>
      </c>
      <c r="H1017" s="33" t="str">
        <f t="shared" si="111"/>
        <v>0</v>
      </c>
      <c r="I1017" s="28">
        <v>29100010</v>
      </c>
      <c r="J1017" s="29" t="s">
        <v>1529</v>
      </c>
      <c r="K1017" s="29" t="s">
        <v>1530</v>
      </c>
      <c r="L1017" s="29"/>
      <c r="M1017" s="34"/>
    </row>
    <row r="1018" spans="2:13" ht="45">
      <c r="B1018" s="32" t="str">
        <f t="shared" si="105"/>
        <v>2</v>
      </c>
      <c r="C1018" s="33" t="str">
        <f t="shared" si="106"/>
        <v>9</v>
      </c>
      <c r="D1018" s="33" t="str">
        <f t="shared" si="107"/>
        <v>2</v>
      </c>
      <c r="E1018" s="33" t="str">
        <f t="shared" si="108"/>
        <v>0</v>
      </c>
      <c r="F1018" s="33" t="str">
        <f t="shared" si="109"/>
        <v>00</v>
      </c>
      <c r="G1018" s="33" t="str">
        <f t="shared" si="110"/>
        <v>0</v>
      </c>
      <c r="H1018" s="33" t="str">
        <f t="shared" si="111"/>
        <v>0</v>
      </c>
      <c r="I1018" s="28">
        <v>29200000</v>
      </c>
      <c r="J1018" s="29" t="s">
        <v>1531</v>
      </c>
      <c r="K1018" s="29" t="s">
        <v>1532</v>
      </c>
      <c r="L1018" s="29"/>
      <c r="M1018" s="34"/>
    </row>
    <row r="1019" spans="2:13" ht="45">
      <c r="B1019" s="32" t="str">
        <f t="shared" si="105"/>
        <v>2</v>
      </c>
      <c r="C1019" s="33" t="str">
        <f t="shared" si="106"/>
        <v>9</v>
      </c>
      <c r="D1019" s="33" t="str">
        <f t="shared" si="107"/>
        <v>2</v>
      </c>
      <c r="E1019" s="33" t="str">
        <f t="shared" si="108"/>
        <v>0</v>
      </c>
      <c r="F1019" s="33" t="str">
        <f t="shared" si="109"/>
        <v>00</v>
      </c>
      <c r="G1019" s="33" t="str">
        <f t="shared" si="110"/>
        <v>1</v>
      </c>
      <c r="H1019" s="33" t="str">
        <f t="shared" si="111"/>
        <v>0</v>
      </c>
      <c r="I1019" s="28">
        <v>29200010</v>
      </c>
      <c r="J1019" s="29" t="s">
        <v>1533</v>
      </c>
      <c r="K1019" s="29" t="s">
        <v>1534</v>
      </c>
      <c r="L1019" s="29"/>
      <c r="M1019" s="34"/>
    </row>
    <row r="1020" spans="2:13" ht="45">
      <c r="B1020" s="32" t="str">
        <f t="shared" si="105"/>
        <v>2</v>
      </c>
      <c r="C1020" s="33" t="str">
        <f t="shared" si="106"/>
        <v>9</v>
      </c>
      <c r="D1020" s="33" t="str">
        <f t="shared" si="107"/>
        <v>2</v>
      </c>
      <c r="E1020" s="33" t="str">
        <f t="shared" si="108"/>
        <v>0</v>
      </c>
      <c r="F1020" s="33" t="str">
        <f t="shared" si="109"/>
        <v>00</v>
      </c>
      <c r="G1020" s="33" t="str">
        <f t="shared" si="110"/>
        <v>2</v>
      </c>
      <c r="H1020" s="33" t="str">
        <f t="shared" si="111"/>
        <v>0</v>
      </c>
      <c r="I1020" s="28">
        <v>29200020</v>
      </c>
      <c r="J1020" s="29" t="s">
        <v>1535</v>
      </c>
      <c r="K1020" s="29" t="s">
        <v>1536</v>
      </c>
      <c r="L1020" s="29"/>
      <c r="M1020" s="34"/>
    </row>
    <row r="1021" spans="2:13" ht="60">
      <c r="B1021" s="32" t="str">
        <f t="shared" si="105"/>
        <v>2</v>
      </c>
      <c r="C1021" s="33" t="str">
        <f t="shared" si="106"/>
        <v>9</v>
      </c>
      <c r="D1021" s="33" t="str">
        <f t="shared" si="107"/>
        <v>3</v>
      </c>
      <c r="E1021" s="33" t="str">
        <f t="shared" si="108"/>
        <v>0</v>
      </c>
      <c r="F1021" s="33" t="str">
        <f t="shared" si="109"/>
        <v>00</v>
      </c>
      <c r="G1021" s="33" t="str">
        <f t="shared" si="110"/>
        <v>0</v>
      </c>
      <c r="H1021" s="33" t="str">
        <f t="shared" si="111"/>
        <v>0</v>
      </c>
      <c r="I1021" s="28">
        <v>29300000</v>
      </c>
      <c r="J1021" s="29" t="s">
        <v>1537</v>
      </c>
      <c r="K1021" s="29" t="s">
        <v>1538</v>
      </c>
      <c r="L1021" s="29"/>
      <c r="M1021" s="34"/>
    </row>
    <row r="1022" spans="2:13" ht="60">
      <c r="B1022" s="32" t="str">
        <f t="shared" si="105"/>
        <v>2</v>
      </c>
      <c r="C1022" s="33" t="str">
        <f t="shared" si="106"/>
        <v>9</v>
      </c>
      <c r="D1022" s="33" t="str">
        <f t="shared" si="107"/>
        <v>3</v>
      </c>
      <c r="E1022" s="33" t="str">
        <f t="shared" si="108"/>
        <v>0</v>
      </c>
      <c r="F1022" s="33" t="str">
        <f t="shared" si="109"/>
        <v>00</v>
      </c>
      <c r="G1022" s="33" t="str">
        <f t="shared" si="110"/>
        <v>1</v>
      </c>
      <c r="H1022" s="33" t="str">
        <f t="shared" si="111"/>
        <v>0</v>
      </c>
      <c r="I1022" s="28">
        <v>29300010</v>
      </c>
      <c r="J1022" s="29" t="s">
        <v>1537</v>
      </c>
      <c r="K1022" s="29" t="s">
        <v>1538</v>
      </c>
      <c r="L1022" s="29"/>
      <c r="M1022" s="34"/>
    </row>
    <row r="1023" spans="2:13" ht="30">
      <c r="B1023" s="32" t="str">
        <f t="shared" si="105"/>
        <v>2</v>
      </c>
      <c r="C1023" s="33" t="str">
        <f t="shared" si="106"/>
        <v>9</v>
      </c>
      <c r="D1023" s="33" t="str">
        <f t="shared" si="107"/>
        <v>4</v>
      </c>
      <c r="E1023" s="33" t="str">
        <f t="shared" si="108"/>
        <v>0</v>
      </c>
      <c r="F1023" s="33" t="str">
        <f t="shared" si="109"/>
        <v>00</v>
      </c>
      <c r="G1023" s="33" t="str">
        <f t="shared" si="110"/>
        <v>0</v>
      </c>
      <c r="H1023" s="33" t="str">
        <f t="shared" si="111"/>
        <v>0</v>
      </c>
      <c r="I1023" s="28">
        <v>29400000</v>
      </c>
      <c r="J1023" s="29" t="s">
        <v>1539</v>
      </c>
      <c r="K1023" s="29" t="s">
        <v>1540</v>
      </c>
      <c r="L1023" s="29"/>
      <c r="M1023" s="34"/>
    </row>
    <row r="1024" spans="2:13" ht="30">
      <c r="B1024" s="32" t="str">
        <f t="shared" si="105"/>
        <v>2</v>
      </c>
      <c r="C1024" s="33" t="str">
        <f t="shared" si="106"/>
        <v>9</v>
      </c>
      <c r="D1024" s="33" t="str">
        <f t="shared" si="107"/>
        <v>4</v>
      </c>
      <c r="E1024" s="33" t="str">
        <f t="shared" si="108"/>
        <v>0</v>
      </c>
      <c r="F1024" s="33" t="str">
        <f t="shared" si="109"/>
        <v>00</v>
      </c>
      <c r="G1024" s="33" t="str">
        <f t="shared" si="110"/>
        <v>1</v>
      </c>
      <c r="H1024" s="33" t="str">
        <f t="shared" si="111"/>
        <v>0</v>
      </c>
      <c r="I1024" s="28">
        <v>29400010</v>
      </c>
      <c r="J1024" s="29" t="s">
        <v>1539</v>
      </c>
      <c r="K1024" s="29" t="s">
        <v>1540</v>
      </c>
      <c r="L1024" s="29"/>
      <c r="M1024" s="34"/>
    </row>
    <row r="1025" spans="2:13" ht="45">
      <c r="B1025" s="32" t="str">
        <f t="shared" si="105"/>
        <v>2</v>
      </c>
      <c r="C1025" s="33" t="str">
        <f t="shared" si="106"/>
        <v>9</v>
      </c>
      <c r="D1025" s="33" t="str">
        <f t="shared" si="107"/>
        <v>9</v>
      </c>
      <c r="E1025" s="33" t="str">
        <f t="shared" si="108"/>
        <v>0</v>
      </c>
      <c r="F1025" s="33" t="str">
        <f t="shared" si="109"/>
        <v>00</v>
      </c>
      <c r="G1025" s="33" t="str">
        <f t="shared" si="110"/>
        <v>0</v>
      </c>
      <c r="H1025" s="33" t="str">
        <f t="shared" si="111"/>
        <v>0</v>
      </c>
      <c r="I1025" s="28">
        <v>29900000</v>
      </c>
      <c r="J1025" s="29" t="s">
        <v>1541</v>
      </c>
      <c r="K1025" s="29" t="s">
        <v>1542</v>
      </c>
      <c r="L1025" s="29"/>
      <c r="M1025" s="34"/>
    </row>
    <row r="1026" spans="2:13" ht="45">
      <c r="B1026" s="32" t="str">
        <f t="shared" si="105"/>
        <v>2</v>
      </c>
      <c r="C1026" s="33" t="str">
        <f t="shared" si="106"/>
        <v>9</v>
      </c>
      <c r="D1026" s="33" t="str">
        <f t="shared" si="107"/>
        <v>9</v>
      </c>
      <c r="E1026" s="33" t="str">
        <f t="shared" si="108"/>
        <v>0</v>
      </c>
      <c r="F1026" s="33" t="str">
        <f t="shared" si="109"/>
        <v>00</v>
      </c>
      <c r="G1026" s="33" t="str">
        <f t="shared" si="110"/>
        <v>1</v>
      </c>
      <c r="H1026" s="33" t="str">
        <f t="shared" si="111"/>
        <v>0</v>
      </c>
      <c r="I1026" s="28">
        <v>29900010</v>
      </c>
      <c r="J1026" s="29" t="s">
        <v>1541</v>
      </c>
      <c r="K1026" s="29" t="s">
        <v>1542</v>
      </c>
      <c r="L1026" s="29"/>
      <c r="M1026" s="34"/>
    </row>
    <row r="1027" spans="2:13" ht="45">
      <c r="B1027" s="32" t="str">
        <f t="shared" si="105"/>
        <v>2</v>
      </c>
      <c r="C1027" s="33" t="str">
        <f t="shared" si="106"/>
        <v>9</v>
      </c>
      <c r="D1027" s="33" t="str">
        <f t="shared" si="107"/>
        <v>9</v>
      </c>
      <c r="E1027" s="33" t="str">
        <f t="shared" si="108"/>
        <v>8</v>
      </c>
      <c r="F1027" s="33" t="str">
        <f t="shared" si="109"/>
        <v>00</v>
      </c>
      <c r="G1027" s="33" t="str">
        <f t="shared" si="110"/>
        <v>0</v>
      </c>
      <c r="H1027" s="33" t="str">
        <f t="shared" si="111"/>
        <v>0</v>
      </c>
      <c r="I1027" s="28">
        <v>29980000</v>
      </c>
      <c r="J1027" s="29" t="s">
        <v>1543</v>
      </c>
      <c r="K1027" s="29" t="s">
        <v>1544</v>
      </c>
      <c r="L1027" s="29"/>
      <c r="M1027" s="34"/>
    </row>
    <row r="1028" spans="2:13" ht="45">
      <c r="B1028" s="32" t="str">
        <f t="shared" si="105"/>
        <v>2</v>
      </c>
      <c r="C1028" s="33" t="str">
        <f t="shared" si="106"/>
        <v>9</v>
      </c>
      <c r="D1028" s="33" t="str">
        <f t="shared" si="107"/>
        <v>9</v>
      </c>
      <c r="E1028" s="33" t="str">
        <f t="shared" si="108"/>
        <v>8</v>
      </c>
      <c r="F1028" s="33" t="str">
        <f t="shared" si="109"/>
        <v>01</v>
      </c>
      <c r="G1028" s="33" t="str">
        <f t="shared" si="110"/>
        <v>0</v>
      </c>
      <c r="H1028" s="33" t="str">
        <f t="shared" si="111"/>
        <v>0</v>
      </c>
      <c r="I1028" s="28">
        <v>29980100</v>
      </c>
      <c r="J1028" s="29" t="s">
        <v>1545</v>
      </c>
      <c r="K1028" s="29" t="s">
        <v>1544</v>
      </c>
      <c r="L1028" s="29"/>
      <c r="M1028" s="34"/>
    </row>
    <row r="1029" spans="2:13" ht="60">
      <c r="B1029" s="32" t="str">
        <f t="shared" si="105"/>
        <v>2</v>
      </c>
      <c r="C1029" s="33" t="str">
        <f t="shared" si="106"/>
        <v>9</v>
      </c>
      <c r="D1029" s="33" t="str">
        <f t="shared" si="107"/>
        <v>9</v>
      </c>
      <c r="E1029" s="33" t="str">
        <f t="shared" si="108"/>
        <v>8</v>
      </c>
      <c r="F1029" s="33" t="str">
        <f t="shared" si="109"/>
        <v>01</v>
      </c>
      <c r="G1029" s="33" t="str">
        <f t="shared" si="110"/>
        <v>1</v>
      </c>
      <c r="H1029" s="33" t="str">
        <f t="shared" si="111"/>
        <v>0</v>
      </c>
      <c r="I1029" s="28">
        <v>29980110</v>
      </c>
      <c r="J1029" s="29" t="s">
        <v>1546</v>
      </c>
      <c r="K1029" s="29" t="s">
        <v>1547</v>
      </c>
      <c r="L1029" s="29"/>
      <c r="M1029" s="34"/>
    </row>
    <row r="1030" spans="2:13" ht="60.75" thickBot="1">
      <c r="B1030" s="36" t="str">
        <f t="shared" si="105"/>
        <v>9</v>
      </c>
      <c r="C1030" s="37" t="str">
        <f t="shared" si="106"/>
        <v>9</v>
      </c>
      <c r="D1030" s="37" t="str">
        <f t="shared" si="107"/>
        <v>9</v>
      </c>
      <c r="E1030" s="37" t="str">
        <f t="shared" si="108"/>
        <v>0</v>
      </c>
      <c r="F1030" s="37" t="str">
        <f t="shared" si="109"/>
        <v>00</v>
      </c>
      <c r="G1030" s="37" t="str">
        <f t="shared" si="110"/>
        <v>0</v>
      </c>
      <c r="H1030" s="37" t="str">
        <f t="shared" si="111"/>
        <v>0</v>
      </c>
      <c r="I1030" s="38">
        <v>99900000</v>
      </c>
      <c r="J1030" s="39" t="s">
        <v>1548</v>
      </c>
      <c r="K1030" s="39" t="s">
        <v>1549</v>
      </c>
      <c r="L1030" s="39"/>
      <c r="M1030" s="40"/>
    </row>
  </sheetData>
  <autoFilter ref="B2:M1030" xr:uid="{00000000-0009-0000-0000-000000000000}"/>
  <conditionalFormatting sqref="B911:K912 M911:M912 B1:M244 B586:M908 B913:M932 B245:I260 L245:M260 B934:M1048576 B261:M529 B533:M584 M531:M532 B530:J532 L530:M530">
    <cfRule type="expression" dxfId="1023" priority="108">
      <formula>MID($I1,2,7)="0000000"</formula>
    </cfRule>
    <cfRule type="expression" dxfId="1022" priority="109">
      <formula>MID($I1,3,6)="000000"</formula>
    </cfRule>
    <cfRule type="expression" dxfId="1021" priority="110">
      <formula>MID($I1,4,5)="00000"</formula>
    </cfRule>
    <cfRule type="expression" dxfId="1020" priority="111">
      <formula>MID($I1,5,4)="0000"</formula>
    </cfRule>
    <cfRule type="expression" dxfId="1019" priority="112">
      <formula>MID($I1,7,2)="00"</formula>
    </cfRule>
    <cfRule type="expression" dxfId="1018" priority="113">
      <formula>MID($I1,8,1)="0"</formula>
    </cfRule>
    <cfRule type="expression" dxfId="1017" priority="114">
      <formula>$M1="Excluído"</formula>
    </cfRule>
    <cfRule type="expression" dxfId="1016" priority="115">
      <formula>$M1="Alterar"</formula>
    </cfRule>
    <cfRule type="expression" dxfId="1015" priority="116">
      <formula>$M1="Excluir"</formula>
    </cfRule>
    <cfRule type="expression" dxfId="1014" priority="117">
      <formula>$M1="Incluir"</formula>
    </cfRule>
  </conditionalFormatting>
  <conditionalFormatting sqref="B2:M2">
    <cfRule type="expression" dxfId="1013" priority="106">
      <formula>$I$2="NR"</formula>
    </cfRule>
  </conditionalFormatting>
  <conditionalFormatting sqref="I586:I908 I911:I932 I934:I1048576 I1:I584">
    <cfRule type="expression" dxfId="1012" priority="107">
      <formula>IF($I1="",FALSE,IF($I1&gt;9999999,IF($I1&lt;100000000,FALSE,TRUE),TRUE))</formula>
    </cfRule>
  </conditionalFormatting>
  <conditionalFormatting sqref="B909:M909 L910:L912">
    <cfRule type="expression" dxfId="1011" priority="85">
      <formula>MID($I909,2,7)="0000000"</formula>
    </cfRule>
    <cfRule type="expression" dxfId="1010" priority="86">
      <formula>MID($I909,3,6)="000000"</formula>
    </cfRule>
    <cfRule type="expression" dxfId="1009" priority="87">
      <formula>MID($I909,4,5)="00000"</formula>
    </cfRule>
    <cfRule type="expression" dxfId="1008" priority="88">
      <formula>MID($I909,5,4)="0000"</formula>
    </cfRule>
    <cfRule type="expression" dxfId="1007" priority="89">
      <formula>MID($I909,7,2)="00"</formula>
    </cfRule>
    <cfRule type="expression" dxfId="1006" priority="90">
      <formula>MID($I909,8,1)="0"</formula>
    </cfRule>
    <cfRule type="expression" dxfId="1005" priority="91">
      <formula>$M909="Excluído"</formula>
    </cfRule>
    <cfRule type="expression" dxfId="1004" priority="92">
      <formula>$M909="Alterar"</formula>
    </cfRule>
    <cfRule type="expression" dxfId="1003" priority="93">
      <formula>$M909="Excluir"</formula>
    </cfRule>
    <cfRule type="expression" dxfId="1002" priority="94">
      <formula>$M909="Incluir"</formula>
    </cfRule>
  </conditionalFormatting>
  <conditionalFormatting sqref="I909">
    <cfRule type="expression" dxfId="1001" priority="84">
      <formula>IF($I909="",FALSE,IF($I909&gt;9999999,IF($I909&lt;100000000,FALSE,TRUE),TRUE))</formula>
    </cfRule>
  </conditionalFormatting>
  <conditionalFormatting sqref="B910:K910 M910">
    <cfRule type="expression" dxfId="1000" priority="74">
      <formula>MID($I910,2,7)="0000000"</formula>
    </cfRule>
    <cfRule type="expression" dxfId="999" priority="75">
      <formula>MID($I910,3,6)="000000"</formula>
    </cfRule>
    <cfRule type="expression" dxfId="998" priority="76">
      <formula>MID($I910,4,5)="00000"</formula>
    </cfRule>
    <cfRule type="expression" dxfId="997" priority="77">
      <formula>MID($I910,5,4)="0000"</formula>
    </cfRule>
    <cfRule type="expression" dxfId="996" priority="78">
      <formula>MID($I910,7,2)="00"</formula>
    </cfRule>
    <cfRule type="expression" dxfId="995" priority="79">
      <formula>MID($I910,8,1)="0"</formula>
    </cfRule>
    <cfRule type="expression" dxfId="994" priority="80">
      <formula>$M910="Excluído"</formula>
    </cfRule>
    <cfRule type="expression" dxfId="993" priority="81">
      <formula>$M910="Alterar"</formula>
    </cfRule>
    <cfRule type="expression" dxfId="992" priority="82">
      <formula>$M910="Excluir"</formula>
    </cfRule>
    <cfRule type="expression" dxfId="991" priority="83">
      <formula>$M910="Incluir"</formula>
    </cfRule>
  </conditionalFormatting>
  <conditionalFormatting sqref="I910">
    <cfRule type="expression" dxfId="990" priority="73">
      <formula>IF($I910="",FALSE,IF($I910&gt;9999999,IF($I910&lt;100000000,FALSE,TRUE),TRUE))</formula>
    </cfRule>
  </conditionalFormatting>
  <conditionalFormatting sqref="B585:M585">
    <cfRule type="expression" dxfId="989" priority="63">
      <formula>MID($I585,2,7)="0000000"</formula>
    </cfRule>
    <cfRule type="expression" dxfId="988" priority="64">
      <formula>MID($I585,3,6)="000000"</formula>
    </cfRule>
    <cfRule type="expression" dxfId="987" priority="65">
      <formula>MID($I585,4,5)="00000"</formula>
    </cfRule>
    <cfRule type="expression" dxfId="986" priority="66">
      <formula>MID($I585,5,4)="0000"</formula>
    </cfRule>
    <cfRule type="expression" dxfId="985" priority="67">
      <formula>MID($I585,7,2)="00"</formula>
    </cfRule>
    <cfRule type="expression" dxfId="984" priority="68">
      <formula>MID($I585,8,1)="0"</formula>
    </cfRule>
    <cfRule type="expression" dxfId="983" priority="69">
      <formula>$M585="Excluído"</formula>
    </cfRule>
    <cfRule type="expression" dxfId="982" priority="70">
      <formula>$M585="Alterar"</formula>
    </cfRule>
    <cfRule type="expression" dxfId="981" priority="71">
      <formula>$M585="Excluir"</formula>
    </cfRule>
    <cfRule type="expression" dxfId="980" priority="72">
      <formula>$M585="Incluir"</formula>
    </cfRule>
  </conditionalFormatting>
  <conditionalFormatting sqref="I585">
    <cfRule type="expression" dxfId="979" priority="62">
      <formula>IF($I585="",FALSE,IF($I585&gt;9999999,IF($I585&lt;100000000,FALSE,TRUE),TRUE))</formula>
    </cfRule>
  </conditionalFormatting>
  <conditionalFormatting sqref="B933:M933">
    <cfRule type="expression" dxfId="978" priority="52">
      <formula>MID($I933,2,7)="0000000"</formula>
    </cfRule>
    <cfRule type="expression" dxfId="977" priority="53">
      <formula>MID($I933,3,6)="000000"</formula>
    </cfRule>
    <cfRule type="expression" dxfId="976" priority="54">
      <formula>MID($I933,4,5)="00000"</formula>
    </cfRule>
    <cfRule type="expression" dxfId="975" priority="55">
      <formula>MID($I933,5,4)="0000"</formula>
    </cfRule>
    <cfRule type="expression" dxfId="974" priority="56">
      <formula>MID($I933,7,2)="00"</formula>
    </cfRule>
    <cfRule type="expression" dxfId="973" priority="57">
      <formula>MID($I933,8,1)="0"</formula>
    </cfRule>
    <cfRule type="expression" dxfId="972" priority="58">
      <formula>$M933="Excluído"</formula>
    </cfRule>
    <cfRule type="expression" dxfId="971" priority="59">
      <formula>$M933="Alterar"</formula>
    </cfRule>
    <cfRule type="expression" dxfId="970" priority="60">
      <formula>$M933="Excluir"</formula>
    </cfRule>
    <cfRule type="expression" dxfId="969" priority="61">
      <formula>$M933="Incluir"</formula>
    </cfRule>
  </conditionalFormatting>
  <conditionalFormatting sqref="I933">
    <cfRule type="expression" dxfId="968" priority="51">
      <formula>IF($I933="",FALSE,IF($I933&gt;9999999,IF($I933&lt;100000000,FALSE,TRUE),TRUE))</formula>
    </cfRule>
  </conditionalFormatting>
  <conditionalFormatting sqref="J245:J260">
    <cfRule type="expression" dxfId="967" priority="41">
      <formula>MID($I245,2,7)="0000000"</formula>
    </cfRule>
    <cfRule type="expression" dxfId="966" priority="42">
      <formula>MID($I245,3,6)="000000"</formula>
    </cfRule>
    <cfRule type="expression" dxfId="965" priority="43">
      <formula>MID($I245,4,5)="00000"</formula>
    </cfRule>
    <cfRule type="expression" dxfId="964" priority="44">
      <formula>MID($I245,5,4)="0000"</formula>
    </cfRule>
    <cfRule type="expression" dxfId="963" priority="45">
      <formula>MID($I245,7,2)="00"</formula>
    </cfRule>
    <cfRule type="expression" dxfId="962" priority="46">
      <formula>MID($I245,8,1)="0"</formula>
    </cfRule>
    <cfRule type="expression" dxfId="961" priority="47">
      <formula>$M245="Excluído"</formula>
    </cfRule>
    <cfRule type="expression" dxfId="960" priority="48">
      <formula>$M245="Alterar"</formula>
    </cfRule>
    <cfRule type="expression" dxfId="959" priority="49">
      <formula>$M245="Excluir"</formula>
    </cfRule>
    <cfRule type="expression" dxfId="958" priority="50">
      <formula>$M245="Incluir"</formula>
    </cfRule>
  </conditionalFormatting>
  <conditionalFormatting sqref="K245:K260">
    <cfRule type="expression" dxfId="957" priority="31">
      <formula>MID($I245,2,7)="0000000"</formula>
    </cfRule>
    <cfRule type="expression" dxfId="956" priority="32">
      <formula>MID($I245,3,6)="000000"</formula>
    </cfRule>
    <cfRule type="expression" dxfId="955" priority="33">
      <formula>MID($I245,4,5)="00000"</formula>
    </cfRule>
    <cfRule type="expression" dxfId="954" priority="34">
      <formula>MID($I245,5,4)="0000"</formula>
    </cfRule>
    <cfRule type="expression" dxfId="953" priority="35">
      <formula>MID($I245,7,2)="00"</formula>
    </cfRule>
    <cfRule type="expression" dxfId="952" priority="36">
      <formula>MID($I245,8,1)="0"</formula>
    </cfRule>
    <cfRule type="expression" dxfId="951" priority="37">
      <formula>$M245="Excluído"</formula>
    </cfRule>
    <cfRule type="expression" dxfId="950" priority="38">
      <formula>$M245="Alterar"</formula>
    </cfRule>
    <cfRule type="expression" dxfId="949" priority="39">
      <formula>$M245="Excluir"</formula>
    </cfRule>
    <cfRule type="expression" dxfId="948" priority="40">
      <formula>$M245="Incluir"</formula>
    </cfRule>
  </conditionalFormatting>
  <conditionalFormatting sqref="L531:L532">
    <cfRule type="expression" dxfId="947" priority="21">
      <formula>MID($I531,2,7)="0000000"</formula>
    </cfRule>
    <cfRule type="expression" dxfId="946" priority="22">
      <formula>MID($I531,3,6)="000000"</formula>
    </cfRule>
    <cfRule type="expression" dxfId="945" priority="23">
      <formula>MID($I531,4,5)="00000"</formula>
    </cfRule>
    <cfRule type="expression" dxfId="944" priority="24">
      <formula>MID($I531,5,4)="0000"</formula>
    </cfRule>
    <cfRule type="expression" dxfId="943" priority="25">
      <formula>MID($I531,7,2)="00"</formula>
    </cfRule>
    <cfRule type="expression" dxfId="942" priority="26">
      <formula>MID($I531,8,1)="0"</formula>
    </cfRule>
    <cfRule type="expression" dxfId="941" priority="27">
      <formula>$M531="Excluído"</formula>
    </cfRule>
    <cfRule type="expression" dxfId="940" priority="28">
      <formula>$M531="Alterar"</formula>
    </cfRule>
    <cfRule type="expression" dxfId="939" priority="29">
      <formula>$M531="Excluir"</formula>
    </cfRule>
    <cfRule type="expression" dxfId="938" priority="30">
      <formula>$M531="Incluir"</formula>
    </cfRule>
  </conditionalFormatting>
  <conditionalFormatting sqref="K530">
    <cfRule type="expression" dxfId="937" priority="11">
      <formula>MID($I530,2,7)="0000000"</formula>
    </cfRule>
    <cfRule type="expression" dxfId="936" priority="12">
      <formula>MID($I530,3,6)="000000"</formula>
    </cfRule>
    <cfRule type="expression" dxfId="935" priority="13">
      <formula>MID($I530,4,5)="00000"</formula>
    </cfRule>
    <cfRule type="expression" dxfId="934" priority="14">
      <formula>MID($I530,5,4)="0000"</formula>
    </cfRule>
    <cfRule type="expression" dxfId="933" priority="15">
      <formula>MID($I530,7,2)="00"</formula>
    </cfRule>
    <cfRule type="expression" dxfId="932" priority="16">
      <formula>MID($I530,8,1)="0"</formula>
    </cfRule>
    <cfRule type="expression" dxfId="931" priority="17">
      <formula>$M530="Excluído"</formula>
    </cfRule>
    <cfRule type="expression" dxfId="930" priority="18">
      <formula>$M530="Alterar"</formula>
    </cfRule>
    <cfRule type="expression" dxfId="929" priority="19">
      <formula>$M530="Excluir"</formula>
    </cfRule>
    <cfRule type="expression" dxfId="928" priority="20">
      <formula>$M530="Incluir"</formula>
    </cfRule>
  </conditionalFormatting>
  <conditionalFormatting sqref="K531:K532">
    <cfRule type="expression" dxfId="927" priority="1">
      <formula>MID($I531,2,7)="0000000"</formula>
    </cfRule>
    <cfRule type="expression" dxfId="926" priority="2">
      <formula>MID($I531,3,6)="000000"</formula>
    </cfRule>
    <cfRule type="expression" dxfId="925" priority="3">
      <formula>MID($I531,4,5)="00000"</formula>
    </cfRule>
    <cfRule type="expression" dxfId="924" priority="4">
      <formula>MID($I531,5,4)="0000"</formula>
    </cfRule>
    <cfRule type="expression" dxfId="923" priority="5">
      <formula>MID($I531,7,2)="00"</formula>
    </cfRule>
    <cfRule type="expression" dxfId="922" priority="6">
      <formula>MID($I531,8,1)="0"</formula>
    </cfRule>
    <cfRule type="expression" dxfId="921" priority="7">
      <formula>$M531="Excluído"</formula>
    </cfRule>
    <cfRule type="expression" dxfId="920" priority="8">
      <formula>$M531="Alterar"</formula>
    </cfRule>
    <cfRule type="expression" dxfId="919" priority="9">
      <formula>$M531="Excluir"</formula>
    </cfRule>
    <cfRule type="expression" dxfId="918" priority="10">
      <formula>$M531="Incluir"</formula>
    </cfRule>
  </conditionalFormatting>
  <pageMargins left="0.511811024" right="0.511811024" top="0.78740157499999996" bottom="0.78740157499999996" header="0.31496062000000002" footer="0.31496062000000002"/>
  <pageSetup paperSize="9" scale="66" orientation="portrait" r:id="rId1"/>
  <legacy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Tabelas!$I$2:$I$5</xm:f>
          </x14:formula1>
          <xm:sqref>M3:M1030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4BF96-705D-47B3-9894-CB15BC452D5E}">
  <dimension ref="B1:D13"/>
  <sheetViews>
    <sheetView workbookViewId="0">
      <selection activeCell="D3" sqref="D3"/>
    </sheetView>
  </sheetViews>
  <sheetFormatPr defaultRowHeight="15"/>
  <cols>
    <col min="2" max="2" width="17.5703125" customWidth="1"/>
    <col min="3" max="3" width="20.7109375" customWidth="1"/>
    <col min="4" max="4" width="73.42578125" customWidth="1"/>
  </cols>
  <sheetData>
    <row r="1" spans="2:4">
      <c r="B1" s="95" t="s">
        <v>1550</v>
      </c>
      <c r="C1" s="95" t="s">
        <v>1551</v>
      </c>
      <c r="D1" s="95" t="s">
        <v>41</v>
      </c>
    </row>
    <row r="2" spans="2:4" ht="30">
      <c r="B2" s="92" t="s">
        <v>32</v>
      </c>
      <c r="C2" s="87" t="s">
        <v>1552</v>
      </c>
      <c r="D2" s="88" t="s">
        <v>1553</v>
      </c>
    </row>
    <row r="3" spans="2:4" ht="45">
      <c r="B3" s="92" t="s">
        <v>33</v>
      </c>
      <c r="C3" s="87" t="s">
        <v>13</v>
      </c>
      <c r="D3" s="88" t="s">
        <v>1554</v>
      </c>
    </row>
    <row r="4" spans="2:4" ht="75">
      <c r="B4" s="92" t="s">
        <v>34</v>
      </c>
      <c r="C4" s="87" t="s">
        <v>17</v>
      </c>
      <c r="D4" s="88" t="s">
        <v>1555</v>
      </c>
    </row>
    <row r="5" spans="2:4" ht="60" customHeight="1">
      <c r="B5" s="92" t="s">
        <v>35</v>
      </c>
      <c r="C5" s="87" t="s">
        <v>1556</v>
      </c>
      <c r="D5" s="102" t="s">
        <v>1557</v>
      </c>
    </row>
    <row r="6" spans="2:4">
      <c r="B6" s="92" t="s">
        <v>36</v>
      </c>
      <c r="C6" s="87" t="s">
        <v>1558</v>
      </c>
      <c r="D6" s="103"/>
    </row>
    <row r="7" spans="2:4">
      <c r="B7" s="92" t="s">
        <v>37</v>
      </c>
      <c r="C7" s="87" t="s">
        <v>1559</v>
      </c>
      <c r="D7" s="104"/>
    </row>
    <row r="8" spans="2:4" ht="75">
      <c r="B8" s="92" t="s">
        <v>38</v>
      </c>
      <c r="C8" s="87" t="s">
        <v>31</v>
      </c>
      <c r="D8" s="88" t="s">
        <v>1560</v>
      </c>
    </row>
    <row r="9" spans="2:4" ht="30">
      <c r="B9" s="93" t="s">
        <v>39</v>
      </c>
      <c r="C9" s="87" t="s">
        <v>1561</v>
      </c>
      <c r="D9" s="88" t="s">
        <v>1562</v>
      </c>
    </row>
    <row r="10" spans="2:4">
      <c r="B10" s="94" t="s">
        <v>40</v>
      </c>
      <c r="C10" s="98" t="s">
        <v>1563</v>
      </c>
      <c r="D10" s="99"/>
    </row>
    <row r="11" spans="2:4">
      <c r="B11" s="94" t="s">
        <v>41</v>
      </c>
      <c r="C11" s="98" t="s">
        <v>1564</v>
      </c>
      <c r="D11" s="99"/>
    </row>
    <row r="12" spans="2:4" ht="30">
      <c r="B12" s="92" t="s">
        <v>42</v>
      </c>
      <c r="C12" s="98" t="s">
        <v>1565</v>
      </c>
      <c r="D12" s="99"/>
    </row>
    <row r="13" spans="2:4" ht="63" customHeight="1">
      <c r="B13" s="92" t="s">
        <v>6</v>
      </c>
      <c r="C13" s="100" t="s">
        <v>1566</v>
      </c>
      <c r="D13" s="101"/>
    </row>
  </sheetData>
  <mergeCells count="5">
    <mergeCell ref="C10:D10"/>
    <mergeCell ref="C11:D11"/>
    <mergeCell ref="C12:D12"/>
    <mergeCell ref="C13:D13"/>
    <mergeCell ref="D5:D7"/>
  </mergeCells>
  <conditionalFormatting sqref="B2:B13">
    <cfRule type="expression" dxfId="917" priority="3">
      <formula>MID($I2,2,7)="0000000"</formula>
    </cfRule>
    <cfRule type="expression" dxfId="916" priority="4">
      <formula>MID($I2,3,6)="000000"</formula>
    </cfRule>
    <cfRule type="expression" dxfId="915" priority="5">
      <formula>MID($I2,4,5)="00000"</formula>
    </cfRule>
    <cfRule type="expression" dxfId="914" priority="6">
      <formula>MID($I2,5,4)="0000"</formula>
    </cfRule>
    <cfRule type="expression" dxfId="913" priority="7">
      <formula>MID($I2,7,2)="00"</formula>
    </cfRule>
    <cfRule type="expression" dxfId="912" priority="8">
      <formula>MID($I2,8,1)="0"</formula>
    </cfRule>
    <cfRule type="expression" dxfId="911" priority="9">
      <formula>$M2="Excluído"</formula>
    </cfRule>
    <cfRule type="expression" dxfId="910" priority="10">
      <formula>$M2="Alterar"</formula>
    </cfRule>
    <cfRule type="expression" dxfId="909" priority="11">
      <formula>$M2="Excluir"</formula>
    </cfRule>
    <cfRule type="expression" dxfId="908" priority="12">
      <formula>$M2="Incluir"</formula>
    </cfRule>
  </conditionalFormatting>
  <conditionalFormatting sqref="B2:B13">
    <cfRule type="expression" dxfId="907" priority="1">
      <formula>$I$2="NR"</formula>
    </cfRule>
  </conditionalFormatting>
  <conditionalFormatting sqref="B9">
    <cfRule type="expression" dxfId="906" priority="2">
      <formula>IF($I9="",FALSE,IF($I9&gt;9999999,IF($I9&lt;100000000,FALSE,TRUE),TRUE))</formula>
    </cfRule>
  </conditionalFormatting>
  <pageMargins left="0.511811024" right="0.511811024" top="0.78740157499999996" bottom="0.78740157499999996" header="0.31496062000000002" footer="0.31496062000000002"/>
  <pageSetup paperSize="9" orientation="portrait" verticalDpi="3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74"/>
  <sheetViews>
    <sheetView showGridLines="0" topLeftCell="A57" zoomScaleNormal="100" workbookViewId="0">
      <selection activeCell="H10" sqref="H10"/>
    </sheetView>
  </sheetViews>
  <sheetFormatPr defaultRowHeight="15"/>
  <cols>
    <col min="1" max="1" width="1.5703125" customWidth="1"/>
    <col min="2" max="2" width="12.42578125" bestFit="1" customWidth="1"/>
    <col min="3" max="3" width="59.5703125" customWidth="1"/>
    <col min="4" max="4" width="18.85546875" bestFit="1" customWidth="1"/>
    <col min="5" max="5" width="17.42578125" style="63" bestFit="1" customWidth="1"/>
  </cols>
  <sheetData>
    <row r="1" spans="2:5" ht="15.75">
      <c r="B1" s="20" t="s">
        <v>1567</v>
      </c>
      <c r="C1" s="21"/>
      <c r="D1" s="21"/>
    </row>
    <row r="2" spans="2:5" ht="15.75">
      <c r="B2" s="22" t="s">
        <v>1568</v>
      </c>
      <c r="C2" s="21"/>
      <c r="D2" s="21"/>
    </row>
    <row r="3" spans="2:5" ht="15.75">
      <c r="B3" s="47" t="s">
        <v>1569</v>
      </c>
      <c r="C3" s="23"/>
      <c r="D3" s="23"/>
    </row>
    <row r="4" spans="2:5" ht="15.75">
      <c r="B4" s="24" t="s">
        <v>1570</v>
      </c>
      <c r="C4" s="21"/>
      <c r="D4" s="21"/>
    </row>
    <row r="5" spans="2:5" ht="16.5" thickBot="1">
      <c r="B5" s="91" t="s">
        <v>1571</v>
      </c>
      <c r="C5" s="21"/>
      <c r="D5" s="21"/>
    </row>
    <row r="6" spans="2:5" ht="15.75" thickBot="1">
      <c r="B6" s="105" t="s">
        <v>1572</v>
      </c>
      <c r="C6" s="106"/>
      <c r="D6" s="107"/>
      <c r="E6" s="108"/>
    </row>
    <row r="7" spans="2:5" ht="15.75" thickBot="1">
      <c r="B7" s="17" t="s">
        <v>39</v>
      </c>
      <c r="C7" s="18" t="s">
        <v>40</v>
      </c>
      <c r="D7" s="26" t="s">
        <v>1573</v>
      </c>
      <c r="E7" s="64" t="s">
        <v>1574</v>
      </c>
    </row>
    <row r="8" spans="2:5">
      <c r="B8" s="51">
        <v>12160000</v>
      </c>
      <c r="C8" s="89" t="s">
        <v>314</v>
      </c>
      <c r="D8" s="25" t="s">
        <v>10</v>
      </c>
      <c r="E8" s="65" t="s">
        <v>1575</v>
      </c>
    </row>
    <row r="9" spans="2:5" ht="30">
      <c r="B9" s="16">
        <v>12160100</v>
      </c>
      <c r="C9" s="19" t="s">
        <v>316</v>
      </c>
      <c r="D9" s="19" t="s">
        <v>10</v>
      </c>
      <c r="E9" s="62" t="s">
        <v>1575</v>
      </c>
    </row>
    <row r="10" spans="2:5" ht="30">
      <c r="B10" s="16">
        <v>12160110</v>
      </c>
      <c r="C10" s="19" t="s">
        <v>316</v>
      </c>
      <c r="D10" s="19" t="s">
        <v>10</v>
      </c>
      <c r="E10" s="62" t="s">
        <v>1576</v>
      </c>
    </row>
    <row r="11" spans="2:5" ht="30">
      <c r="B11" s="16">
        <v>12160120</v>
      </c>
      <c r="C11" s="19" t="s">
        <v>318</v>
      </c>
      <c r="D11" s="19" t="s">
        <v>10</v>
      </c>
      <c r="E11" s="62" t="s">
        <v>1576</v>
      </c>
    </row>
    <row r="12" spans="2:5" ht="30">
      <c r="B12" s="16">
        <v>12160200</v>
      </c>
      <c r="C12" s="19" t="s">
        <v>320</v>
      </c>
      <c r="D12" s="19" t="s">
        <v>10</v>
      </c>
      <c r="E12" s="62" t="s">
        <v>1576</v>
      </c>
    </row>
    <row r="13" spans="2:5" ht="30">
      <c r="B13" s="16">
        <v>12160210</v>
      </c>
      <c r="C13" s="19" t="s">
        <v>320</v>
      </c>
      <c r="D13" s="19" t="s">
        <v>10</v>
      </c>
      <c r="E13" s="62" t="s">
        <v>1576</v>
      </c>
    </row>
    <row r="14" spans="2:5" ht="30">
      <c r="B14" s="16">
        <v>12160220</v>
      </c>
      <c r="C14" s="19" t="s">
        <v>322</v>
      </c>
      <c r="D14" s="19" t="s">
        <v>10</v>
      </c>
      <c r="E14" s="62" t="s">
        <v>1576</v>
      </c>
    </row>
    <row r="15" spans="2:5" ht="30">
      <c r="B15" s="16">
        <v>12180500</v>
      </c>
      <c r="C15" s="19" t="s">
        <v>413</v>
      </c>
      <c r="D15" s="19" t="s">
        <v>10</v>
      </c>
      <c r="E15" s="62" t="s">
        <v>1575</v>
      </c>
    </row>
    <row r="16" spans="2:5">
      <c r="B16" s="16">
        <v>12180510</v>
      </c>
      <c r="C16" s="19" t="s">
        <v>416</v>
      </c>
      <c r="D16" s="19" t="s">
        <v>10</v>
      </c>
      <c r="E16" s="62" t="s">
        <v>1575</v>
      </c>
    </row>
    <row r="17" spans="2:5">
      <c r="B17" s="16">
        <v>12180520</v>
      </c>
      <c r="C17" s="61" t="s">
        <v>418</v>
      </c>
      <c r="D17" s="19" t="s">
        <v>10</v>
      </c>
      <c r="E17" s="62" t="s">
        <v>1575</v>
      </c>
    </row>
    <row r="18" spans="2:5">
      <c r="B18" s="16">
        <v>12180530</v>
      </c>
      <c r="C18" s="19" t="s">
        <v>420</v>
      </c>
      <c r="D18" s="19" t="s">
        <v>10</v>
      </c>
      <c r="E18" s="62" t="s">
        <v>1575</v>
      </c>
    </row>
    <row r="19" spans="2:5" ht="45">
      <c r="B19" s="16">
        <v>12180600</v>
      </c>
      <c r="C19" s="19" t="s">
        <v>422</v>
      </c>
      <c r="D19" s="19" t="s">
        <v>10</v>
      </c>
      <c r="E19" s="62" t="s">
        <v>1575</v>
      </c>
    </row>
    <row r="20" spans="2:5">
      <c r="B20" s="16">
        <v>12180610</v>
      </c>
      <c r="C20" s="19" t="s">
        <v>424</v>
      </c>
      <c r="D20" s="19" t="s">
        <v>10</v>
      </c>
      <c r="E20" s="62" t="s">
        <v>1575</v>
      </c>
    </row>
    <row r="21" spans="2:5">
      <c r="B21" s="16">
        <v>12180620</v>
      </c>
      <c r="C21" s="19" t="s">
        <v>426</v>
      </c>
      <c r="D21" s="19" t="s">
        <v>10</v>
      </c>
      <c r="E21" s="62" t="s">
        <v>1575</v>
      </c>
    </row>
    <row r="22" spans="2:5" ht="30">
      <c r="B22" s="16">
        <v>12180630</v>
      </c>
      <c r="C22" s="19" t="s">
        <v>428</v>
      </c>
      <c r="D22" s="19" t="s">
        <v>10</v>
      </c>
      <c r="E22" s="62" t="s">
        <v>1575</v>
      </c>
    </row>
    <row r="23" spans="2:5" ht="30">
      <c r="B23" s="16">
        <v>12180700</v>
      </c>
      <c r="C23" s="19" t="s">
        <v>430</v>
      </c>
      <c r="D23" s="19" t="s">
        <v>10</v>
      </c>
      <c r="E23" s="62" t="s">
        <v>1575</v>
      </c>
    </row>
    <row r="24" spans="2:5">
      <c r="B24" s="16">
        <v>12180710</v>
      </c>
      <c r="C24" s="19" t="s">
        <v>432</v>
      </c>
      <c r="D24" s="19" t="s">
        <v>10</v>
      </c>
      <c r="E24" s="62" t="s">
        <v>1575</v>
      </c>
    </row>
    <row r="25" spans="2:5">
      <c r="B25" s="16">
        <v>12180720</v>
      </c>
      <c r="C25" s="19" t="s">
        <v>434</v>
      </c>
      <c r="D25" s="19" t="s">
        <v>10</v>
      </c>
      <c r="E25" s="62" t="s">
        <v>1575</v>
      </c>
    </row>
    <row r="26" spans="2:5">
      <c r="B26" s="16">
        <v>12180730</v>
      </c>
      <c r="C26" s="19" t="s">
        <v>436</v>
      </c>
      <c r="D26" s="19" t="s">
        <v>10</v>
      </c>
      <c r="E26" s="62" t="s">
        <v>1575</v>
      </c>
    </row>
    <row r="27" spans="2:5" ht="30">
      <c r="B27" s="16">
        <v>12180800</v>
      </c>
      <c r="C27" s="19" t="s">
        <v>438</v>
      </c>
      <c r="D27" s="19" t="s">
        <v>10</v>
      </c>
      <c r="E27" s="62" t="s">
        <v>1575</v>
      </c>
    </row>
    <row r="28" spans="2:5" ht="30">
      <c r="B28" s="16">
        <v>12180810</v>
      </c>
      <c r="C28" s="19" t="s">
        <v>440</v>
      </c>
      <c r="D28" s="19" t="s">
        <v>10</v>
      </c>
      <c r="E28" s="62" t="s">
        <v>1575</v>
      </c>
    </row>
    <row r="29" spans="2:5" ht="30">
      <c r="B29" s="16">
        <v>12180820</v>
      </c>
      <c r="C29" s="19" t="s">
        <v>442</v>
      </c>
      <c r="D29" s="19" t="s">
        <v>10</v>
      </c>
      <c r="E29" s="62" t="s">
        <v>1575</v>
      </c>
    </row>
    <row r="30" spans="2:5" ht="30">
      <c r="B30" s="16">
        <v>12180830</v>
      </c>
      <c r="C30" s="19" t="s">
        <v>444</v>
      </c>
      <c r="D30" s="19" t="s">
        <v>10</v>
      </c>
      <c r="E30" s="62" t="s">
        <v>1575</v>
      </c>
    </row>
    <row r="31" spans="2:5" ht="30">
      <c r="B31" s="16">
        <v>12180830</v>
      </c>
      <c r="C31" s="19" t="s">
        <v>444</v>
      </c>
      <c r="D31" s="19" t="s">
        <v>10</v>
      </c>
      <c r="E31" s="62" t="s">
        <v>1575</v>
      </c>
    </row>
    <row r="32" spans="2:5">
      <c r="B32" s="16">
        <v>13210060</v>
      </c>
      <c r="C32" s="19" t="s">
        <v>580</v>
      </c>
      <c r="D32" s="19" t="s">
        <v>10</v>
      </c>
      <c r="E32" s="62" t="s">
        <v>1576</v>
      </c>
    </row>
    <row r="33" spans="2:5">
      <c r="B33" s="52">
        <v>13340000</v>
      </c>
      <c r="C33" s="90" t="s">
        <v>666</v>
      </c>
      <c r="D33" s="19" t="s">
        <v>14</v>
      </c>
      <c r="E33" s="62" t="s">
        <v>1577</v>
      </c>
    </row>
    <row r="34" spans="2:5" ht="30">
      <c r="B34" s="16">
        <v>13340100</v>
      </c>
      <c r="C34" s="19" t="s">
        <v>669</v>
      </c>
      <c r="D34" s="19" t="s">
        <v>14</v>
      </c>
      <c r="E34" s="62" t="s">
        <v>1577</v>
      </c>
    </row>
    <row r="35" spans="2:5" ht="30">
      <c r="B35" s="16">
        <v>13340110</v>
      </c>
      <c r="C35" s="19" t="s">
        <v>669</v>
      </c>
      <c r="D35" s="19" t="s">
        <v>14</v>
      </c>
      <c r="E35" s="62" t="s">
        <v>1577</v>
      </c>
    </row>
    <row r="36" spans="2:5" ht="30">
      <c r="B36" s="16">
        <v>13600120</v>
      </c>
      <c r="C36" s="19" t="s">
        <v>805</v>
      </c>
      <c r="D36" s="19" t="s">
        <v>14</v>
      </c>
      <c r="E36" s="62" t="s">
        <v>1577</v>
      </c>
    </row>
    <row r="37" spans="2:5" ht="45">
      <c r="B37" s="16">
        <v>17180300</v>
      </c>
      <c r="C37" s="19" t="s">
        <v>1578</v>
      </c>
      <c r="D37" s="19" t="s">
        <v>10</v>
      </c>
      <c r="E37" s="62" t="s">
        <v>1575</v>
      </c>
    </row>
    <row r="38" spans="2:5">
      <c r="B38" s="16">
        <v>17180310</v>
      </c>
      <c r="C38" s="19" t="s">
        <v>1579</v>
      </c>
      <c r="D38" s="19" t="s">
        <v>10</v>
      </c>
      <c r="E38" s="62" t="s">
        <v>1575</v>
      </c>
    </row>
    <row r="39" spans="2:5" ht="30">
      <c r="B39" s="16">
        <v>17180320</v>
      </c>
      <c r="C39" s="19" t="s">
        <v>1580</v>
      </c>
      <c r="D39" s="19" t="s">
        <v>10</v>
      </c>
      <c r="E39" s="62" t="s">
        <v>1575</v>
      </c>
    </row>
    <row r="40" spans="2:5">
      <c r="B40" s="16">
        <v>17180330</v>
      </c>
      <c r="C40" s="19" t="s">
        <v>930</v>
      </c>
      <c r="D40" s="19" t="s">
        <v>10</v>
      </c>
      <c r="E40" s="62" t="s">
        <v>1576</v>
      </c>
    </row>
    <row r="41" spans="2:5">
      <c r="B41" s="16">
        <v>17180340</v>
      </c>
      <c r="C41" s="19" t="s">
        <v>932</v>
      </c>
      <c r="D41" s="19" t="s">
        <v>10</v>
      </c>
      <c r="E41" s="62" t="s">
        <v>1576</v>
      </c>
    </row>
    <row r="42" spans="2:5">
      <c r="B42" s="16">
        <v>17180350</v>
      </c>
      <c r="C42" s="19" t="s">
        <v>934</v>
      </c>
      <c r="D42" s="19" t="s">
        <v>10</v>
      </c>
      <c r="E42" s="62" t="s">
        <v>1576</v>
      </c>
    </row>
    <row r="43" spans="2:5" ht="30">
      <c r="B43" s="16">
        <v>17180390</v>
      </c>
      <c r="C43" s="19" t="s">
        <v>936</v>
      </c>
      <c r="D43" s="19" t="s">
        <v>10</v>
      </c>
      <c r="E43" s="62" t="s">
        <v>1576</v>
      </c>
    </row>
    <row r="44" spans="2:5" ht="45">
      <c r="B44" s="16">
        <v>17180400</v>
      </c>
      <c r="C44" s="19" t="s">
        <v>1581</v>
      </c>
      <c r="D44" s="19" t="s">
        <v>10</v>
      </c>
      <c r="E44" s="62" t="s">
        <v>1575</v>
      </c>
    </row>
    <row r="45" spans="2:5" ht="30">
      <c r="B45" s="16">
        <v>17180410</v>
      </c>
      <c r="C45" s="19" t="s">
        <v>1582</v>
      </c>
      <c r="D45" s="19" t="s">
        <v>10</v>
      </c>
      <c r="E45" s="62" t="s">
        <v>1575</v>
      </c>
    </row>
    <row r="46" spans="2:5" ht="30">
      <c r="B46" s="16">
        <v>17180420</v>
      </c>
      <c r="C46" s="19" t="s">
        <v>942</v>
      </c>
      <c r="D46" s="19" t="s">
        <v>10</v>
      </c>
      <c r="E46" s="62" t="s">
        <v>1576</v>
      </c>
    </row>
    <row r="47" spans="2:5" ht="30">
      <c r="B47" s="16">
        <v>17180430</v>
      </c>
      <c r="C47" s="19" t="s">
        <v>944</v>
      </c>
      <c r="D47" s="19" t="s">
        <v>10</v>
      </c>
      <c r="E47" s="62" t="s">
        <v>1576</v>
      </c>
    </row>
    <row r="48" spans="2:5" ht="45">
      <c r="B48" s="16">
        <v>17180440</v>
      </c>
      <c r="C48" s="19" t="s">
        <v>946</v>
      </c>
      <c r="D48" s="19" t="s">
        <v>10</v>
      </c>
      <c r="E48" s="62" t="s">
        <v>1576</v>
      </c>
    </row>
    <row r="49" spans="2:5" ht="30">
      <c r="B49" s="16">
        <v>17180450</v>
      </c>
      <c r="C49" s="19" t="s">
        <v>948</v>
      </c>
      <c r="D49" s="19" t="s">
        <v>10</v>
      </c>
      <c r="E49" s="62" t="s">
        <v>1576</v>
      </c>
    </row>
    <row r="50" spans="2:5" ht="30">
      <c r="B50" s="16">
        <v>17180460</v>
      </c>
      <c r="C50" s="19" t="s">
        <v>950</v>
      </c>
      <c r="D50" s="19" t="s">
        <v>18</v>
      </c>
      <c r="E50" s="62" t="s">
        <v>1575</v>
      </c>
    </row>
    <row r="51" spans="2:5" ht="30">
      <c r="B51" s="16">
        <v>17180490</v>
      </c>
      <c r="C51" s="19" t="s">
        <v>950</v>
      </c>
      <c r="D51" s="19" t="s">
        <v>14</v>
      </c>
      <c r="E51" s="62" t="s">
        <v>1575</v>
      </c>
    </row>
    <row r="52" spans="2:5">
      <c r="B52" s="16">
        <v>17181100</v>
      </c>
      <c r="C52" s="19" t="s">
        <v>997</v>
      </c>
      <c r="D52" s="19" t="s">
        <v>10</v>
      </c>
      <c r="E52" s="62" t="s">
        <v>1575</v>
      </c>
    </row>
    <row r="53" spans="2:5" ht="30">
      <c r="B53" s="16">
        <v>17181120</v>
      </c>
      <c r="C53" s="19" t="s">
        <v>1001</v>
      </c>
      <c r="D53" s="19" t="s">
        <v>14</v>
      </c>
      <c r="E53" s="62" t="s">
        <v>1575</v>
      </c>
    </row>
    <row r="54" spans="2:5" ht="30">
      <c r="B54" s="16">
        <v>17181130</v>
      </c>
      <c r="C54" s="19" t="s">
        <v>1004</v>
      </c>
      <c r="D54" s="19" t="s">
        <v>14</v>
      </c>
      <c r="E54" s="62" t="s">
        <v>1575</v>
      </c>
    </row>
    <row r="55" spans="2:5">
      <c r="B55" s="16">
        <v>17181190</v>
      </c>
      <c r="C55" s="19" t="s">
        <v>1006</v>
      </c>
      <c r="D55" s="19" t="s">
        <v>14</v>
      </c>
      <c r="E55" s="62" t="s">
        <v>1575</v>
      </c>
    </row>
    <row r="56" spans="2:5" ht="30">
      <c r="B56" s="16">
        <v>23000720</v>
      </c>
      <c r="C56" s="19" t="s">
        <v>1405</v>
      </c>
      <c r="D56" s="19" t="s">
        <v>14</v>
      </c>
      <c r="E56" s="62" t="s">
        <v>1577</v>
      </c>
    </row>
    <row r="57" spans="2:5" ht="30">
      <c r="B57" s="16">
        <v>23000730</v>
      </c>
      <c r="C57" s="19" t="s">
        <v>1408</v>
      </c>
      <c r="D57" s="19" t="s">
        <v>14</v>
      </c>
      <c r="E57" s="62" t="s">
        <v>1577</v>
      </c>
    </row>
    <row r="58" spans="2:5" ht="30">
      <c r="B58" s="16">
        <v>23000800</v>
      </c>
      <c r="C58" s="19" t="s">
        <v>1405</v>
      </c>
      <c r="D58" s="19" t="s">
        <v>18</v>
      </c>
      <c r="E58" s="62" t="s">
        <v>1583</v>
      </c>
    </row>
    <row r="59" spans="2:5" ht="30">
      <c r="B59" s="16">
        <v>23000810</v>
      </c>
      <c r="C59" s="19" t="s">
        <v>1405</v>
      </c>
      <c r="D59" s="19" t="s">
        <v>18</v>
      </c>
      <c r="E59" s="62" t="s">
        <v>1583</v>
      </c>
    </row>
    <row r="60" spans="2:5" ht="45">
      <c r="B60" s="16">
        <v>24180300</v>
      </c>
      <c r="C60" s="19" t="s">
        <v>1584</v>
      </c>
      <c r="D60" s="19" t="s">
        <v>10</v>
      </c>
      <c r="E60" s="62" t="s">
        <v>1575</v>
      </c>
    </row>
    <row r="61" spans="2:5">
      <c r="B61" s="16">
        <v>24180310</v>
      </c>
      <c r="C61" s="19" t="s">
        <v>1579</v>
      </c>
      <c r="D61" s="19" t="s">
        <v>10</v>
      </c>
      <c r="E61" s="62" t="s">
        <v>1575</v>
      </c>
    </row>
    <row r="62" spans="2:5" ht="30">
      <c r="B62" s="16">
        <v>24180320</v>
      </c>
      <c r="C62" s="19" t="s">
        <v>1580</v>
      </c>
      <c r="D62" s="19" t="s">
        <v>10</v>
      </c>
      <c r="E62" s="62" t="s">
        <v>1575</v>
      </c>
    </row>
    <row r="63" spans="2:5">
      <c r="B63" s="16">
        <v>24180330</v>
      </c>
      <c r="C63" s="19" t="s">
        <v>930</v>
      </c>
      <c r="D63" s="19" t="s">
        <v>10</v>
      </c>
      <c r="E63" s="62" t="s">
        <v>1576</v>
      </c>
    </row>
    <row r="64" spans="2:5">
      <c r="B64" s="16">
        <v>24180340</v>
      </c>
      <c r="C64" s="19" t="s">
        <v>932</v>
      </c>
      <c r="D64" s="19" t="s">
        <v>10</v>
      </c>
      <c r="E64" s="62" t="s">
        <v>1576</v>
      </c>
    </row>
    <row r="65" spans="2:5">
      <c r="B65" s="16">
        <v>24180350</v>
      </c>
      <c r="C65" s="19" t="s">
        <v>934</v>
      </c>
      <c r="D65" s="19" t="s">
        <v>10</v>
      </c>
      <c r="E65" s="62" t="s">
        <v>1576</v>
      </c>
    </row>
    <row r="66" spans="2:5" ht="30">
      <c r="B66" s="16">
        <v>24180390</v>
      </c>
      <c r="C66" s="19" t="s">
        <v>936</v>
      </c>
      <c r="D66" s="19" t="s">
        <v>10</v>
      </c>
      <c r="E66" s="62" t="s">
        <v>1576</v>
      </c>
    </row>
    <row r="67" spans="2:5" ht="45">
      <c r="B67" s="16">
        <v>24180400</v>
      </c>
      <c r="C67" s="19" t="s">
        <v>1585</v>
      </c>
      <c r="D67" s="19" t="s">
        <v>10</v>
      </c>
      <c r="E67" s="62" t="s">
        <v>1575</v>
      </c>
    </row>
    <row r="68" spans="2:5" ht="30">
      <c r="B68" s="16">
        <v>24180410</v>
      </c>
      <c r="C68" s="19" t="s">
        <v>1582</v>
      </c>
      <c r="D68" s="19" t="s">
        <v>10</v>
      </c>
      <c r="E68" s="62" t="s">
        <v>1575</v>
      </c>
    </row>
    <row r="69" spans="2:5" ht="30">
      <c r="B69" s="16">
        <v>24180420</v>
      </c>
      <c r="C69" s="19" t="s">
        <v>942</v>
      </c>
      <c r="D69" s="19" t="s">
        <v>10</v>
      </c>
      <c r="E69" s="62" t="s">
        <v>1576</v>
      </c>
    </row>
    <row r="70" spans="2:5" ht="30">
      <c r="B70" s="16">
        <v>24180430</v>
      </c>
      <c r="C70" s="19" t="s">
        <v>944</v>
      </c>
      <c r="D70" s="19" t="s">
        <v>10</v>
      </c>
      <c r="E70" s="62" t="s">
        <v>1576</v>
      </c>
    </row>
    <row r="71" spans="2:5" ht="52.5" customHeight="1">
      <c r="B71" s="16">
        <v>24180440</v>
      </c>
      <c r="C71" s="19" t="s">
        <v>946</v>
      </c>
      <c r="D71" s="19" t="s">
        <v>10</v>
      </c>
      <c r="E71" s="62" t="s">
        <v>1576</v>
      </c>
    </row>
    <row r="72" spans="2:5" ht="30">
      <c r="B72" s="16">
        <v>24180450</v>
      </c>
      <c r="C72" s="19" t="s">
        <v>948</v>
      </c>
      <c r="D72" s="19" t="s">
        <v>10</v>
      </c>
      <c r="E72" s="62" t="s">
        <v>1576</v>
      </c>
    </row>
    <row r="73" spans="2:5" ht="30">
      <c r="B73" s="16">
        <v>24180460</v>
      </c>
      <c r="C73" s="19" t="s">
        <v>950</v>
      </c>
      <c r="D73" s="19" t="s">
        <v>18</v>
      </c>
      <c r="E73" s="62" t="s">
        <v>1575</v>
      </c>
    </row>
    <row r="74" spans="2:5" ht="30">
      <c r="B74" s="16">
        <v>24180490</v>
      </c>
      <c r="C74" s="19" t="s">
        <v>950</v>
      </c>
      <c r="D74" s="19" t="s">
        <v>14</v>
      </c>
      <c r="E74" s="62" t="s">
        <v>1575</v>
      </c>
    </row>
  </sheetData>
  <autoFilter ref="B7:E155" xr:uid="{00000000-0009-0000-0000-000004000000}"/>
  <sortState xmlns:xlrd2="http://schemas.microsoft.com/office/spreadsheetml/2017/richdata2" ref="B8:E74">
    <sortCondition ref="B8:B74"/>
  </sortState>
  <mergeCells count="1">
    <mergeCell ref="B6:E6"/>
  </mergeCells>
  <conditionalFormatting sqref="B1:E7 D39:D68 D70:E74 D8:E37 B75:E1048576">
    <cfRule type="expression" dxfId="905" priority="1199">
      <formula>MID($B1,2,7)="0000000"</formula>
    </cfRule>
    <cfRule type="expression" dxfId="904" priority="1200">
      <formula>MID($B1,3,6)="000000"</formula>
    </cfRule>
    <cfRule type="expression" dxfId="903" priority="1201">
      <formula>MID($B1,4,5)="00000"</formula>
    </cfRule>
    <cfRule type="expression" dxfId="902" priority="1202">
      <formula>MID($B1,5,4)="0000"</formula>
    </cfRule>
    <cfRule type="expression" dxfId="901" priority="1203">
      <formula>MID($B1,7,2)="00"</formula>
    </cfRule>
    <cfRule type="expression" dxfId="900" priority="1204">
      <formula>MID($B1,8,1)="0"</formula>
    </cfRule>
    <cfRule type="expression" dxfId="899" priority="1206">
      <formula>$D1="Alterar"</formula>
    </cfRule>
    <cfRule type="expression" dxfId="898" priority="1207">
      <formula>$D1="Excluir"</formula>
    </cfRule>
    <cfRule type="expression" dxfId="897" priority="1208">
      <formula>$D1="Incluir"</formula>
    </cfRule>
  </conditionalFormatting>
  <conditionalFormatting sqref="B11:C11">
    <cfRule type="expression" dxfId="896" priority="1156">
      <formula>MID($B11,2,7)="0000000"</formula>
    </cfRule>
    <cfRule type="expression" dxfId="895" priority="1157">
      <formula>MID($B11,3,6)="000000"</formula>
    </cfRule>
    <cfRule type="expression" dxfId="894" priority="1158">
      <formula>MID($B11,4,5)="00000"</formula>
    </cfRule>
    <cfRule type="expression" dxfId="893" priority="1159">
      <formula>MID($B11,5,4)="0000"</formula>
    </cfRule>
    <cfRule type="expression" dxfId="892" priority="1160">
      <formula>MID($B11,7,2)="00"</formula>
    </cfRule>
    <cfRule type="expression" dxfId="891" priority="1161">
      <formula>MID($B11,8,1)="0"</formula>
    </cfRule>
    <cfRule type="expression" dxfId="890" priority="1162">
      <formula>$D11="Alterar"</formula>
    </cfRule>
    <cfRule type="expression" dxfId="889" priority="1163">
      <formula>$D11="Excluir"</formula>
    </cfRule>
    <cfRule type="expression" dxfId="888" priority="1164">
      <formula>$D11="Incluir"</formula>
    </cfRule>
  </conditionalFormatting>
  <conditionalFormatting sqref="B10:C10">
    <cfRule type="expression" dxfId="887" priority="1147">
      <formula>MID($B10,2,7)="0000000"</formula>
    </cfRule>
    <cfRule type="expression" dxfId="886" priority="1148">
      <formula>MID($B10,3,6)="000000"</formula>
    </cfRule>
    <cfRule type="expression" dxfId="885" priority="1149">
      <formula>MID($B10,4,5)="00000"</formula>
    </cfRule>
    <cfRule type="expression" dxfId="884" priority="1150">
      <formula>MID($B10,5,4)="0000"</formula>
    </cfRule>
    <cfRule type="expression" dxfId="883" priority="1151">
      <formula>MID($B10,7,2)="00"</formula>
    </cfRule>
    <cfRule type="expression" dxfId="882" priority="1152">
      <formula>MID($B10,8,1)="0"</formula>
    </cfRule>
    <cfRule type="expression" dxfId="881" priority="1153">
      <formula>$D10="Alterar"</formula>
    </cfRule>
    <cfRule type="expression" dxfId="880" priority="1154">
      <formula>$D10="Excluir"</formula>
    </cfRule>
    <cfRule type="expression" dxfId="879" priority="1155">
      <formula>$D10="Incluir"</formula>
    </cfRule>
  </conditionalFormatting>
  <conditionalFormatting sqref="B9:C9">
    <cfRule type="expression" dxfId="878" priority="1138">
      <formula>MID($B9,2,7)="0000000"</formula>
    </cfRule>
    <cfRule type="expression" dxfId="877" priority="1139">
      <formula>MID($B9,3,6)="000000"</formula>
    </cfRule>
    <cfRule type="expression" dxfId="876" priority="1140">
      <formula>MID($B9,4,5)="00000"</formula>
    </cfRule>
    <cfRule type="expression" dxfId="875" priority="1141">
      <formula>MID($B9,5,4)="0000"</formula>
    </cfRule>
    <cfRule type="expression" dxfId="874" priority="1142">
      <formula>MID($B9,7,2)="00"</formula>
    </cfRule>
    <cfRule type="expression" dxfId="873" priority="1143">
      <formula>MID($B9,8,1)="0"</formula>
    </cfRule>
    <cfRule type="expression" dxfId="872" priority="1144">
      <formula>$D9="Alterar"</formula>
    </cfRule>
    <cfRule type="expression" dxfId="871" priority="1145">
      <formula>$D9="Excluir"</formula>
    </cfRule>
    <cfRule type="expression" dxfId="870" priority="1146">
      <formula>$D9="Incluir"</formula>
    </cfRule>
  </conditionalFormatting>
  <conditionalFormatting sqref="B8:C8">
    <cfRule type="expression" dxfId="869" priority="1129">
      <formula>MID($B8,2,7)="0000000"</formula>
    </cfRule>
    <cfRule type="expression" dxfId="868" priority="1130">
      <formula>MID($B8,3,6)="000000"</formula>
    </cfRule>
    <cfRule type="expression" dxfId="867" priority="1131">
      <formula>MID($B8,4,5)="00000"</formula>
    </cfRule>
    <cfRule type="expression" dxfId="866" priority="1132">
      <formula>MID($B8,5,4)="0000"</formula>
    </cfRule>
    <cfRule type="expression" dxfId="865" priority="1133">
      <formula>MID($B8,7,2)="00"</formula>
    </cfRule>
    <cfRule type="expression" dxfId="864" priority="1134">
      <formula>MID($B8,8,1)="0"</formula>
    </cfRule>
    <cfRule type="expression" dxfId="863" priority="1135">
      <formula>$D8="Alterar"</formula>
    </cfRule>
    <cfRule type="expression" dxfId="862" priority="1136">
      <formula>$D8="Excluir"</formula>
    </cfRule>
    <cfRule type="expression" dxfId="861" priority="1137">
      <formula>$D8="Incluir"</formula>
    </cfRule>
  </conditionalFormatting>
  <conditionalFormatting sqref="B12:C12">
    <cfRule type="expression" dxfId="860" priority="1109">
      <formula>MID($B12,2,7)="0000000"</formula>
    </cfRule>
    <cfRule type="expression" dxfId="859" priority="1110">
      <formula>MID($B12,3,6)="000000"</formula>
    </cfRule>
    <cfRule type="expression" dxfId="858" priority="1111">
      <formula>MID($B12,4,5)="00000"</formula>
    </cfRule>
    <cfRule type="expression" dxfId="857" priority="1112">
      <formula>MID($B12,5,4)="0000"</formula>
    </cfRule>
    <cfRule type="expression" dxfId="856" priority="1113">
      <formula>MID($B12,7,2)="00"</formula>
    </cfRule>
    <cfRule type="expression" dxfId="855" priority="1114">
      <formula>MID($B12,8,1)="0"</formula>
    </cfRule>
    <cfRule type="expression" dxfId="854" priority="1115">
      <formula>$D12="Alterar"</formula>
    </cfRule>
    <cfRule type="expression" dxfId="853" priority="1116">
      <formula>$D12="Excluir"</formula>
    </cfRule>
    <cfRule type="expression" dxfId="852" priority="1117">
      <formula>$D12="Incluir"</formula>
    </cfRule>
  </conditionalFormatting>
  <conditionalFormatting sqref="B13:C13">
    <cfRule type="expression" dxfId="851" priority="1089">
      <formula>MID($B13,2,7)="0000000"</formula>
    </cfRule>
    <cfRule type="expression" dxfId="850" priority="1090">
      <formula>MID($B13,3,6)="000000"</formula>
    </cfRule>
    <cfRule type="expression" dxfId="849" priority="1091">
      <formula>MID($B13,4,5)="00000"</formula>
    </cfRule>
    <cfRule type="expression" dxfId="848" priority="1092">
      <formula>MID($B13,5,4)="0000"</formula>
    </cfRule>
    <cfRule type="expression" dxfId="847" priority="1093">
      <formula>MID($B13,7,2)="00"</formula>
    </cfRule>
    <cfRule type="expression" dxfId="846" priority="1094">
      <formula>MID($B13,8,1)="0"</formula>
    </cfRule>
    <cfRule type="expression" dxfId="845" priority="1095">
      <formula>$D13="Alterar"</formula>
    </cfRule>
    <cfRule type="expression" dxfId="844" priority="1096">
      <formula>$D13="Excluir"</formula>
    </cfRule>
    <cfRule type="expression" dxfId="843" priority="1097">
      <formula>$D13="Incluir"</formula>
    </cfRule>
  </conditionalFormatting>
  <conditionalFormatting sqref="B14:C14">
    <cfRule type="expression" dxfId="842" priority="1069">
      <formula>MID($B14,2,7)="0000000"</formula>
    </cfRule>
    <cfRule type="expression" dxfId="841" priority="1070">
      <formula>MID($B14,3,6)="000000"</formula>
    </cfRule>
    <cfRule type="expression" dxfId="840" priority="1071">
      <formula>MID($B14,4,5)="00000"</formula>
    </cfRule>
    <cfRule type="expression" dxfId="839" priority="1072">
      <formula>MID($B14,5,4)="0000"</formula>
    </cfRule>
    <cfRule type="expression" dxfId="838" priority="1073">
      <formula>MID($B14,7,2)="00"</formula>
    </cfRule>
    <cfRule type="expression" dxfId="837" priority="1074">
      <formula>MID($B14,8,1)="0"</formula>
    </cfRule>
    <cfRule type="expression" dxfId="836" priority="1075">
      <formula>$D14="Alterar"</formula>
    </cfRule>
    <cfRule type="expression" dxfId="835" priority="1076">
      <formula>$D14="Excluir"</formula>
    </cfRule>
    <cfRule type="expression" dxfId="834" priority="1077">
      <formula>$D14="Incluir"</formula>
    </cfRule>
  </conditionalFormatting>
  <conditionalFormatting sqref="B15:C15">
    <cfRule type="expression" dxfId="833" priority="1060">
      <formula>MID($B15,2,7)="0000000"</formula>
    </cfRule>
    <cfRule type="expression" dxfId="832" priority="1061">
      <formula>MID($B15,3,6)="000000"</formula>
    </cfRule>
    <cfRule type="expression" dxfId="831" priority="1062">
      <formula>MID($B15,4,5)="00000"</formula>
    </cfRule>
    <cfRule type="expression" dxfId="830" priority="1063">
      <formula>MID($B15,5,4)="0000"</formula>
    </cfRule>
    <cfRule type="expression" dxfId="829" priority="1064">
      <formula>MID($B15,7,2)="00"</formula>
    </cfRule>
    <cfRule type="expression" dxfId="828" priority="1065">
      <formula>MID($B15,8,1)="0"</formula>
    </cfRule>
    <cfRule type="expression" dxfId="827" priority="1066">
      <formula>$D15="Alterar"</formula>
    </cfRule>
    <cfRule type="expression" dxfId="826" priority="1067">
      <formula>$D15="Excluir"</formula>
    </cfRule>
    <cfRule type="expression" dxfId="825" priority="1068">
      <formula>$D15="Incluir"</formula>
    </cfRule>
  </conditionalFormatting>
  <conditionalFormatting sqref="B16:C16">
    <cfRule type="expression" dxfId="824" priority="1051">
      <formula>MID($B16,2,7)="0000000"</formula>
    </cfRule>
    <cfRule type="expression" dxfId="823" priority="1052">
      <formula>MID($B16,3,6)="000000"</formula>
    </cfRule>
    <cfRule type="expression" dxfId="822" priority="1053">
      <formula>MID($B16,4,5)="00000"</formula>
    </cfRule>
    <cfRule type="expression" dxfId="821" priority="1054">
      <formula>MID($B16,5,4)="0000"</formula>
    </cfRule>
    <cfRule type="expression" dxfId="820" priority="1055">
      <formula>MID($B16,7,2)="00"</formula>
    </cfRule>
    <cfRule type="expression" dxfId="819" priority="1056">
      <formula>MID($B16,8,1)="0"</formula>
    </cfRule>
    <cfRule type="expression" dxfId="818" priority="1057">
      <formula>$D16="Alterar"</formula>
    </cfRule>
    <cfRule type="expression" dxfId="817" priority="1058">
      <formula>$D16="Excluir"</formula>
    </cfRule>
    <cfRule type="expression" dxfId="816" priority="1059">
      <formula>$D16="Incluir"</formula>
    </cfRule>
  </conditionalFormatting>
  <conditionalFormatting sqref="B18:C18">
    <cfRule type="expression" dxfId="815" priority="1009">
      <formula>MID($B18,2,7)="0000000"</formula>
    </cfRule>
    <cfRule type="expression" dxfId="814" priority="1010">
      <formula>MID($B18,3,6)="000000"</formula>
    </cfRule>
    <cfRule type="expression" dxfId="813" priority="1011">
      <formula>MID($B18,4,5)="00000"</formula>
    </cfRule>
    <cfRule type="expression" dxfId="812" priority="1012">
      <formula>MID($B18,5,4)="0000"</formula>
    </cfRule>
    <cfRule type="expression" dxfId="811" priority="1013">
      <formula>MID($B18,7,2)="00"</formula>
    </cfRule>
    <cfRule type="expression" dxfId="810" priority="1014">
      <formula>MID($B18,8,1)="0"</formula>
    </cfRule>
    <cfRule type="expression" dxfId="809" priority="1015">
      <formula>$D18="Alterar"</formula>
    </cfRule>
    <cfRule type="expression" dxfId="808" priority="1016">
      <formula>$D18="Excluir"</formula>
    </cfRule>
    <cfRule type="expression" dxfId="807" priority="1017">
      <formula>$D18="Incluir"</formula>
    </cfRule>
  </conditionalFormatting>
  <conditionalFormatting sqref="B21:C21">
    <cfRule type="expression" dxfId="806" priority="1000">
      <formula>MID($B21,2,7)="0000000"</formula>
    </cfRule>
    <cfRule type="expression" dxfId="805" priority="1001">
      <formula>MID($B21,3,6)="000000"</formula>
    </cfRule>
    <cfRule type="expression" dxfId="804" priority="1002">
      <formula>MID($B21,4,5)="00000"</formula>
    </cfRule>
    <cfRule type="expression" dxfId="803" priority="1003">
      <formula>MID($B21,5,4)="0000"</formula>
    </cfRule>
    <cfRule type="expression" dxfId="802" priority="1004">
      <formula>MID($B21,7,2)="00"</formula>
    </cfRule>
    <cfRule type="expression" dxfId="801" priority="1005">
      <formula>MID($B21,8,1)="0"</formula>
    </cfRule>
    <cfRule type="expression" dxfId="800" priority="1006">
      <formula>$D21="Alterar"</formula>
    </cfRule>
    <cfRule type="expression" dxfId="799" priority="1007">
      <formula>$D21="Excluir"</formula>
    </cfRule>
    <cfRule type="expression" dxfId="798" priority="1008">
      <formula>$D21="Incluir"</formula>
    </cfRule>
  </conditionalFormatting>
  <conditionalFormatting sqref="B19:C19">
    <cfRule type="expression" dxfId="797" priority="991">
      <formula>MID($B19,2,7)="0000000"</formula>
    </cfRule>
    <cfRule type="expression" dxfId="796" priority="992">
      <formula>MID($B19,3,6)="000000"</formula>
    </cfRule>
    <cfRule type="expression" dxfId="795" priority="993">
      <formula>MID($B19,4,5)="00000"</formula>
    </cfRule>
    <cfRule type="expression" dxfId="794" priority="994">
      <formula>MID($B19,5,4)="0000"</formula>
    </cfRule>
    <cfRule type="expression" dxfId="793" priority="995">
      <formula>MID($B19,7,2)="00"</formula>
    </cfRule>
    <cfRule type="expression" dxfId="792" priority="996">
      <formula>MID($B19,8,1)="0"</formula>
    </cfRule>
    <cfRule type="expression" dxfId="791" priority="997">
      <formula>$D19="Alterar"</formula>
    </cfRule>
    <cfRule type="expression" dxfId="790" priority="998">
      <formula>$D19="Excluir"</formula>
    </cfRule>
    <cfRule type="expression" dxfId="789" priority="999">
      <formula>$D19="Incluir"</formula>
    </cfRule>
  </conditionalFormatting>
  <conditionalFormatting sqref="B20:C20">
    <cfRule type="expression" dxfId="788" priority="982">
      <formula>MID($B20,2,7)="0000000"</formula>
    </cfRule>
    <cfRule type="expression" dxfId="787" priority="983">
      <formula>MID($B20,3,6)="000000"</formula>
    </cfRule>
    <cfRule type="expression" dxfId="786" priority="984">
      <formula>MID($B20,4,5)="00000"</formula>
    </cfRule>
    <cfRule type="expression" dxfId="785" priority="985">
      <formula>MID($B20,5,4)="0000"</formula>
    </cfRule>
    <cfRule type="expression" dxfId="784" priority="986">
      <formula>MID($B20,7,2)="00"</formula>
    </cfRule>
    <cfRule type="expression" dxfId="783" priority="987">
      <formula>MID($B20,8,1)="0"</formula>
    </cfRule>
    <cfRule type="expression" dxfId="782" priority="988">
      <formula>$D20="Alterar"</formula>
    </cfRule>
    <cfRule type="expression" dxfId="781" priority="989">
      <formula>$D20="Excluir"</formula>
    </cfRule>
    <cfRule type="expression" dxfId="780" priority="990">
      <formula>$D20="Incluir"</formula>
    </cfRule>
  </conditionalFormatting>
  <conditionalFormatting sqref="B22:C22">
    <cfRule type="expression" dxfId="779" priority="973">
      <formula>MID($B22,2,7)="0000000"</formula>
    </cfRule>
    <cfRule type="expression" dxfId="778" priority="974">
      <formula>MID($B22,3,6)="000000"</formula>
    </cfRule>
    <cfRule type="expression" dxfId="777" priority="975">
      <formula>MID($B22,4,5)="00000"</formula>
    </cfRule>
    <cfRule type="expression" dxfId="776" priority="976">
      <formula>MID($B22,5,4)="0000"</formula>
    </cfRule>
    <cfRule type="expression" dxfId="775" priority="977">
      <formula>MID($B22,7,2)="00"</formula>
    </cfRule>
    <cfRule type="expression" dxfId="774" priority="978">
      <formula>MID($B22,8,1)="0"</formula>
    </cfRule>
    <cfRule type="expression" dxfId="773" priority="979">
      <formula>$D22="Alterar"</formula>
    </cfRule>
    <cfRule type="expression" dxfId="772" priority="980">
      <formula>$D22="Excluir"</formula>
    </cfRule>
    <cfRule type="expression" dxfId="771" priority="981">
      <formula>$D22="Incluir"</formula>
    </cfRule>
  </conditionalFormatting>
  <conditionalFormatting sqref="B23:C23">
    <cfRule type="expression" dxfId="770" priority="964">
      <formula>MID($B23,2,7)="0000000"</formula>
    </cfRule>
    <cfRule type="expression" dxfId="769" priority="965">
      <formula>MID($B23,3,6)="000000"</formula>
    </cfRule>
    <cfRule type="expression" dxfId="768" priority="966">
      <formula>MID($B23,4,5)="00000"</formula>
    </cfRule>
    <cfRule type="expression" dxfId="767" priority="967">
      <formula>MID($B23,5,4)="0000"</formula>
    </cfRule>
    <cfRule type="expression" dxfId="766" priority="968">
      <formula>MID($B23,7,2)="00"</formula>
    </cfRule>
    <cfRule type="expression" dxfId="765" priority="969">
      <formula>MID($B23,8,1)="0"</formula>
    </cfRule>
    <cfRule type="expression" dxfId="764" priority="970">
      <formula>$D23="Alterar"</formula>
    </cfRule>
    <cfRule type="expression" dxfId="763" priority="971">
      <formula>$D23="Excluir"</formula>
    </cfRule>
    <cfRule type="expression" dxfId="762" priority="972">
      <formula>$D23="Incluir"</formula>
    </cfRule>
  </conditionalFormatting>
  <conditionalFormatting sqref="B17:C17">
    <cfRule type="expression" dxfId="761" priority="905">
      <formula>MID($H17,2,7)="0000000"</formula>
    </cfRule>
    <cfRule type="expression" dxfId="760" priority="906">
      <formula>MID($H17,3,6)="000000"</formula>
    </cfRule>
    <cfRule type="expression" dxfId="759" priority="907">
      <formula>MID($H17,4,5)="00000"</formula>
    </cfRule>
    <cfRule type="expression" dxfId="758" priority="908">
      <formula>MID($H17,5,4)="0000"</formula>
    </cfRule>
    <cfRule type="expression" dxfId="757" priority="909">
      <formula>MID($H17,7,2)="00"</formula>
    </cfRule>
    <cfRule type="expression" dxfId="756" priority="910">
      <formula>MID($H17,8,1)="0"</formula>
    </cfRule>
    <cfRule type="expression" dxfId="755" priority="911">
      <formula>$L17="Excluído"</formula>
    </cfRule>
    <cfRule type="expression" dxfId="754" priority="912">
      <formula>$L17="Alterar"</formula>
    </cfRule>
    <cfRule type="expression" dxfId="753" priority="913">
      <formula>$L17="Excluir"</formula>
    </cfRule>
    <cfRule type="expression" dxfId="752" priority="914">
      <formula>$L17="Incluir"</formula>
    </cfRule>
  </conditionalFormatting>
  <conditionalFormatting sqref="B17">
    <cfRule type="expression" dxfId="751" priority="904">
      <formula>IF($H17="",FALSE,IF($H17&gt;9999999,IF($H17&lt;100000000,FALSE,TRUE),TRUE))</formula>
    </cfRule>
  </conditionalFormatting>
  <conditionalFormatting sqref="B24:C24">
    <cfRule type="expression" dxfId="750" priority="673">
      <formula>MID($B24,2,7)="0000000"</formula>
    </cfRule>
    <cfRule type="expression" dxfId="749" priority="674">
      <formula>MID($B24,3,6)="000000"</formula>
    </cfRule>
    <cfRule type="expression" dxfId="748" priority="675">
      <formula>MID($B24,4,5)="00000"</formula>
    </cfRule>
    <cfRule type="expression" dxfId="747" priority="676">
      <formula>MID($B24,5,4)="0000"</formula>
    </cfRule>
    <cfRule type="expression" dxfId="746" priority="677">
      <formula>MID($B24,7,2)="00"</formula>
    </cfRule>
    <cfRule type="expression" dxfId="745" priority="678">
      <formula>MID($B24,8,1)="0"</formula>
    </cfRule>
    <cfRule type="expression" dxfId="744" priority="679">
      <formula>$D24="Alterar"</formula>
    </cfRule>
    <cfRule type="expression" dxfId="743" priority="680">
      <formula>$D24="Excluir"</formula>
    </cfRule>
    <cfRule type="expression" dxfId="742" priority="681">
      <formula>$D24="Incluir"</formula>
    </cfRule>
  </conditionalFormatting>
  <conditionalFormatting sqref="B25:C25">
    <cfRule type="expression" dxfId="741" priority="653">
      <formula>MID($B25,2,7)="0000000"</formula>
    </cfRule>
    <cfRule type="expression" dxfId="740" priority="654">
      <formula>MID($B25,3,6)="000000"</formula>
    </cfRule>
    <cfRule type="expression" dxfId="739" priority="655">
      <formula>MID($B25,4,5)="00000"</formula>
    </cfRule>
    <cfRule type="expression" dxfId="738" priority="656">
      <formula>MID($B25,5,4)="0000"</formula>
    </cfRule>
    <cfRule type="expression" dxfId="737" priority="657">
      <formula>MID($B25,7,2)="00"</formula>
    </cfRule>
    <cfRule type="expression" dxfId="736" priority="658">
      <formula>MID($B25,8,1)="0"</formula>
    </cfRule>
    <cfRule type="expression" dxfId="735" priority="659">
      <formula>$D25="Alterar"</formula>
    </cfRule>
    <cfRule type="expression" dxfId="734" priority="660">
      <formula>$D25="Excluir"</formula>
    </cfRule>
    <cfRule type="expression" dxfId="733" priority="661">
      <formula>$D25="Incluir"</formula>
    </cfRule>
  </conditionalFormatting>
  <conditionalFormatting sqref="B26:C26">
    <cfRule type="expression" dxfId="732" priority="644">
      <formula>MID($B26,2,7)="0000000"</formula>
    </cfRule>
    <cfRule type="expression" dxfId="731" priority="645">
      <formula>MID($B26,3,6)="000000"</formula>
    </cfRule>
    <cfRule type="expression" dxfId="730" priority="646">
      <formula>MID($B26,4,5)="00000"</formula>
    </cfRule>
    <cfRule type="expression" dxfId="729" priority="647">
      <formula>MID($B26,5,4)="0000"</formula>
    </cfRule>
    <cfRule type="expression" dxfId="728" priority="648">
      <formula>MID($B26,7,2)="00"</formula>
    </cfRule>
    <cfRule type="expression" dxfId="727" priority="649">
      <formula>MID($B26,8,1)="0"</formula>
    </cfRule>
    <cfRule type="expression" dxfId="726" priority="650">
      <formula>$D26="Alterar"</formula>
    </cfRule>
    <cfRule type="expression" dxfId="725" priority="651">
      <formula>$D26="Excluir"</formula>
    </cfRule>
    <cfRule type="expression" dxfId="724" priority="652">
      <formula>$D26="Incluir"</formula>
    </cfRule>
  </conditionalFormatting>
  <conditionalFormatting sqref="B27:C27">
    <cfRule type="expression" dxfId="723" priority="624">
      <formula>MID($B27,2,7)="0000000"</formula>
    </cfRule>
    <cfRule type="expression" dxfId="722" priority="625">
      <formula>MID($B27,3,6)="000000"</formula>
    </cfRule>
    <cfRule type="expression" dxfId="721" priority="626">
      <formula>MID($B27,4,5)="00000"</formula>
    </cfRule>
    <cfRule type="expression" dxfId="720" priority="627">
      <formula>MID($B27,5,4)="0000"</formula>
    </cfRule>
    <cfRule type="expression" dxfId="719" priority="628">
      <formula>MID($B27,7,2)="00"</formula>
    </cfRule>
    <cfRule type="expression" dxfId="718" priority="629">
      <formula>MID($B27,8,1)="0"</formula>
    </cfRule>
    <cfRule type="expression" dxfId="717" priority="630">
      <formula>$D27="Alterar"</formula>
    </cfRule>
    <cfRule type="expression" dxfId="716" priority="631">
      <formula>$D27="Excluir"</formula>
    </cfRule>
    <cfRule type="expression" dxfId="715" priority="632">
      <formula>$D27="Incluir"</formula>
    </cfRule>
  </conditionalFormatting>
  <conditionalFormatting sqref="B28:C28">
    <cfRule type="expression" dxfId="714" priority="615">
      <formula>MID($B28,2,7)="0000000"</formula>
    </cfRule>
    <cfRule type="expression" dxfId="713" priority="616">
      <formula>MID($B28,3,6)="000000"</formula>
    </cfRule>
    <cfRule type="expression" dxfId="712" priority="617">
      <formula>MID($B28,4,5)="00000"</formula>
    </cfRule>
    <cfRule type="expression" dxfId="711" priority="618">
      <formula>MID($B28,5,4)="0000"</formula>
    </cfRule>
    <cfRule type="expression" dxfId="710" priority="619">
      <formula>MID($B28,7,2)="00"</formula>
    </cfRule>
    <cfRule type="expression" dxfId="709" priority="620">
      <formula>MID($B28,8,1)="0"</formula>
    </cfRule>
    <cfRule type="expression" dxfId="708" priority="621">
      <formula>$D28="Alterar"</formula>
    </cfRule>
    <cfRule type="expression" dxfId="707" priority="622">
      <formula>$D28="Excluir"</formula>
    </cfRule>
    <cfRule type="expression" dxfId="706" priority="623">
      <formula>$D28="Incluir"</formula>
    </cfRule>
  </conditionalFormatting>
  <conditionalFormatting sqref="B29:C29">
    <cfRule type="expression" dxfId="705" priority="606">
      <formula>MID($B29,2,7)="0000000"</formula>
    </cfRule>
    <cfRule type="expression" dxfId="704" priority="607">
      <formula>MID($B29,3,6)="000000"</formula>
    </cfRule>
    <cfRule type="expression" dxfId="703" priority="608">
      <formula>MID($B29,4,5)="00000"</formula>
    </cfRule>
    <cfRule type="expression" dxfId="702" priority="609">
      <formula>MID($B29,5,4)="0000"</formula>
    </cfRule>
    <cfRule type="expression" dxfId="701" priority="610">
      <formula>MID($B29,7,2)="00"</formula>
    </cfRule>
    <cfRule type="expression" dxfId="700" priority="611">
      <formula>MID($B29,8,1)="0"</formula>
    </cfRule>
    <cfRule type="expression" dxfId="699" priority="612">
      <formula>$D29="Alterar"</formula>
    </cfRule>
    <cfRule type="expression" dxfId="698" priority="613">
      <formula>$D29="Excluir"</formula>
    </cfRule>
    <cfRule type="expression" dxfId="697" priority="614">
      <formula>$D29="Incluir"</formula>
    </cfRule>
  </conditionalFormatting>
  <conditionalFormatting sqref="B30:C30">
    <cfRule type="expression" dxfId="696" priority="597">
      <formula>MID($B30,2,7)="0000000"</formula>
    </cfRule>
    <cfRule type="expression" dxfId="695" priority="598">
      <formula>MID($B30,3,6)="000000"</formula>
    </cfRule>
    <cfRule type="expression" dxfId="694" priority="599">
      <formula>MID($B30,4,5)="00000"</formula>
    </cfRule>
    <cfRule type="expression" dxfId="693" priority="600">
      <formula>MID($B30,5,4)="0000"</formula>
    </cfRule>
    <cfRule type="expression" dxfId="692" priority="601">
      <formula>MID($B30,7,2)="00"</formula>
    </cfRule>
    <cfRule type="expression" dxfId="691" priority="602">
      <formula>MID($B30,8,1)="0"</formula>
    </cfRule>
    <cfRule type="expression" dxfId="690" priority="603">
      <formula>$D30="Alterar"</formula>
    </cfRule>
    <cfRule type="expression" dxfId="689" priority="604">
      <formula>$D30="Excluir"</formula>
    </cfRule>
    <cfRule type="expression" dxfId="688" priority="605">
      <formula>$D30="Incluir"</formula>
    </cfRule>
  </conditionalFormatting>
  <conditionalFormatting sqref="B31:C31">
    <cfRule type="expression" dxfId="687" priority="577">
      <formula>MID($B31,2,7)="0000000"</formula>
    </cfRule>
    <cfRule type="expression" dxfId="686" priority="578">
      <formula>MID($B31,3,6)="000000"</formula>
    </cfRule>
    <cfRule type="expression" dxfId="685" priority="579">
      <formula>MID($B31,4,5)="00000"</formula>
    </cfRule>
    <cfRule type="expression" dxfId="684" priority="580">
      <formula>MID($B31,5,4)="0000"</formula>
    </cfRule>
    <cfRule type="expression" dxfId="683" priority="581">
      <formula>MID($B31,7,2)="00"</formula>
    </cfRule>
    <cfRule type="expression" dxfId="682" priority="582">
      <formula>MID($B31,8,1)="0"</formula>
    </cfRule>
    <cfRule type="expression" dxfId="681" priority="583">
      <formula>$D31="Alterar"</formula>
    </cfRule>
    <cfRule type="expression" dxfId="680" priority="584">
      <formula>$D31="Excluir"</formula>
    </cfRule>
    <cfRule type="expression" dxfId="679" priority="585">
      <formula>$D31="Incluir"</formula>
    </cfRule>
  </conditionalFormatting>
  <conditionalFormatting sqref="B32:C32">
    <cfRule type="expression" dxfId="678" priority="557">
      <formula>MID($B32,2,7)="0000000"</formula>
    </cfRule>
    <cfRule type="expression" dxfId="677" priority="558">
      <formula>MID($B32,3,6)="000000"</formula>
    </cfRule>
    <cfRule type="expression" dxfId="676" priority="559">
      <formula>MID($B32,4,5)="00000"</formula>
    </cfRule>
    <cfRule type="expression" dxfId="675" priority="560">
      <formula>MID($B32,5,4)="0000"</formula>
    </cfRule>
    <cfRule type="expression" dxfId="674" priority="561">
      <formula>MID($B32,7,2)="00"</formula>
    </cfRule>
    <cfRule type="expression" dxfId="673" priority="562">
      <formula>MID($B32,8,1)="0"</formula>
    </cfRule>
    <cfRule type="expression" dxfId="672" priority="563">
      <formula>$D32="Alterar"</formula>
    </cfRule>
    <cfRule type="expression" dxfId="671" priority="564">
      <formula>$D32="Excluir"</formula>
    </cfRule>
    <cfRule type="expression" dxfId="670" priority="565">
      <formula>$D32="Incluir"</formula>
    </cfRule>
  </conditionalFormatting>
  <conditionalFormatting sqref="B33:C33">
    <cfRule type="expression" dxfId="669" priority="537">
      <formula>MID($B33,2,7)="0000000"</formula>
    </cfRule>
    <cfRule type="expression" dxfId="668" priority="538">
      <formula>MID($B33,3,6)="000000"</formula>
    </cfRule>
    <cfRule type="expression" dxfId="667" priority="539">
      <formula>MID($B33,4,5)="00000"</formula>
    </cfRule>
    <cfRule type="expression" dxfId="666" priority="540">
      <formula>MID($B33,5,4)="0000"</formula>
    </cfRule>
    <cfRule type="expression" dxfId="665" priority="541">
      <formula>MID($B33,7,2)="00"</formula>
    </cfRule>
    <cfRule type="expression" dxfId="664" priority="542">
      <formula>MID($B33,8,1)="0"</formula>
    </cfRule>
    <cfRule type="expression" dxfId="663" priority="543">
      <formula>$D33="Alterar"</formula>
    </cfRule>
    <cfRule type="expression" dxfId="662" priority="544">
      <formula>$D33="Excluir"</formula>
    </cfRule>
    <cfRule type="expression" dxfId="661" priority="545">
      <formula>$D33="Incluir"</formula>
    </cfRule>
  </conditionalFormatting>
  <conditionalFormatting sqref="B34:C34">
    <cfRule type="expression" dxfId="660" priority="528">
      <formula>MID($B34,2,7)="0000000"</formula>
    </cfRule>
    <cfRule type="expression" dxfId="659" priority="529">
      <formula>MID($B34,3,6)="000000"</formula>
    </cfRule>
    <cfRule type="expression" dxfId="658" priority="530">
      <formula>MID($B34,4,5)="00000"</formula>
    </cfRule>
    <cfRule type="expression" dxfId="657" priority="531">
      <formula>MID($B34,5,4)="0000"</formula>
    </cfRule>
    <cfRule type="expression" dxfId="656" priority="532">
      <formula>MID($B34,7,2)="00"</formula>
    </cfRule>
    <cfRule type="expression" dxfId="655" priority="533">
      <formula>MID($B34,8,1)="0"</formula>
    </cfRule>
    <cfRule type="expression" dxfId="654" priority="534">
      <formula>$D34="Alterar"</formula>
    </cfRule>
    <cfRule type="expression" dxfId="653" priority="535">
      <formula>$D34="Excluir"</formula>
    </cfRule>
    <cfRule type="expression" dxfId="652" priority="536">
      <formula>$D34="Incluir"</formula>
    </cfRule>
  </conditionalFormatting>
  <conditionalFormatting sqref="B35:C35">
    <cfRule type="expression" dxfId="651" priority="519">
      <formula>MID($B35,2,7)="0000000"</formula>
    </cfRule>
    <cfRule type="expression" dxfId="650" priority="520">
      <formula>MID($B35,3,6)="000000"</formula>
    </cfRule>
    <cfRule type="expression" dxfId="649" priority="521">
      <formula>MID($B35,4,5)="00000"</formula>
    </cfRule>
    <cfRule type="expression" dxfId="648" priority="522">
      <formula>MID($B35,5,4)="0000"</formula>
    </cfRule>
    <cfRule type="expression" dxfId="647" priority="523">
      <formula>MID($B35,7,2)="00"</formula>
    </cfRule>
    <cfRule type="expression" dxfId="646" priority="524">
      <formula>MID($B35,8,1)="0"</formula>
    </cfRule>
    <cfRule type="expression" dxfId="645" priority="525">
      <formula>$D35="Alterar"</formula>
    </cfRule>
    <cfRule type="expression" dxfId="644" priority="526">
      <formula>$D35="Excluir"</formula>
    </cfRule>
    <cfRule type="expression" dxfId="643" priority="527">
      <formula>$D35="Incluir"</formula>
    </cfRule>
  </conditionalFormatting>
  <conditionalFormatting sqref="B36:C36">
    <cfRule type="expression" dxfId="642" priority="510">
      <formula>MID($B36,2,7)="0000000"</formula>
    </cfRule>
    <cfRule type="expression" dxfId="641" priority="511">
      <formula>MID($B36,3,6)="000000"</formula>
    </cfRule>
    <cfRule type="expression" dxfId="640" priority="512">
      <formula>MID($B36,4,5)="00000"</formula>
    </cfRule>
    <cfRule type="expression" dxfId="639" priority="513">
      <formula>MID($B36,5,4)="0000"</formula>
    </cfRule>
    <cfRule type="expression" dxfId="638" priority="514">
      <formula>MID($B36,7,2)="00"</formula>
    </cfRule>
    <cfRule type="expression" dxfId="637" priority="515">
      <formula>MID($B36,8,1)="0"</formula>
    </cfRule>
    <cfRule type="expression" dxfId="636" priority="516">
      <formula>$D36="Alterar"</formula>
    </cfRule>
    <cfRule type="expression" dxfId="635" priority="517">
      <formula>$D36="Excluir"</formula>
    </cfRule>
    <cfRule type="expression" dxfId="634" priority="518">
      <formula>$D36="Incluir"</formula>
    </cfRule>
  </conditionalFormatting>
  <conditionalFormatting sqref="B37:C37">
    <cfRule type="expression" dxfId="633" priority="501">
      <formula>MID($B37,2,7)="0000000"</formula>
    </cfRule>
    <cfRule type="expression" dxfId="632" priority="502">
      <formula>MID($B37,3,6)="000000"</formula>
    </cfRule>
    <cfRule type="expression" dxfId="631" priority="503">
      <formula>MID($B37,4,5)="00000"</formula>
    </cfRule>
    <cfRule type="expression" dxfId="630" priority="504">
      <formula>MID($B37,5,4)="0000"</formula>
    </cfRule>
    <cfRule type="expression" dxfId="629" priority="505">
      <formula>MID($B37,7,2)="00"</formula>
    </cfRule>
    <cfRule type="expression" dxfId="628" priority="506">
      <formula>MID($B37,8,1)="0"</formula>
    </cfRule>
    <cfRule type="expression" dxfId="627" priority="507">
      <formula>$D37="Alterar"</formula>
    </cfRule>
    <cfRule type="expression" dxfId="626" priority="508">
      <formula>$D37="Excluir"</formula>
    </cfRule>
    <cfRule type="expression" dxfId="625" priority="509">
      <formula>$D37="Incluir"</formula>
    </cfRule>
  </conditionalFormatting>
  <conditionalFormatting sqref="D38:E38 E39:E68">
    <cfRule type="expression" dxfId="624" priority="492">
      <formula>MID($B38,2,7)="0000000"</formula>
    </cfRule>
    <cfRule type="expression" dxfId="623" priority="493">
      <formula>MID($B38,3,6)="000000"</formula>
    </cfRule>
    <cfRule type="expression" dxfId="622" priority="494">
      <formula>MID($B38,4,5)="00000"</formula>
    </cfRule>
    <cfRule type="expression" dxfId="621" priority="495">
      <formula>MID($B38,5,4)="0000"</formula>
    </cfRule>
    <cfRule type="expression" dxfId="620" priority="496">
      <formula>MID($B38,7,2)="00"</formula>
    </cfRule>
    <cfRule type="expression" dxfId="619" priority="497">
      <formula>MID($B38,8,1)="0"</formula>
    </cfRule>
    <cfRule type="expression" dxfId="618" priority="498">
      <formula>$D38="Alterar"</formula>
    </cfRule>
    <cfRule type="expression" dxfId="617" priority="499">
      <formula>$D38="Excluir"</formula>
    </cfRule>
    <cfRule type="expression" dxfId="616" priority="500">
      <formula>$D38="Incluir"</formula>
    </cfRule>
  </conditionalFormatting>
  <conditionalFormatting sqref="B38:C38">
    <cfRule type="expression" dxfId="615" priority="483">
      <formula>MID($B38,2,7)="0000000"</formula>
    </cfRule>
    <cfRule type="expression" dxfId="614" priority="484">
      <formula>MID($B38,3,6)="000000"</formula>
    </cfRule>
    <cfRule type="expression" dxfId="613" priority="485">
      <formula>MID($B38,4,5)="00000"</formula>
    </cfRule>
    <cfRule type="expression" dxfId="612" priority="486">
      <formula>MID($B38,5,4)="0000"</formula>
    </cfRule>
    <cfRule type="expression" dxfId="611" priority="487">
      <formula>MID($B38,7,2)="00"</formula>
    </cfRule>
    <cfRule type="expression" dxfId="610" priority="488">
      <formula>MID($B38,8,1)="0"</formula>
    </cfRule>
    <cfRule type="expression" dxfId="609" priority="489">
      <formula>$D38="Alterar"</formula>
    </cfRule>
    <cfRule type="expression" dxfId="608" priority="490">
      <formula>$D38="Excluir"</formula>
    </cfRule>
    <cfRule type="expression" dxfId="607" priority="491">
      <formula>$D38="Incluir"</formula>
    </cfRule>
  </conditionalFormatting>
  <conditionalFormatting sqref="B39:C39">
    <cfRule type="expression" dxfId="606" priority="452">
      <formula>MID($B39,2,7)="0000000"</formula>
    </cfRule>
    <cfRule type="expression" dxfId="605" priority="453">
      <formula>MID($B39,3,6)="000000"</formula>
    </cfRule>
    <cfRule type="expression" dxfId="604" priority="454">
      <formula>MID($B39,4,5)="00000"</formula>
    </cfRule>
    <cfRule type="expression" dxfId="603" priority="455">
      <formula>MID($B39,5,4)="0000"</formula>
    </cfRule>
    <cfRule type="expression" dxfId="602" priority="456">
      <formula>MID($B39,7,2)="00"</formula>
    </cfRule>
    <cfRule type="expression" dxfId="601" priority="457">
      <formula>MID($B39,8,1)="0"</formula>
    </cfRule>
    <cfRule type="expression" dxfId="600" priority="458">
      <formula>$D39="Alterar"</formula>
    </cfRule>
    <cfRule type="expression" dxfId="599" priority="459">
      <formula>$D39="Excluir"</formula>
    </cfRule>
    <cfRule type="expression" dxfId="598" priority="460">
      <formula>$D39="Incluir"</formula>
    </cfRule>
  </conditionalFormatting>
  <conditionalFormatting sqref="B46:C46">
    <cfRule type="expression" dxfId="597" priority="443">
      <formula>MID($B46,2,7)="0000000"</formula>
    </cfRule>
    <cfRule type="expression" dxfId="596" priority="444">
      <formula>MID($B46,3,6)="000000"</formula>
    </cfRule>
    <cfRule type="expression" dxfId="595" priority="445">
      <formula>MID($B46,4,5)="00000"</formula>
    </cfRule>
    <cfRule type="expression" dxfId="594" priority="446">
      <formula>MID($B46,5,4)="0000"</formula>
    </cfRule>
    <cfRule type="expression" dxfId="593" priority="447">
      <formula>MID($B46,7,2)="00"</formula>
    </cfRule>
    <cfRule type="expression" dxfId="592" priority="448">
      <formula>MID($B46,8,1)="0"</formula>
    </cfRule>
    <cfRule type="expression" dxfId="591" priority="449">
      <formula>$D46="Alterar"</formula>
    </cfRule>
    <cfRule type="expression" dxfId="590" priority="450">
      <formula>$D46="Excluir"</formula>
    </cfRule>
    <cfRule type="expression" dxfId="589" priority="451">
      <formula>$D46="Incluir"</formula>
    </cfRule>
  </conditionalFormatting>
  <conditionalFormatting sqref="B40:C40">
    <cfRule type="expression" dxfId="588" priority="434">
      <formula>MID($B40,2,7)="0000000"</formula>
    </cfRule>
    <cfRule type="expression" dxfId="587" priority="435">
      <formula>MID($B40,3,6)="000000"</formula>
    </cfRule>
    <cfRule type="expression" dxfId="586" priority="436">
      <formula>MID($B40,4,5)="00000"</formula>
    </cfRule>
    <cfRule type="expression" dxfId="585" priority="437">
      <formula>MID($B40,5,4)="0000"</formula>
    </cfRule>
    <cfRule type="expression" dxfId="584" priority="438">
      <formula>MID($B40,7,2)="00"</formula>
    </cfRule>
    <cfRule type="expression" dxfId="583" priority="439">
      <formula>MID($B40,8,1)="0"</formula>
    </cfRule>
    <cfRule type="expression" dxfId="582" priority="440">
      <formula>$D40="Alterar"</formula>
    </cfRule>
    <cfRule type="expression" dxfId="581" priority="441">
      <formula>$D40="Excluir"</formula>
    </cfRule>
    <cfRule type="expression" dxfId="580" priority="442">
      <formula>$D40="Incluir"</formula>
    </cfRule>
  </conditionalFormatting>
  <conditionalFormatting sqref="B41:C41">
    <cfRule type="expression" dxfId="579" priority="425">
      <formula>MID($B41,2,7)="0000000"</formula>
    </cfRule>
    <cfRule type="expression" dxfId="578" priority="426">
      <formula>MID($B41,3,6)="000000"</formula>
    </cfRule>
    <cfRule type="expression" dxfId="577" priority="427">
      <formula>MID($B41,4,5)="00000"</formula>
    </cfRule>
    <cfRule type="expression" dxfId="576" priority="428">
      <formula>MID($B41,5,4)="0000"</formula>
    </cfRule>
    <cfRule type="expression" dxfId="575" priority="429">
      <formula>MID($B41,7,2)="00"</formula>
    </cfRule>
    <cfRule type="expression" dxfId="574" priority="430">
      <formula>MID($B41,8,1)="0"</formula>
    </cfRule>
    <cfRule type="expression" dxfId="573" priority="431">
      <formula>$D41="Alterar"</formula>
    </cfRule>
    <cfRule type="expression" dxfId="572" priority="432">
      <formula>$D41="Excluir"</formula>
    </cfRule>
    <cfRule type="expression" dxfId="571" priority="433">
      <formula>$D41="Incluir"</formula>
    </cfRule>
  </conditionalFormatting>
  <conditionalFormatting sqref="B42:C42">
    <cfRule type="expression" dxfId="570" priority="416">
      <formula>MID($B42,2,7)="0000000"</formula>
    </cfRule>
    <cfRule type="expression" dxfId="569" priority="417">
      <formula>MID($B42,3,6)="000000"</formula>
    </cfRule>
    <cfRule type="expression" dxfId="568" priority="418">
      <formula>MID($B42,4,5)="00000"</formula>
    </cfRule>
    <cfRule type="expression" dxfId="567" priority="419">
      <formula>MID($B42,5,4)="0000"</formula>
    </cfRule>
    <cfRule type="expression" dxfId="566" priority="420">
      <formula>MID($B42,7,2)="00"</formula>
    </cfRule>
    <cfRule type="expression" dxfId="565" priority="421">
      <formula>MID($B42,8,1)="0"</formula>
    </cfRule>
    <cfRule type="expression" dxfId="564" priority="422">
      <formula>$D42="Alterar"</formula>
    </cfRule>
    <cfRule type="expression" dxfId="563" priority="423">
      <formula>$D42="Excluir"</formula>
    </cfRule>
    <cfRule type="expression" dxfId="562" priority="424">
      <formula>$D42="Incluir"</formula>
    </cfRule>
  </conditionalFormatting>
  <conditionalFormatting sqref="B43:C43">
    <cfRule type="expression" dxfId="561" priority="407">
      <formula>MID($B43,2,7)="0000000"</formula>
    </cfRule>
    <cfRule type="expression" dxfId="560" priority="408">
      <formula>MID($B43,3,6)="000000"</formula>
    </cfRule>
    <cfRule type="expression" dxfId="559" priority="409">
      <formula>MID($B43,4,5)="00000"</formula>
    </cfRule>
    <cfRule type="expression" dxfId="558" priority="410">
      <formula>MID($B43,5,4)="0000"</formula>
    </cfRule>
    <cfRule type="expression" dxfId="557" priority="411">
      <formula>MID($B43,7,2)="00"</formula>
    </cfRule>
    <cfRule type="expression" dxfId="556" priority="412">
      <formula>MID($B43,8,1)="0"</formula>
    </cfRule>
    <cfRule type="expression" dxfId="555" priority="413">
      <formula>$D43="Alterar"</formula>
    </cfRule>
    <cfRule type="expression" dxfId="554" priority="414">
      <formula>$D43="Excluir"</formula>
    </cfRule>
    <cfRule type="expression" dxfId="553" priority="415">
      <formula>$D43="Incluir"</formula>
    </cfRule>
  </conditionalFormatting>
  <conditionalFormatting sqref="B44:C44">
    <cfRule type="expression" dxfId="552" priority="398">
      <formula>MID($B44,2,7)="0000000"</formula>
    </cfRule>
    <cfRule type="expression" dxfId="551" priority="399">
      <formula>MID($B44,3,6)="000000"</formula>
    </cfRule>
    <cfRule type="expression" dxfId="550" priority="400">
      <formula>MID($B44,4,5)="00000"</formula>
    </cfRule>
    <cfRule type="expression" dxfId="549" priority="401">
      <formula>MID($B44,5,4)="0000"</formula>
    </cfRule>
    <cfRule type="expression" dxfId="548" priority="402">
      <formula>MID($B44,7,2)="00"</formula>
    </cfRule>
    <cfRule type="expression" dxfId="547" priority="403">
      <formula>MID($B44,8,1)="0"</formula>
    </cfRule>
    <cfRule type="expression" dxfId="546" priority="404">
      <formula>$D44="Alterar"</formula>
    </cfRule>
    <cfRule type="expression" dxfId="545" priority="405">
      <formula>$D44="Excluir"</formula>
    </cfRule>
    <cfRule type="expression" dxfId="544" priority="406">
      <formula>$D44="Incluir"</formula>
    </cfRule>
  </conditionalFormatting>
  <conditionalFormatting sqref="B45:C45">
    <cfRule type="expression" dxfId="543" priority="389">
      <formula>MID($B45,2,7)="0000000"</formula>
    </cfRule>
    <cfRule type="expression" dxfId="542" priority="390">
      <formula>MID($B45,3,6)="000000"</formula>
    </cfRule>
    <cfRule type="expression" dxfId="541" priority="391">
      <formula>MID($B45,4,5)="00000"</formula>
    </cfRule>
    <cfRule type="expression" dxfId="540" priority="392">
      <formula>MID($B45,5,4)="0000"</formula>
    </cfRule>
    <cfRule type="expression" dxfId="539" priority="393">
      <formula>MID($B45,7,2)="00"</formula>
    </cfRule>
    <cfRule type="expression" dxfId="538" priority="394">
      <formula>MID($B45,8,1)="0"</formula>
    </cfRule>
    <cfRule type="expression" dxfId="537" priority="395">
      <formula>$D45="Alterar"</formula>
    </cfRule>
    <cfRule type="expression" dxfId="536" priority="396">
      <formula>$D45="Excluir"</formula>
    </cfRule>
    <cfRule type="expression" dxfId="535" priority="397">
      <formula>$D45="Incluir"</formula>
    </cfRule>
  </conditionalFormatting>
  <conditionalFormatting sqref="B47:C47">
    <cfRule type="expression" dxfId="534" priority="380">
      <formula>MID($B47,2,7)="0000000"</formula>
    </cfRule>
    <cfRule type="expression" dxfId="533" priority="381">
      <formula>MID($B47,3,6)="000000"</formula>
    </cfRule>
    <cfRule type="expression" dxfId="532" priority="382">
      <formula>MID($B47,4,5)="00000"</formula>
    </cfRule>
    <cfRule type="expression" dxfId="531" priority="383">
      <formula>MID($B47,5,4)="0000"</formula>
    </cfRule>
    <cfRule type="expression" dxfId="530" priority="384">
      <formula>MID($B47,7,2)="00"</formula>
    </cfRule>
    <cfRule type="expression" dxfId="529" priority="385">
      <formula>MID($B47,8,1)="0"</formula>
    </cfRule>
    <cfRule type="expression" dxfId="528" priority="386">
      <formula>$D47="Alterar"</formula>
    </cfRule>
    <cfRule type="expression" dxfId="527" priority="387">
      <formula>$D47="Excluir"</formula>
    </cfRule>
    <cfRule type="expression" dxfId="526" priority="388">
      <formula>$D47="Incluir"</formula>
    </cfRule>
  </conditionalFormatting>
  <conditionalFormatting sqref="B48:C48">
    <cfRule type="expression" dxfId="525" priority="371">
      <formula>MID($B48,2,7)="0000000"</formula>
    </cfRule>
    <cfRule type="expression" dxfId="524" priority="372">
      <formula>MID($B48,3,6)="000000"</formula>
    </cfRule>
    <cfRule type="expression" dxfId="523" priority="373">
      <formula>MID($B48,4,5)="00000"</formula>
    </cfRule>
    <cfRule type="expression" dxfId="522" priority="374">
      <formula>MID($B48,5,4)="0000"</formula>
    </cfRule>
    <cfRule type="expression" dxfId="521" priority="375">
      <formula>MID($B48,7,2)="00"</formula>
    </cfRule>
    <cfRule type="expression" dxfId="520" priority="376">
      <formula>MID($B48,8,1)="0"</formula>
    </cfRule>
    <cfRule type="expression" dxfId="519" priority="377">
      <formula>$D48="Alterar"</formula>
    </cfRule>
    <cfRule type="expression" dxfId="518" priority="378">
      <formula>$D48="Excluir"</formula>
    </cfRule>
    <cfRule type="expression" dxfId="517" priority="379">
      <formula>$D48="Incluir"</formula>
    </cfRule>
  </conditionalFormatting>
  <conditionalFormatting sqref="B49:C49">
    <cfRule type="expression" dxfId="516" priority="362">
      <formula>MID($B49,2,7)="0000000"</formula>
    </cfRule>
    <cfRule type="expression" dxfId="515" priority="363">
      <formula>MID($B49,3,6)="000000"</formula>
    </cfRule>
    <cfRule type="expression" dxfId="514" priority="364">
      <formula>MID($B49,4,5)="00000"</formula>
    </cfRule>
    <cfRule type="expression" dxfId="513" priority="365">
      <formula>MID($B49,5,4)="0000"</formula>
    </cfRule>
    <cfRule type="expression" dxfId="512" priority="366">
      <formula>MID($B49,7,2)="00"</formula>
    </cfRule>
    <cfRule type="expression" dxfId="511" priority="367">
      <formula>MID($B49,8,1)="0"</formula>
    </cfRule>
    <cfRule type="expression" dxfId="510" priority="368">
      <formula>$D49="Alterar"</formula>
    </cfRule>
    <cfRule type="expression" dxfId="509" priority="369">
      <formula>$D49="Excluir"</formula>
    </cfRule>
    <cfRule type="expression" dxfId="508" priority="370">
      <formula>$D49="Incluir"</formula>
    </cfRule>
  </conditionalFormatting>
  <conditionalFormatting sqref="B50:C50">
    <cfRule type="expression" dxfId="507" priority="353">
      <formula>MID($B50,2,7)="0000000"</formula>
    </cfRule>
    <cfRule type="expression" dxfId="506" priority="354">
      <formula>MID($B50,3,6)="000000"</formula>
    </cfRule>
    <cfRule type="expression" dxfId="505" priority="355">
      <formula>MID($B50,4,5)="00000"</formula>
    </cfRule>
    <cfRule type="expression" dxfId="504" priority="356">
      <formula>MID($B50,5,4)="0000"</formula>
    </cfRule>
    <cfRule type="expression" dxfId="503" priority="357">
      <formula>MID($B50,7,2)="00"</formula>
    </cfRule>
    <cfRule type="expression" dxfId="502" priority="358">
      <formula>MID($B50,8,1)="0"</formula>
    </cfRule>
    <cfRule type="expression" dxfId="501" priority="359">
      <formula>$D50="Alterar"</formula>
    </cfRule>
    <cfRule type="expression" dxfId="500" priority="360">
      <formula>$D50="Excluir"</formula>
    </cfRule>
    <cfRule type="expression" dxfId="499" priority="361">
      <formula>$D50="Incluir"</formula>
    </cfRule>
  </conditionalFormatting>
  <conditionalFormatting sqref="B51:C51">
    <cfRule type="expression" dxfId="498" priority="344">
      <formula>MID($B51,2,7)="0000000"</formula>
    </cfRule>
    <cfRule type="expression" dxfId="497" priority="345">
      <formula>MID($B51,3,6)="000000"</formula>
    </cfRule>
    <cfRule type="expression" dxfId="496" priority="346">
      <formula>MID($B51,4,5)="00000"</formula>
    </cfRule>
    <cfRule type="expression" dxfId="495" priority="347">
      <formula>MID($B51,5,4)="0000"</formula>
    </cfRule>
    <cfRule type="expression" dxfId="494" priority="348">
      <formula>MID($B51,7,2)="00"</formula>
    </cfRule>
    <cfRule type="expression" dxfId="493" priority="349">
      <formula>MID($B51,8,1)="0"</formula>
    </cfRule>
    <cfRule type="expression" dxfId="492" priority="350">
      <formula>$D51="Alterar"</formula>
    </cfRule>
    <cfRule type="expression" dxfId="491" priority="351">
      <formula>$D51="Excluir"</formula>
    </cfRule>
    <cfRule type="expression" dxfId="490" priority="352">
      <formula>$D51="Incluir"</formula>
    </cfRule>
  </conditionalFormatting>
  <conditionalFormatting sqref="B53:C53">
    <cfRule type="expression" dxfId="489" priority="335">
      <formula>MID($B53,2,7)="0000000"</formula>
    </cfRule>
    <cfRule type="expression" dxfId="488" priority="336">
      <formula>MID($B53,3,6)="000000"</formula>
    </cfRule>
    <cfRule type="expression" dxfId="487" priority="337">
      <formula>MID($B53,4,5)="00000"</formula>
    </cfRule>
    <cfRule type="expression" dxfId="486" priority="338">
      <formula>MID($B53,5,4)="0000"</formula>
    </cfRule>
    <cfRule type="expression" dxfId="485" priority="339">
      <formula>MID($B53,7,2)="00"</formula>
    </cfRule>
    <cfRule type="expression" dxfId="484" priority="340">
      <formula>MID($B53,8,1)="0"</formula>
    </cfRule>
    <cfRule type="expression" dxfId="483" priority="341">
      <formula>$D53="Alterar"</formula>
    </cfRule>
    <cfRule type="expression" dxfId="482" priority="342">
      <formula>$D53="Excluir"</formula>
    </cfRule>
    <cfRule type="expression" dxfId="481" priority="343">
      <formula>$D53="Incluir"</formula>
    </cfRule>
  </conditionalFormatting>
  <conditionalFormatting sqref="B52:C52">
    <cfRule type="expression" dxfId="480" priority="326">
      <formula>MID($B52,2,7)="0000000"</formula>
    </cfRule>
    <cfRule type="expression" dxfId="479" priority="327">
      <formula>MID($B52,3,6)="000000"</formula>
    </cfRule>
    <cfRule type="expression" dxfId="478" priority="328">
      <formula>MID($B52,4,5)="00000"</formula>
    </cfRule>
    <cfRule type="expression" dxfId="477" priority="329">
      <formula>MID($B52,5,4)="0000"</formula>
    </cfRule>
    <cfRule type="expression" dxfId="476" priority="330">
      <formula>MID($B52,7,2)="00"</formula>
    </cfRule>
    <cfRule type="expression" dxfId="475" priority="331">
      <formula>MID($B52,8,1)="0"</formula>
    </cfRule>
    <cfRule type="expression" dxfId="474" priority="332">
      <formula>$D52="Alterar"</formula>
    </cfRule>
    <cfRule type="expression" dxfId="473" priority="333">
      <formula>$D52="Excluir"</formula>
    </cfRule>
    <cfRule type="expression" dxfId="472" priority="334">
      <formula>$D52="Incluir"</formula>
    </cfRule>
  </conditionalFormatting>
  <conditionalFormatting sqref="B54:C54">
    <cfRule type="expression" dxfId="471" priority="296">
      <formula>MID($B54,2,7)="0000000"</formula>
    </cfRule>
    <cfRule type="expression" dxfId="470" priority="297">
      <formula>MID($B54,3,6)="000000"</formula>
    </cfRule>
    <cfRule type="expression" dxfId="469" priority="298">
      <formula>MID($B54,4,5)="00000"</formula>
    </cfRule>
    <cfRule type="expression" dxfId="468" priority="299">
      <formula>MID($B54,5,4)="0000"</formula>
    </cfRule>
    <cfRule type="expression" dxfId="467" priority="300">
      <formula>MID($B54,7,2)="00"</formula>
    </cfRule>
    <cfRule type="expression" dxfId="466" priority="301">
      <formula>MID($B54,8,1)="0"</formula>
    </cfRule>
    <cfRule type="expression" dxfId="465" priority="302">
      <formula>$D54="Alterar"</formula>
    </cfRule>
    <cfRule type="expression" dxfId="464" priority="303">
      <formula>$D54="Excluir"</formula>
    </cfRule>
    <cfRule type="expression" dxfId="463" priority="304">
      <formula>$D54="Incluir"</formula>
    </cfRule>
  </conditionalFormatting>
  <conditionalFormatting sqref="B58:C58">
    <cfRule type="expression" dxfId="462" priority="287">
      <formula>MID($B58,2,7)="0000000"</formula>
    </cfRule>
    <cfRule type="expression" dxfId="461" priority="288">
      <formula>MID($B58,3,6)="000000"</formula>
    </cfRule>
    <cfRule type="expression" dxfId="460" priority="289">
      <formula>MID($B58,4,5)="00000"</formula>
    </cfRule>
    <cfRule type="expression" dxfId="459" priority="290">
      <formula>MID($B58,5,4)="0000"</formula>
    </cfRule>
    <cfRule type="expression" dxfId="458" priority="291">
      <formula>MID($B58,7,2)="00"</formula>
    </cfRule>
    <cfRule type="expression" dxfId="457" priority="292">
      <formula>MID($B58,8,1)="0"</formula>
    </cfRule>
    <cfRule type="expression" dxfId="456" priority="293">
      <formula>$D58="Alterar"</formula>
    </cfRule>
    <cfRule type="expression" dxfId="455" priority="294">
      <formula>$D58="Excluir"</formula>
    </cfRule>
    <cfRule type="expression" dxfId="454" priority="295">
      <formula>$D58="Incluir"</formula>
    </cfRule>
  </conditionalFormatting>
  <conditionalFormatting sqref="B62:C62">
    <cfRule type="expression" dxfId="453" priority="278">
      <formula>MID($B62,2,7)="0000000"</formula>
    </cfRule>
    <cfRule type="expression" dxfId="452" priority="279">
      <formula>MID($B62,3,6)="000000"</formula>
    </cfRule>
    <cfRule type="expression" dxfId="451" priority="280">
      <formula>MID($B62,4,5)="00000"</formula>
    </cfRule>
    <cfRule type="expression" dxfId="450" priority="281">
      <formula>MID($B62,5,4)="0000"</formula>
    </cfRule>
    <cfRule type="expression" dxfId="449" priority="282">
      <formula>MID($B62,7,2)="00"</formula>
    </cfRule>
    <cfRule type="expression" dxfId="448" priority="283">
      <formula>MID($B62,8,1)="0"</formula>
    </cfRule>
    <cfRule type="expression" dxfId="447" priority="284">
      <formula>$D62="Alterar"</formula>
    </cfRule>
    <cfRule type="expression" dxfId="446" priority="285">
      <formula>$D62="Excluir"</formula>
    </cfRule>
    <cfRule type="expression" dxfId="445" priority="286">
      <formula>$D62="Incluir"</formula>
    </cfRule>
  </conditionalFormatting>
  <conditionalFormatting sqref="B66:C66">
    <cfRule type="expression" dxfId="444" priority="269">
      <formula>MID($B66,2,7)="0000000"</formula>
    </cfRule>
    <cfRule type="expression" dxfId="443" priority="270">
      <formula>MID($B66,3,6)="000000"</formula>
    </cfRule>
    <cfRule type="expression" dxfId="442" priority="271">
      <formula>MID($B66,4,5)="00000"</formula>
    </cfRule>
    <cfRule type="expression" dxfId="441" priority="272">
      <formula>MID($B66,5,4)="0000"</formula>
    </cfRule>
    <cfRule type="expression" dxfId="440" priority="273">
      <formula>MID($B66,7,2)="00"</formula>
    </cfRule>
    <cfRule type="expression" dxfId="439" priority="274">
      <formula>MID($B66,8,1)="0"</formula>
    </cfRule>
    <cfRule type="expression" dxfId="438" priority="275">
      <formula>$D66="Alterar"</formula>
    </cfRule>
    <cfRule type="expression" dxfId="437" priority="276">
      <formula>$D66="Excluir"</formula>
    </cfRule>
    <cfRule type="expression" dxfId="436" priority="277">
      <formula>$D66="Incluir"</formula>
    </cfRule>
  </conditionalFormatting>
  <conditionalFormatting sqref="B55:C57">
    <cfRule type="expression" dxfId="435" priority="260">
      <formula>MID($B55,2,7)="0000000"</formula>
    </cfRule>
    <cfRule type="expression" dxfId="434" priority="261">
      <formula>MID($B55,3,6)="000000"</formula>
    </cfRule>
    <cfRule type="expression" dxfId="433" priority="262">
      <formula>MID($B55,4,5)="00000"</formula>
    </cfRule>
    <cfRule type="expression" dxfId="432" priority="263">
      <formula>MID($B55,5,4)="0000"</formula>
    </cfRule>
    <cfRule type="expression" dxfId="431" priority="264">
      <formula>MID($B55,7,2)="00"</formula>
    </cfRule>
    <cfRule type="expression" dxfId="430" priority="265">
      <formula>MID($B55,8,1)="0"</formula>
    </cfRule>
    <cfRule type="expression" dxfId="429" priority="266">
      <formula>$D55="Alterar"</formula>
    </cfRule>
    <cfRule type="expression" dxfId="428" priority="267">
      <formula>$D55="Excluir"</formula>
    </cfRule>
    <cfRule type="expression" dxfId="427" priority="268">
      <formula>$D55="Incluir"</formula>
    </cfRule>
  </conditionalFormatting>
  <conditionalFormatting sqref="B59:C61">
    <cfRule type="expression" dxfId="426" priority="251">
      <formula>MID($B59,2,7)="0000000"</formula>
    </cfRule>
    <cfRule type="expression" dxfId="425" priority="252">
      <formula>MID($B59,3,6)="000000"</formula>
    </cfRule>
    <cfRule type="expression" dxfId="424" priority="253">
      <formula>MID($B59,4,5)="00000"</formula>
    </cfRule>
    <cfRule type="expression" dxfId="423" priority="254">
      <formula>MID($B59,5,4)="0000"</formula>
    </cfRule>
    <cfRule type="expression" dxfId="422" priority="255">
      <formula>MID($B59,7,2)="00"</formula>
    </cfRule>
    <cfRule type="expression" dxfId="421" priority="256">
      <formula>MID($B59,8,1)="0"</formula>
    </cfRule>
    <cfRule type="expression" dxfId="420" priority="257">
      <formula>$D59="Alterar"</formula>
    </cfRule>
    <cfRule type="expression" dxfId="419" priority="258">
      <formula>$D59="Excluir"</formula>
    </cfRule>
    <cfRule type="expression" dxfId="418" priority="259">
      <formula>$D59="Incluir"</formula>
    </cfRule>
  </conditionalFormatting>
  <conditionalFormatting sqref="B63:C65">
    <cfRule type="expression" dxfId="417" priority="242">
      <formula>MID($B63,2,7)="0000000"</formula>
    </cfRule>
    <cfRule type="expression" dxfId="416" priority="243">
      <formula>MID($B63,3,6)="000000"</formula>
    </cfRule>
    <cfRule type="expression" dxfId="415" priority="244">
      <formula>MID($B63,4,5)="00000"</formula>
    </cfRule>
    <cfRule type="expression" dxfId="414" priority="245">
      <formula>MID($B63,5,4)="0000"</formula>
    </cfRule>
    <cfRule type="expression" dxfId="413" priority="246">
      <formula>MID($B63,7,2)="00"</formula>
    </cfRule>
    <cfRule type="expression" dxfId="412" priority="247">
      <formula>MID($B63,8,1)="0"</formula>
    </cfRule>
    <cfRule type="expression" dxfId="411" priority="248">
      <formula>$D63="Alterar"</formula>
    </cfRule>
    <cfRule type="expression" dxfId="410" priority="249">
      <formula>$D63="Excluir"</formula>
    </cfRule>
    <cfRule type="expression" dxfId="409" priority="250">
      <formula>$D63="Incluir"</formula>
    </cfRule>
  </conditionalFormatting>
  <conditionalFormatting sqref="B67:C68">
    <cfRule type="expression" dxfId="408" priority="233">
      <formula>MID($B67,2,7)="0000000"</formula>
    </cfRule>
    <cfRule type="expression" dxfId="407" priority="234">
      <formula>MID($B67,3,6)="000000"</formula>
    </cfRule>
    <cfRule type="expression" dxfId="406" priority="235">
      <formula>MID($B67,4,5)="00000"</formula>
    </cfRule>
    <cfRule type="expression" dxfId="405" priority="236">
      <formula>MID($B67,5,4)="0000"</formula>
    </cfRule>
    <cfRule type="expression" dxfId="404" priority="237">
      <formula>MID($B67,7,2)="00"</formula>
    </cfRule>
    <cfRule type="expression" dxfId="403" priority="238">
      <formula>MID($B67,8,1)="0"</formula>
    </cfRule>
    <cfRule type="expression" dxfId="402" priority="239">
      <formula>$D67="Alterar"</formula>
    </cfRule>
    <cfRule type="expression" dxfId="401" priority="240">
      <formula>$D67="Excluir"</formula>
    </cfRule>
    <cfRule type="expression" dxfId="400" priority="241">
      <formula>$D67="Incluir"</formula>
    </cfRule>
  </conditionalFormatting>
  <conditionalFormatting sqref="D69">
    <cfRule type="expression" dxfId="399" priority="188">
      <formula>MID($B69,2,7)="0000000"</formula>
    </cfRule>
    <cfRule type="expression" dxfId="398" priority="189">
      <formula>MID($B69,3,6)="000000"</formula>
    </cfRule>
    <cfRule type="expression" dxfId="397" priority="190">
      <formula>MID($B69,4,5)="00000"</formula>
    </cfRule>
    <cfRule type="expression" dxfId="396" priority="191">
      <formula>MID($B69,5,4)="0000"</formula>
    </cfRule>
    <cfRule type="expression" dxfId="395" priority="192">
      <formula>MID($B69,7,2)="00"</formula>
    </cfRule>
    <cfRule type="expression" dxfId="394" priority="193">
      <formula>MID($B69,8,1)="0"</formula>
    </cfRule>
    <cfRule type="expression" dxfId="393" priority="194">
      <formula>$D69="Alterar"</formula>
    </cfRule>
    <cfRule type="expression" dxfId="392" priority="195">
      <formula>$D69="Excluir"</formula>
    </cfRule>
    <cfRule type="expression" dxfId="391" priority="196">
      <formula>$D69="Incluir"</formula>
    </cfRule>
  </conditionalFormatting>
  <conditionalFormatting sqref="E69">
    <cfRule type="expression" dxfId="390" priority="179">
      <formula>MID($B69,2,7)="0000000"</formula>
    </cfRule>
    <cfRule type="expression" dxfId="389" priority="180">
      <formula>MID($B69,3,6)="000000"</formula>
    </cfRule>
    <cfRule type="expression" dxfId="388" priority="181">
      <formula>MID($B69,4,5)="00000"</formula>
    </cfRule>
    <cfRule type="expression" dxfId="387" priority="182">
      <formula>MID($B69,5,4)="0000"</formula>
    </cfRule>
    <cfRule type="expression" dxfId="386" priority="183">
      <formula>MID($B69,7,2)="00"</formula>
    </cfRule>
    <cfRule type="expression" dxfId="385" priority="184">
      <formula>MID($B69,8,1)="0"</formula>
    </cfRule>
    <cfRule type="expression" dxfId="384" priority="185">
      <formula>$D69="Alterar"</formula>
    </cfRule>
    <cfRule type="expression" dxfId="383" priority="186">
      <formula>$D69="Excluir"</formula>
    </cfRule>
    <cfRule type="expression" dxfId="382" priority="187">
      <formula>$D69="Incluir"</formula>
    </cfRule>
  </conditionalFormatting>
  <conditionalFormatting sqref="B69:C69">
    <cfRule type="expression" dxfId="381" priority="170">
      <formula>MID($B69,2,7)="0000000"</formula>
    </cfRule>
    <cfRule type="expression" dxfId="380" priority="171">
      <formula>MID($B69,3,6)="000000"</formula>
    </cfRule>
    <cfRule type="expression" dxfId="379" priority="172">
      <formula>MID($B69,4,5)="00000"</formula>
    </cfRule>
    <cfRule type="expression" dxfId="378" priority="173">
      <formula>MID($B69,5,4)="0000"</formula>
    </cfRule>
    <cfRule type="expression" dxfId="377" priority="174">
      <formula>MID($B69,7,2)="00"</formula>
    </cfRule>
    <cfRule type="expression" dxfId="376" priority="175">
      <formula>MID($B69,8,1)="0"</formula>
    </cfRule>
    <cfRule type="expression" dxfId="375" priority="176">
      <formula>$D69="Alterar"</formula>
    </cfRule>
    <cfRule type="expression" dxfId="374" priority="177">
      <formula>$D69="Excluir"</formula>
    </cfRule>
    <cfRule type="expression" dxfId="373" priority="178">
      <formula>$D69="Incluir"</formula>
    </cfRule>
  </conditionalFormatting>
  <conditionalFormatting sqref="B70:C70">
    <cfRule type="expression" dxfId="372" priority="143">
      <formula>MID($B70,2,7)="0000000"</formula>
    </cfRule>
    <cfRule type="expression" dxfId="371" priority="144">
      <formula>MID($B70,3,6)="000000"</formula>
    </cfRule>
    <cfRule type="expression" dxfId="370" priority="145">
      <formula>MID($B70,4,5)="00000"</formula>
    </cfRule>
    <cfRule type="expression" dxfId="369" priority="146">
      <formula>MID($B70,5,4)="0000"</formula>
    </cfRule>
    <cfRule type="expression" dxfId="368" priority="147">
      <formula>MID($B70,7,2)="00"</formula>
    </cfRule>
    <cfRule type="expression" dxfId="367" priority="148">
      <formula>MID($B70,8,1)="0"</formula>
    </cfRule>
    <cfRule type="expression" dxfId="366" priority="149">
      <formula>$D70="Alterar"</formula>
    </cfRule>
    <cfRule type="expression" dxfId="365" priority="150">
      <formula>$D70="Excluir"</formula>
    </cfRule>
    <cfRule type="expression" dxfId="364" priority="151">
      <formula>$D70="Incluir"</formula>
    </cfRule>
  </conditionalFormatting>
  <conditionalFormatting sqref="B71:C71">
    <cfRule type="expression" dxfId="363" priority="123">
      <formula>MID($B71,2,7)="0000000"</formula>
    </cfRule>
    <cfRule type="expression" dxfId="362" priority="124">
      <formula>MID($B71,3,6)="000000"</formula>
    </cfRule>
    <cfRule type="expression" dxfId="361" priority="125">
      <formula>MID($B71,4,5)="00000"</formula>
    </cfRule>
    <cfRule type="expression" dxfId="360" priority="126">
      <formula>MID($B71,5,4)="0000"</formula>
    </cfRule>
    <cfRule type="expression" dxfId="359" priority="127">
      <formula>MID($B71,7,2)="00"</formula>
    </cfRule>
    <cfRule type="expression" dxfId="358" priority="128">
      <formula>MID($B71,8,1)="0"</formula>
    </cfRule>
    <cfRule type="expression" dxfId="357" priority="129">
      <formula>$D71="Alterar"</formula>
    </cfRule>
    <cfRule type="expression" dxfId="356" priority="130">
      <formula>$D71="Excluir"</formula>
    </cfRule>
    <cfRule type="expression" dxfId="355" priority="131">
      <formula>$D71="Incluir"</formula>
    </cfRule>
  </conditionalFormatting>
  <conditionalFormatting sqref="C73">
    <cfRule type="expression" dxfId="354" priority="58">
      <formula>MID($B73,2,7)="0000000"</formula>
    </cfRule>
    <cfRule type="expression" dxfId="353" priority="59">
      <formula>MID($B73,3,6)="000000"</formula>
    </cfRule>
    <cfRule type="expression" dxfId="352" priority="60">
      <formula>MID($B73,4,5)="00000"</formula>
    </cfRule>
    <cfRule type="expression" dxfId="351" priority="61">
      <formula>MID($B73,5,4)="0000"</formula>
    </cfRule>
    <cfRule type="expression" dxfId="350" priority="62">
      <formula>MID($B73,7,2)="00"</formula>
    </cfRule>
    <cfRule type="expression" dxfId="349" priority="63">
      <formula>MID($B73,8,1)="0"</formula>
    </cfRule>
    <cfRule type="expression" dxfId="348" priority="64">
      <formula>$D73="Alterar"</formula>
    </cfRule>
    <cfRule type="expression" dxfId="347" priority="65">
      <formula>$D73="Excluir"</formula>
    </cfRule>
    <cfRule type="expression" dxfId="346" priority="66">
      <formula>$D73="Incluir"</formula>
    </cfRule>
  </conditionalFormatting>
  <conditionalFormatting sqref="C74">
    <cfRule type="expression" dxfId="345" priority="49">
      <formula>MID($B74,2,7)="0000000"</formula>
    </cfRule>
    <cfRule type="expression" dxfId="344" priority="50">
      <formula>MID($B74,3,6)="000000"</formula>
    </cfRule>
    <cfRule type="expression" dxfId="343" priority="51">
      <formula>MID($B74,4,5)="00000"</formula>
    </cfRule>
    <cfRule type="expression" dxfId="342" priority="52">
      <formula>MID($B74,5,4)="0000"</formula>
    </cfRule>
    <cfRule type="expression" dxfId="341" priority="53">
      <formula>MID($B74,7,2)="00"</formula>
    </cfRule>
    <cfRule type="expression" dxfId="340" priority="54">
      <formula>MID($B74,8,1)="0"</formula>
    </cfRule>
    <cfRule type="expression" dxfId="339" priority="55">
      <formula>$D74="Alterar"</formula>
    </cfRule>
    <cfRule type="expression" dxfId="338" priority="56">
      <formula>$D74="Excluir"</formula>
    </cfRule>
    <cfRule type="expression" dxfId="337" priority="57">
      <formula>$D74="Incluir"</formula>
    </cfRule>
  </conditionalFormatting>
  <conditionalFormatting sqref="B73">
    <cfRule type="expression" dxfId="336" priority="19">
      <formula>MID($B73,2,7)="0000000"</formula>
    </cfRule>
    <cfRule type="expression" dxfId="335" priority="20">
      <formula>MID($B73,3,6)="000000"</formula>
    </cfRule>
    <cfRule type="expression" dxfId="334" priority="21">
      <formula>MID($B73,4,5)="00000"</formula>
    </cfRule>
    <cfRule type="expression" dxfId="333" priority="22">
      <formula>MID($B73,5,4)="0000"</formula>
    </cfRule>
    <cfRule type="expression" dxfId="332" priority="23">
      <formula>MID($B73,7,2)="00"</formula>
    </cfRule>
    <cfRule type="expression" dxfId="331" priority="24">
      <formula>MID($B73,8,1)="0"</formula>
    </cfRule>
    <cfRule type="expression" dxfId="330" priority="25">
      <formula>$D73="Alterar"</formula>
    </cfRule>
    <cfRule type="expression" dxfId="329" priority="26">
      <formula>$D73="Excluir"</formula>
    </cfRule>
    <cfRule type="expression" dxfId="328" priority="27">
      <formula>$D73="Incluir"</formula>
    </cfRule>
  </conditionalFormatting>
  <conditionalFormatting sqref="B74">
    <cfRule type="expression" dxfId="327" priority="10">
      <formula>MID($B74,2,7)="0000000"</formula>
    </cfRule>
    <cfRule type="expression" dxfId="326" priority="11">
      <formula>MID($B74,3,6)="000000"</formula>
    </cfRule>
    <cfRule type="expression" dxfId="325" priority="12">
      <formula>MID($B74,4,5)="00000"</formula>
    </cfRule>
    <cfRule type="expression" dxfId="324" priority="13">
      <formula>MID($B74,5,4)="0000"</formula>
    </cfRule>
    <cfRule type="expression" dxfId="323" priority="14">
      <formula>MID($B74,7,2)="00"</formula>
    </cfRule>
    <cfRule type="expression" dxfId="322" priority="15">
      <formula>MID($B74,8,1)="0"</formula>
    </cfRule>
    <cfRule type="expression" dxfId="321" priority="16">
      <formula>$D74="Alterar"</formula>
    </cfRule>
    <cfRule type="expression" dxfId="320" priority="17">
      <formula>$D74="Excluir"</formula>
    </cfRule>
    <cfRule type="expression" dxfId="319" priority="18">
      <formula>$D74="Incluir"</formula>
    </cfRule>
  </conditionalFormatting>
  <conditionalFormatting sqref="B72:C72">
    <cfRule type="expression" dxfId="318" priority="1">
      <formula>MID($B72,2,7)="0000000"</formula>
    </cfRule>
    <cfRule type="expression" dxfId="317" priority="2">
      <formula>MID($B72,3,6)="000000"</formula>
    </cfRule>
    <cfRule type="expression" dxfId="316" priority="3">
      <formula>MID($B72,4,5)="00000"</formula>
    </cfRule>
    <cfRule type="expression" dxfId="315" priority="4">
      <formula>MID($B72,5,4)="0000"</formula>
    </cfRule>
    <cfRule type="expression" dxfId="314" priority="5">
      <formula>MID($B72,7,2)="00"</formula>
    </cfRule>
    <cfRule type="expression" dxfId="313" priority="6">
      <formula>MID($B72,8,1)="0"</formula>
    </cfRule>
    <cfRule type="expression" dxfId="312" priority="7">
      <formula>$D72="Alterar"</formula>
    </cfRule>
    <cfRule type="expression" dxfId="311" priority="8">
      <formula>$D72="Excluir"</formula>
    </cfRule>
    <cfRule type="expression" dxfId="310" priority="9">
      <formula>$D72="Incluir"</formula>
    </cfRule>
  </conditionalFormatting>
  <pageMargins left="0.511811024" right="0.511811024" top="0.78740157499999996" bottom="0.78740157499999996" header="0.31496062000000002" footer="0.31496062000000002"/>
  <pageSetup paperSize="9" scale="78" orientation="landscape"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Tabelas!$I$2:$I$4</xm:f>
          </x14:formula1>
          <xm:sqref>D8:D74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4"/>
  <sheetViews>
    <sheetView showGridLines="0" zoomScale="90" zoomScaleNormal="90" workbookViewId="0">
      <selection activeCell="F6" sqref="F6"/>
    </sheetView>
  </sheetViews>
  <sheetFormatPr defaultRowHeight="15"/>
  <cols>
    <col min="1" max="1" width="4.42578125" customWidth="1"/>
    <col min="2" max="2" width="14.28515625" customWidth="1"/>
    <col min="3" max="4" width="40.7109375" customWidth="1"/>
    <col min="5" max="5" width="14.42578125" customWidth="1"/>
    <col min="6" max="7" width="40.7109375" customWidth="1"/>
    <col min="8" max="8" width="44" bestFit="1" customWidth="1"/>
  </cols>
  <sheetData>
    <row r="1" spans="1:8" s="14" customFormat="1" ht="15.75" thickBot="1"/>
    <row r="2" spans="1:8" ht="15.75" thickBot="1">
      <c r="A2" s="13"/>
      <c r="B2" s="109" t="s">
        <v>1586</v>
      </c>
      <c r="C2" s="110"/>
      <c r="D2" s="96" t="s">
        <v>1587</v>
      </c>
      <c r="E2" s="110" t="s">
        <v>1588</v>
      </c>
      <c r="F2" s="110"/>
      <c r="G2" s="96" t="s">
        <v>1587</v>
      </c>
      <c r="H2" s="97" t="s">
        <v>1589</v>
      </c>
    </row>
    <row r="3" spans="1:8" s="46" customFormat="1" ht="60">
      <c r="B3" s="53">
        <v>23000800</v>
      </c>
      <c r="C3" s="54" t="s">
        <v>1405</v>
      </c>
      <c r="D3" s="55" t="s">
        <v>1410</v>
      </c>
      <c r="E3" s="77">
        <v>23000720</v>
      </c>
      <c r="F3" s="78" t="s">
        <v>1405</v>
      </c>
      <c r="G3" s="78" t="s">
        <v>1406</v>
      </c>
      <c r="H3" s="79" t="s">
        <v>1407</v>
      </c>
    </row>
    <row r="4" spans="1:8" ht="60">
      <c r="B4" s="56">
        <v>23000810</v>
      </c>
      <c r="C4" s="30" t="s">
        <v>1405</v>
      </c>
      <c r="D4" s="57" t="s">
        <v>1410</v>
      </c>
      <c r="E4" s="73">
        <v>23000730</v>
      </c>
      <c r="F4" s="74" t="s">
        <v>1408</v>
      </c>
      <c r="G4" s="74" t="s">
        <v>1409</v>
      </c>
      <c r="H4" s="75" t="s">
        <v>1407</v>
      </c>
    </row>
    <row r="5" spans="1:8" ht="60">
      <c r="B5" s="58" t="s">
        <v>1590</v>
      </c>
      <c r="C5" s="59" t="s">
        <v>1590</v>
      </c>
      <c r="D5" s="60" t="s">
        <v>1590</v>
      </c>
      <c r="E5" s="73">
        <v>13600120</v>
      </c>
      <c r="F5" s="74" t="s">
        <v>805</v>
      </c>
      <c r="G5" s="74" t="s">
        <v>806</v>
      </c>
      <c r="H5" s="75" t="s">
        <v>807</v>
      </c>
    </row>
    <row r="6" spans="1:8" ht="75">
      <c r="B6" s="66">
        <v>17181100</v>
      </c>
      <c r="C6" s="61" t="s">
        <v>1591</v>
      </c>
      <c r="D6" s="67" t="s">
        <v>1592</v>
      </c>
      <c r="E6" s="70">
        <v>17181100</v>
      </c>
      <c r="F6" s="71" t="s">
        <v>997</v>
      </c>
      <c r="G6" s="71" t="s">
        <v>998</v>
      </c>
      <c r="H6" s="72" t="s">
        <v>1593</v>
      </c>
    </row>
    <row r="7" spans="1:8" ht="180">
      <c r="B7" s="58" t="s">
        <v>1590</v>
      </c>
      <c r="C7" s="59" t="s">
        <v>1590</v>
      </c>
      <c r="D7" s="60" t="s">
        <v>1590</v>
      </c>
      <c r="E7" s="73">
        <v>17181120</v>
      </c>
      <c r="F7" s="74" t="s">
        <v>1001</v>
      </c>
      <c r="G7" s="74" t="s">
        <v>1002</v>
      </c>
      <c r="H7" s="75" t="s">
        <v>1003</v>
      </c>
    </row>
    <row r="8" spans="1:8" ht="180">
      <c r="B8" s="58" t="s">
        <v>1590</v>
      </c>
      <c r="C8" s="59" t="s">
        <v>1590</v>
      </c>
      <c r="D8" s="60" t="s">
        <v>1590</v>
      </c>
      <c r="E8" s="73">
        <v>17181130</v>
      </c>
      <c r="F8" s="74" t="s">
        <v>1004</v>
      </c>
      <c r="G8" s="74" t="s">
        <v>1005</v>
      </c>
      <c r="H8" s="75" t="s">
        <v>1003</v>
      </c>
    </row>
    <row r="9" spans="1:8" ht="45">
      <c r="B9" s="58" t="s">
        <v>1590</v>
      </c>
      <c r="C9" s="59" t="s">
        <v>1590</v>
      </c>
      <c r="D9" s="60" t="s">
        <v>1590</v>
      </c>
      <c r="E9" s="73">
        <v>17181190</v>
      </c>
      <c r="F9" s="74" t="s">
        <v>1006</v>
      </c>
      <c r="G9" s="74" t="s">
        <v>1007</v>
      </c>
      <c r="H9" s="76" t="s">
        <v>1594</v>
      </c>
    </row>
    <row r="10" spans="1:8" ht="60">
      <c r="B10" s="66">
        <v>12160000</v>
      </c>
      <c r="C10" s="61" t="s">
        <v>314</v>
      </c>
      <c r="D10" s="67" t="s">
        <v>1595</v>
      </c>
      <c r="E10" s="70">
        <v>12160000</v>
      </c>
      <c r="F10" s="71" t="s">
        <v>314</v>
      </c>
      <c r="G10" s="71" t="s">
        <v>1596</v>
      </c>
      <c r="H10" s="72" t="s">
        <v>1597</v>
      </c>
    </row>
    <row r="11" spans="1:8" ht="105">
      <c r="B11" s="66">
        <v>12160100</v>
      </c>
      <c r="C11" s="61" t="s">
        <v>316</v>
      </c>
      <c r="D11" s="67" t="s">
        <v>1598</v>
      </c>
      <c r="E11" s="70">
        <v>12160100</v>
      </c>
      <c r="F11" s="71" t="s">
        <v>316</v>
      </c>
      <c r="G11" s="71" t="s">
        <v>1599</v>
      </c>
      <c r="H11" s="72" t="s">
        <v>1597</v>
      </c>
    </row>
    <row r="12" spans="1:8" ht="105">
      <c r="B12" s="66">
        <v>12160110</v>
      </c>
      <c r="C12" s="61" t="s">
        <v>316</v>
      </c>
      <c r="D12" s="67" t="s">
        <v>1598</v>
      </c>
      <c r="E12" s="70">
        <v>12160110</v>
      </c>
      <c r="F12" s="71" t="s">
        <v>316</v>
      </c>
      <c r="G12" s="71" t="s">
        <v>1599</v>
      </c>
      <c r="H12" s="72" t="s">
        <v>1597</v>
      </c>
    </row>
    <row r="13" spans="1:8" ht="120">
      <c r="B13" s="66">
        <v>12160120</v>
      </c>
      <c r="C13" s="61" t="s">
        <v>318</v>
      </c>
      <c r="D13" s="67" t="s">
        <v>1600</v>
      </c>
      <c r="E13" s="70">
        <v>12160120</v>
      </c>
      <c r="F13" s="71" t="s">
        <v>318</v>
      </c>
      <c r="G13" s="71" t="s">
        <v>1601</v>
      </c>
      <c r="H13" s="72" t="s">
        <v>1597</v>
      </c>
    </row>
    <row r="14" spans="1:8" ht="45">
      <c r="B14" s="66">
        <v>12160200</v>
      </c>
      <c r="C14" s="61" t="s">
        <v>320</v>
      </c>
      <c r="D14" s="67" t="s">
        <v>1602</v>
      </c>
      <c r="E14" s="70">
        <v>12160200</v>
      </c>
      <c r="F14" s="71" t="s">
        <v>320</v>
      </c>
      <c r="G14" s="71" t="s">
        <v>1603</v>
      </c>
      <c r="H14" s="72" t="s">
        <v>1597</v>
      </c>
    </row>
    <row r="15" spans="1:8" ht="45">
      <c r="B15" s="66">
        <v>12160210</v>
      </c>
      <c r="C15" s="61" t="s">
        <v>320</v>
      </c>
      <c r="D15" s="67" t="s">
        <v>1602</v>
      </c>
      <c r="E15" s="70">
        <v>12160210</v>
      </c>
      <c r="F15" s="71" t="s">
        <v>320</v>
      </c>
      <c r="G15" s="71" t="s">
        <v>1603</v>
      </c>
      <c r="H15" s="72" t="s">
        <v>1597</v>
      </c>
    </row>
    <row r="16" spans="1:8" ht="60">
      <c r="B16" s="66">
        <v>12160220</v>
      </c>
      <c r="C16" s="61" t="s">
        <v>322</v>
      </c>
      <c r="D16" s="67" t="s">
        <v>1604</v>
      </c>
      <c r="E16" s="70">
        <v>12160220</v>
      </c>
      <c r="F16" s="71" t="s">
        <v>322</v>
      </c>
      <c r="G16" s="71" t="s">
        <v>1605</v>
      </c>
      <c r="H16" s="72" t="s">
        <v>1597</v>
      </c>
    </row>
    <row r="17" spans="2:8" ht="105">
      <c r="B17" s="66">
        <v>17180300</v>
      </c>
      <c r="C17" s="61" t="s">
        <v>1606</v>
      </c>
      <c r="D17" s="67" t="s">
        <v>1607</v>
      </c>
      <c r="E17" s="70">
        <v>17180300</v>
      </c>
      <c r="F17" s="71" t="s">
        <v>924</v>
      </c>
      <c r="G17" s="71" t="s">
        <v>925</v>
      </c>
      <c r="H17" s="72" t="s">
        <v>1608</v>
      </c>
    </row>
    <row r="18" spans="2:8" ht="120">
      <c r="B18" s="66">
        <v>17180310</v>
      </c>
      <c r="C18" s="61" t="s">
        <v>1609</v>
      </c>
      <c r="D18" s="67" t="s">
        <v>1610</v>
      </c>
      <c r="E18" s="70">
        <v>17180310</v>
      </c>
      <c r="F18" s="71" t="s">
        <v>926</v>
      </c>
      <c r="G18" s="71" t="s">
        <v>927</v>
      </c>
      <c r="H18" s="72" t="s">
        <v>1608</v>
      </c>
    </row>
    <row r="19" spans="2:8" ht="120">
      <c r="B19" s="66">
        <v>17180320</v>
      </c>
      <c r="C19" s="61" t="s">
        <v>1611</v>
      </c>
      <c r="D19" s="67" t="s">
        <v>1612</v>
      </c>
      <c r="E19" s="70">
        <v>17180320</v>
      </c>
      <c r="F19" s="71" t="s">
        <v>928</v>
      </c>
      <c r="G19" s="71" t="s">
        <v>929</v>
      </c>
      <c r="H19" s="72" t="s">
        <v>1608</v>
      </c>
    </row>
    <row r="20" spans="2:8" ht="120">
      <c r="B20" s="66">
        <v>17180330</v>
      </c>
      <c r="C20" s="61" t="s">
        <v>930</v>
      </c>
      <c r="D20" s="67" t="s">
        <v>1613</v>
      </c>
      <c r="E20" s="70">
        <v>17180330</v>
      </c>
      <c r="F20" s="71" t="s">
        <v>930</v>
      </c>
      <c r="G20" s="71" t="s">
        <v>931</v>
      </c>
      <c r="H20" s="72" t="s">
        <v>1608</v>
      </c>
    </row>
    <row r="21" spans="2:8" ht="120">
      <c r="B21" s="66">
        <v>17180340</v>
      </c>
      <c r="C21" s="61" t="s">
        <v>932</v>
      </c>
      <c r="D21" s="67" t="s">
        <v>1614</v>
      </c>
      <c r="E21" s="70">
        <v>17180340</v>
      </c>
      <c r="F21" s="71" t="s">
        <v>932</v>
      </c>
      <c r="G21" s="71" t="s">
        <v>933</v>
      </c>
      <c r="H21" s="72" t="s">
        <v>1608</v>
      </c>
    </row>
    <row r="22" spans="2:8" ht="105">
      <c r="B22" s="66">
        <v>17180350</v>
      </c>
      <c r="C22" s="61" t="s">
        <v>934</v>
      </c>
      <c r="D22" s="67" t="s">
        <v>1615</v>
      </c>
      <c r="E22" s="70">
        <v>17180350</v>
      </c>
      <c r="F22" s="71" t="s">
        <v>934</v>
      </c>
      <c r="G22" s="71" t="s">
        <v>935</v>
      </c>
      <c r="H22" s="72" t="s">
        <v>1608</v>
      </c>
    </row>
    <row r="23" spans="2:8" ht="105">
      <c r="B23" s="66">
        <v>17180390</v>
      </c>
      <c r="C23" s="61" t="s">
        <v>936</v>
      </c>
      <c r="D23" s="67" t="s">
        <v>1616</v>
      </c>
      <c r="E23" s="70">
        <v>17180390</v>
      </c>
      <c r="F23" s="71" t="s">
        <v>936</v>
      </c>
      <c r="G23" s="71" t="s">
        <v>937</v>
      </c>
      <c r="H23" s="72" t="s">
        <v>1608</v>
      </c>
    </row>
    <row r="24" spans="2:8" ht="105">
      <c r="B24" s="66">
        <v>17180400</v>
      </c>
      <c r="C24" s="61" t="s">
        <v>1617</v>
      </c>
      <c r="D24" s="67" t="s">
        <v>1618</v>
      </c>
      <c r="E24" s="70">
        <v>17180400</v>
      </c>
      <c r="F24" s="71" t="s">
        <v>938</v>
      </c>
      <c r="G24" s="71" t="s">
        <v>939</v>
      </c>
      <c r="H24" s="72" t="s">
        <v>1608</v>
      </c>
    </row>
    <row r="25" spans="2:8" ht="90">
      <c r="B25" s="66">
        <v>17180410</v>
      </c>
      <c r="C25" s="61" t="s">
        <v>1619</v>
      </c>
      <c r="D25" s="67" t="s">
        <v>1620</v>
      </c>
      <c r="E25" s="70">
        <v>17180410</v>
      </c>
      <c r="F25" s="71" t="s">
        <v>940</v>
      </c>
      <c r="G25" s="71" t="s">
        <v>941</v>
      </c>
      <c r="H25" s="72" t="s">
        <v>1608</v>
      </c>
    </row>
    <row r="26" spans="2:8" ht="90">
      <c r="B26" s="66">
        <v>17180420</v>
      </c>
      <c r="C26" s="61" t="s">
        <v>942</v>
      </c>
      <c r="D26" s="67" t="s">
        <v>1621</v>
      </c>
      <c r="E26" s="70">
        <v>17180420</v>
      </c>
      <c r="F26" s="71" t="s">
        <v>942</v>
      </c>
      <c r="G26" s="71" t="s">
        <v>943</v>
      </c>
      <c r="H26" s="72" t="s">
        <v>1608</v>
      </c>
    </row>
    <row r="27" spans="2:8" ht="90">
      <c r="B27" s="66">
        <v>17180430</v>
      </c>
      <c r="C27" s="61" t="s">
        <v>944</v>
      </c>
      <c r="D27" s="67" t="s">
        <v>1622</v>
      </c>
      <c r="E27" s="70">
        <v>17180430</v>
      </c>
      <c r="F27" s="71" t="s">
        <v>944</v>
      </c>
      <c r="G27" s="71" t="s">
        <v>945</v>
      </c>
      <c r="H27" s="72" t="s">
        <v>1608</v>
      </c>
    </row>
    <row r="28" spans="2:8" ht="105">
      <c r="B28" s="66">
        <v>17180440</v>
      </c>
      <c r="C28" s="61" t="s">
        <v>946</v>
      </c>
      <c r="D28" s="67" t="s">
        <v>1623</v>
      </c>
      <c r="E28" s="70">
        <v>17180440</v>
      </c>
      <c r="F28" s="71" t="s">
        <v>946</v>
      </c>
      <c r="G28" s="71" t="s">
        <v>947</v>
      </c>
      <c r="H28" s="72" t="s">
        <v>1608</v>
      </c>
    </row>
    <row r="29" spans="2:8" ht="90">
      <c r="B29" s="66">
        <v>17180450</v>
      </c>
      <c r="C29" s="61" t="s">
        <v>948</v>
      </c>
      <c r="D29" s="67" t="s">
        <v>1624</v>
      </c>
      <c r="E29" s="70">
        <v>17180450</v>
      </c>
      <c r="F29" s="71" t="s">
        <v>948</v>
      </c>
      <c r="G29" s="71" t="s">
        <v>949</v>
      </c>
      <c r="H29" s="72" t="s">
        <v>1608</v>
      </c>
    </row>
    <row r="30" spans="2:8" ht="90">
      <c r="B30" s="56">
        <v>17180460</v>
      </c>
      <c r="C30" s="30" t="s">
        <v>950</v>
      </c>
      <c r="D30" s="57" t="s">
        <v>951</v>
      </c>
      <c r="E30" s="73">
        <v>17180490</v>
      </c>
      <c r="F30" s="74" t="s">
        <v>950</v>
      </c>
      <c r="G30" s="74" t="s">
        <v>952</v>
      </c>
      <c r="H30" s="76" t="s">
        <v>1625</v>
      </c>
    </row>
    <row r="31" spans="2:8" ht="105">
      <c r="B31" s="66">
        <v>24180300</v>
      </c>
      <c r="C31" s="61" t="s">
        <v>1626</v>
      </c>
      <c r="D31" s="67" t="s">
        <v>1627</v>
      </c>
      <c r="E31" s="70">
        <v>24180300</v>
      </c>
      <c r="F31" s="71" t="s">
        <v>1416</v>
      </c>
      <c r="G31" s="71" t="s">
        <v>1417</v>
      </c>
      <c r="H31" s="72" t="s">
        <v>1608</v>
      </c>
    </row>
    <row r="32" spans="2:8" ht="105">
      <c r="B32" s="66">
        <v>24180310</v>
      </c>
      <c r="C32" s="61" t="s">
        <v>1609</v>
      </c>
      <c r="D32" s="67" t="s">
        <v>1628</v>
      </c>
      <c r="E32" s="70">
        <v>24180310</v>
      </c>
      <c r="F32" s="71" t="s">
        <v>926</v>
      </c>
      <c r="G32" s="71" t="s">
        <v>1418</v>
      </c>
      <c r="H32" s="72" t="s">
        <v>1608</v>
      </c>
    </row>
    <row r="33" spans="2:8" ht="120">
      <c r="B33" s="66">
        <v>24180320</v>
      </c>
      <c r="C33" s="61" t="s">
        <v>1611</v>
      </c>
      <c r="D33" s="67" t="s">
        <v>1629</v>
      </c>
      <c r="E33" s="70">
        <v>24180320</v>
      </c>
      <c r="F33" s="71" t="s">
        <v>928</v>
      </c>
      <c r="G33" s="71" t="s">
        <v>1419</v>
      </c>
      <c r="H33" s="72" t="s">
        <v>1608</v>
      </c>
    </row>
    <row r="34" spans="2:8" ht="105">
      <c r="B34" s="66">
        <v>24180330</v>
      </c>
      <c r="C34" s="61" t="s">
        <v>930</v>
      </c>
      <c r="D34" s="67" t="s">
        <v>1630</v>
      </c>
      <c r="E34" s="70">
        <v>24180330</v>
      </c>
      <c r="F34" s="71" t="s">
        <v>930</v>
      </c>
      <c r="G34" s="71" t="s">
        <v>1420</v>
      </c>
      <c r="H34" s="72" t="s">
        <v>1608</v>
      </c>
    </row>
    <row r="35" spans="2:8" ht="105">
      <c r="B35" s="66">
        <v>24180340</v>
      </c>
      <c r="C35" s="61" t="s">
        <v>932</v>
      </c>
      <c r="D35" s="67" t="s">
        <v>1631</v>
      </c>
      <c r="E35" s="70">
        <v>24180340</v>
      </c>
      <c r="F35" s="71" t="s">
        <v>932</v>
      </c>
      <c r="G35" s="71" t="s">
        <v>1421</v>
      </c>
      <c r="H35" s="72" t="s">
        <v>1608</v>
      </c>
    </row>
    <row r="36" spans="2:8" ht="105">
      <c r="B36" s="66">
        <v>24180350</v>
      </c>
      <c r="C36" s="61" t="s">
        <v>934</v>
      </c>
      <c r="D36" s="67" t="s">
        <v>1632</v>
      </c>
      <c r="E36" s="70">
        <v>24180350</v>
      </c>
      <c r="F36" s="71" t="s">
        <v>934</v>
      </c>
      <c r="G36" s="71" t="s">
        <v>1422</v>
      </c>
      <c r="H36" s="72" t="s">
        <v>1608</v>
      </c>
    </row>
    <row r="37" spans="2:8" ht="105">
      <c r="B37" s="66">
        <v>24180390</v>
      </c>
      <c r="C37" s="61" t="s">
        <v>936</v>
      </c>
      <c r="D37" s="67" t="s">
        <v>1633</v>
      </c>
      <c r="E37" s="70">
        <v>24180390</v>
      </c>
      <c r="F37" s="71" t="s">
        <v>936</v>
      </c>
      <c r="G37" s="71" t="s">
        <v>1423</v>
      </c>
      <c r="H37" s="72" t="s">
        <v>1608</v>
      </c>
    </row>
    <row r="38" spans="2:8" ht="105">
      <c r="B38" s="66">
        <v>24180400</v>
      </c>
      <c r="C38" s="61" t="s">
        <v>1617</v>
      </c>
      <c r="D38" s="67" t="s">
        <v>1634</v>
      </c>
      <c r="E38" s="70">
        <v>24180400</v>
      </c>
      <c r="F38" s="71" t="s">
        <v>1424</v>
      </c>
      <c r="G38" s="71" t="s">
        <v>1425</v>
      </c>
      <c r="H38" s="72" t="s">
        <v>1608</v>
      </c>
    </row>
    <row r="39" spans="2:8" ht="90">
      <c r="B39" s="66">
        <v>24180410</v>
      </c>
      <c r="C39" s="61" t="s">
        <v>1619</v>
      </c>
      <c r="D39" s="67" t="s">
        <v>1635</v>
      </c>
      <c r="E39" s="70">
        <v>24180410</v>
      </c>
      <c r="F39" s="71" t="s">
        <v>940</v>
      </c>
      <c r="G39" s="71" t="s">
        <v>1426</v>
      </c>
      <c r="H39" s="72" t="s">
        <v>1608</v>
      </c>
    </row>
    <row r="40" spans="2:8" ht="90">
      <c r="B40" s="66">
        <v>24180420</v>
      </c>
      <c r="C40" s="61" t="s">
        <v>942</v>
      </c>
      <c r="D40" s="67" t="s">
        <v>1636</v>
      </c>
      <c r="E40" s="70">
        <v>24180420</v>
      </c>
      <c r="F40" s="71" t="s">
        <v>942</v>
      </c>
      <c r="G40" s="71" t="s">
        <v>1427</v>
      </c>
      <c r="H40" s="72" t="s">
        <v>1608</v>
      </c>
    </row>
    <row r="41" spans="2:8" ht="90">
      <c r="B41" s="66">
        <v>24180430</v>
      </c>
      <c r="C41" s="61" t="s">
        <v>944</v>
      </c>
      <c r="D41" s="67" t="s">
        <v>1637</v>
      </c>
      <c r="E41" s="70">
        <v>24180430</v>
      </c>
      <c r="F41" s="71" t="s">
        <v>944</v>
      </c>
      <c r="G41" s="71" t="s">
        <v>1428</v>
      </c>
      <c r="H41" s="72" t="s">
        <v>1608</v>
      </c>
    </row>
    <row r="42" spans="2:8" ht="105">
      <c r="B42" s="66">
        <v>24180440</v>
      </c>
      <c r="C42" s="61" t="s">
        <v>946</v>
      </c>
      <c r="D42" s="67" t="s">
        <v>1638</v>
      </c>
      <c r="E42" s="70">
        <v>24180440</v>
      </c>
      <c r="F42" s="71" t="s">
        <v>946</v>
      </c>
      <c r="G42" s="71" t="s">
        <v>1429</v>
      </c>
      <c r="H42" s="72" t="s">
        <v>1608</v>
      </c>
    </row>
    <row r="43" spans="2:8" ht="90">
      <c r="B43" s="66">
        <v>24180450</v>
      </c>
      <c r="C43" s="61" t="s">
        <v>948</v>
      </c>
      <c r="D43" s="67" t="s">
        <v>1639</v>
      </c>
      <c r="E43" s="70">
        <v>24180450</v>
      </c>
      <c r="F43" s="71" t="s">
        <v>948</v>
      </c>
      <c r="G43" s="71" t="s">
        <v>1430</v>
      </c>
      <c r="H43" s="72" t="s">
        <v>1608</v>
      </c>
    </row>
    <row r="44" spans="2:8" ht="90">
      <c r="B44" s="56">
        <v>24180460</v>
      </c>
      <c r="C44" s="30" t="s">
        <v>950</v>
      </c>
      <c r="D44" s="57" t="s">
        <v>1431</v>
      </c>
      <c r="E44" s="73">
        <v>24180490</v>
      </c>
      <c r="F44" s="74" t="s">
        <v>950</v>
      </c>
      <c r="G44" s="74" t="s">
        <v>1432</v>
      </c>
      <c r="H44" s="76" t="s">
        <v>1625</v>
      </c>
    </row>
    <row r="45" spans="2:8" ht="60">
      <c r="B45" s="68">
        <v>12180500</v>
      </c>
      <c r="C45" s="29" t="s">
        <v>1640</v>
      </c>
      <c r="D45" s="69" t="s">
        <v>1641</v>
      </c>
      <c r="E45" s="70">
        <v>12180500</v>
      </c>
      <c r="F45" s="71" t="s">
        <v>413</v>
      </c>
      <c r="G45" s="71" t="s">
        <v>414</v>
      </c>
      <c r="H45" s="72" t="s">
        <v>1642</v>
      </c>
    </row>
    <row r="46" spans="2:8" ht="60">
      <c r="B46" s="68">
        <v>12180510</v>
      </c>
      <c r="C46" s="29" t="s">
        <v>1643</v>
      </c>
      <c r="D46" s="69" t="s">
        <v>1644</v>
      </c>
      <c r="E46" s="70">
        <v>12180510</v>
      </c>
      <c r="F46" s="71" t="s">
        <v>416</v>
      </c>
      <c r="G46" s="71" t="s">
        <v>417</v>
      </c>
      <c r="H46" s="72" t="s">
        <v>1642</v>
      </c>
    </row>
    <row r="47" spans="2:8" ht="60">
      <c r="B47" s="68">
        <v>12180520</v>
      </c>
      <c r="C47" s="29" t="s">
        <v>1645</v>
      </c>
      <c r="D47" s="69" t="s">
        <v>1646</v>
      </c>
      <c r="E47" s="70">
        <v>12180520</v>
      </c>
      <c r="F47" s="71" t="s">
        <v>418</v>
      </c>
      <c r="G47" s="71" t="s">
        <v>419</v>
      </c>
      <c r="H47" s="72" t="s">
        <v>1642</v>
      </c>
    </row>
    <row r="48" spans="2:8" ht="60">
      <c r="B48" s="68">
        <v>12180530</v>
      </c>
      <c r="C48" s="29" t="s">
        <v>1647</v>
      </c>
      <c r="D48" s="69" t="s">
        <v>1648</v>
      </c>
      <c r="E48" s="70">
        <v>12180530</v>
      </c>
      <c r="F48" s="71" t="s">
        <v>420</v>
      </c>
      <c r="G48" s="71" t="s">
        <v>421</v>
      </c>
      <c r="H48" s="72" t="s">
        <v>1642</v>
      </c>
    </row>
    <row r="49" spans="2:8" ht="60">
      <c r="B49" s="68">
        <v>12180600</v>
      </c>
      <c r="C49" s="29" t="s">
        <v>1649</v>
      </c>
      <c r="D49" s="69" t="s">
        <v>1650</v>
      </c>
      <c r="E49" s="70">
        <v>12180600</v>
      </c>
      <c r="F49" s="71" t="s">
        <v>422</v>
      </c>
      <c r="G49" s="71" t="s">
        <v>423</v>
      </c>
      <c r="H49" s="72" t="s">
        <v>1642</v>
      </c>
    </row>
    <row r="50" spans="2:8" ht="60">
      <c r="B50" s="68">
        <v>12180610</v>
      </c>
      <c r="C50" s="29" t="s">
        <v>1651</v>
      </c>
      <c r="D50" s="69" t="s">
        <v>1652</v>
      </c>
      <c r="E50" s="70">
        <v>12180610</v>
      </c>
      <c r="F50" s="71" t="s">
        <v>424</v>
      </c>
      <c r="G50" s="71" t="s">
        <v>425</v>
      </c>
      <c r="H50" s="72" t="s">
        <v>1642</v>
      </c>
    </row>
    <row r="51" spans="2:8" ht="60">
      <c r="B51" s="68">
        <v>12180620</v>
      </c>
      <c r="C51" s="29" t="s">
        <v>1653</v>
      </c>
      <c r="D51" s="69" t="s">
        <v>1654</v>
      </c>
      <c r="E51" s="70">
        <v>12180620</v>
      </c>
      <c r="F51" s="71" t="s">
        <v>426</v>
      </c>
      <c r="G51" s="71" t="s">
        <v>427</v>
      </c>
      <c r="H51" s="72" t="s">
        <v>1642</v>
      </c>
    </row>
    <row r="52" spans="2:8" ht="60">
      <c r="B52" s="68">
        <v>12180630</v>
      </c>
      <c r="C52" s="29" t="s">
        <v>1655</v>
      </c>
      <c r="D52" s="69" t="s">
        <v>1656</v>
      </c>
      <c r="E52" s="70">
        <v>12180630</v>
      </c>
      <c r="F52" s="71" t="s">
        <v>428</v>
      </c>
      <c r="G52" s="71" t="s">
        <v>429</v>
      </c>
      <c r="H52" s="72" t="s">
        <v>1642</v>
      </c>
    </row>
    <row r="53" spans="2:8" ht="45">
      <c r="B53" s="68">
        <v>12180700</v>
      </c>
      <c r="C53" s="29" t="s">
        <v>1657</v>
      </c>
      <c r="D53" s="69" t="s">
        <v>1658</v>
      </c>
      <c r="E53" s="70">
        <v>12180700</v>
      </c>
      <c r="F53" s="71" t="s">
        <v>430</v>
      </c>
      <c r="G53" s="71" t="s">
        <v>431</v>
      </c>
      <c r="H53" s="72" t="s">
        <v>1642</v>
      </c>
    </row>
    <row r="54" spans="2:8" ht="60">
      <c r="B54" s="68">
        <v>12180710</v>
      </c>
      <c r="C54" s="29" t="s">
        <v>1659</v>
      </c>
      <c r="D54" s="69" t="s">
        <v>1660</v>
      </c>
      <c r="E54" s="70">
        <v>12180710</v>
      </c>
      <c r="F54" s="71" t="s">
        <v>432</v>
      </c>
      <c r="G54" s="71" t="s">
        <v>433</v>
      </c>
      <c r="H54" s="72" t="s">
        <v>1642</v>
      </c>
    </row>
    <row r="55" spans="2:8" ht="60">
      <c r="B55" s="68">
        <v>12180720</v>
      </c>
      <c r="C55" s="29" t="s">
        <v>1661</v>
      </c>
      <c r="D55" s="69" t="s">
        <v>1662</v>
      </c>
      <c r="E55" s="70">
        <v>12180720</v>
      </c>
      <c r="F55" s="71" t="s">
        <v>434</v>
      </c>
      <c r="G55" s="71" t="s">
        <v>435</v>
      </c>
      <c r="H55" s="72" t="s">
        <v>1642</v>
      </c>
    </row>
    <row r="56" spans="2:8" ht="60">
      <c r="B56" s="68">
        <v>12180730</v>
      </c>
      <c r="C56" s="29" t="s">
        <v>1663</v>
      </c>
      <c r="D56" s="69" t="s">
        <v>1664</v>
      </c>
      <c r="E56" s="70">
        <v>12180730</v>
      </c>
      <c r="F56" s="71" t="s">
        <v>436</v>
      </c>
      <c r="G56" s="71" t="s">
        <v>437</v>
      </c>
      <c r="H56" s="72" t="s">
        <v>1642</v>
      </c>
    </row>
    <row r="57" spans="2:8" ht="60">
      <c r="B57" s="68">
        <v>12180800</v>
      </c>
      <c r="C57" s="29" t="s">
        <v>1665</v>
      </c>
      <c r="D57" s="69" t="s">
        <v>1666</v>
      </c>
      <c r="E57" s="70">
        <v>12180800</v>
      </c>
      <c r="F57" s="71" t="s">
        <v>438</v>
      </c>
      <c r="G57" s="71" t="s">
        <v>439</v>
      </c>
      <c r="H57" s="72" t="s">
        <v>1642</v>
      </c>
    </row>
    <row r="58" spans="2:8" ht="75">
      <c r="B58" s="68">
        <v>12180810</v>
      </c>
      <c r="C58" s="29" t="s">
        <v>1667</v>
      </c>
      <c r="D58" s="69" t="s">
        <v>1668</v>
      </c>
      <c r="E58" s="70">
        <v>12180810</v>
      </c>
      <c r="F58" s="71" t="s">
        <v>440</v>
      </c>
      <c r="G58" s="71" t="s">
        <v>441</v>
      </c>
      <c r="H58" s="72" t="s">
        <v>1642</v>
      </c>
    </row>
    <row r="59" spans="2:8" ht="75">
      <c r="B59" s="68">
        <v>12180820</v>
      </c>
      <c r="C59" s="29" t="s">
        <v>1669</v>
      </c>
      <c r="D59" s="69" t="s">
        <v>1670</v>
      </c>
      <c r="E59" s="70">
        <v>12180820</v>
      </c>
      <c r="F59" s="71" t="s">
        <v>442</v>
      </c>
      <c r="G59" s="71" t="s">
        <v>443</v>
      </c>
      <c r="H59" s="72" t="s">
        <v>1642</v>
      </c>
    </row>
    <row r="60" spans="2:8" ht="75">
      <c r="B60" s="68">
        <v>12180830</v>
      </c>
      <c r="C60" s="29" t="s">
        <v>1671</v>
      </c>
      <c r="D60" s="69" t="s">
        <v>1672</v>
      </c>
      <c r="E60" s="70">
        <v>12180830</v>
      </c>
      <c r="F60" s="71" t="s">
        <v>444</v>
      </c>
      <c r="G60" s="71" t="s">
        <v>445</v>
      </c>
      <c r="H60" s="72" t="s">
        <v>1642</v>
      </c>
    </row>
    <row r="61" spans="2:8" ht="135">
      <c r="B61" s="68">
        <v>13210060</v>
      </c>
      <c r="C61" s="29" t="s">
        <v>580</v>
      </c>
      <c r="D61" s="69" t="s">
        <v>1673</v>
      </c>
      <c r="E61" s="70">
        <v>13210060</v>
      </c>
      <c r="F61" s="71" t="s">
        <v>580</v>
      </c>
      <c r="G61" s="71" t="s">
        <v>581</v>
      </c>
      <c r="H61" s="72" t="s">
        <v>1674</v>
      </c>
    </row>
    <row r="62" spans="2:8" ht="45">
      <c r="B62" s="58" t="s">
        <v>1590</v>
      </c>
      <c r="C62" s="59" t="s">
        <v>1590</v>
      </c>
      <c r="D62" s="60" t="s">
        <v>1590</v>
      </c>
      <c r="E62" s="80">
        <v>13340000</v>
      </c>
      <c r="F62" s="74" t="s">
        <v>666</v>
      </c>
      <c r="G62" s="74" t="s">
        <v>667</v>
      </c>
      <c r="H62" s="75" t="s">
        <v>668</v>
      </c>
    </row>
    <row r="63" spans="2:8" ht="45">
      <c r="B63" s="58" t="s">
        <v>1590</v>
      </c>
      <c r="C63" s="59" t="s">
        <v>1590</v>
      </c>
      <c r="D63" s="60" t="s">
        <v>1590</v>
      </c>
      <c r="E63" s="80">
        <v>13340100</v>
      </c>
      <c r="F63" s="74" t="s">
        <v>669</v>
      </c>
      <c r="G63" s="74" t="s">
        <v>667</v>
      </c>
      <c r="H63" s="75" t="s">
        <v>668</v>
      </c>
    </row>
    <row r="64" spans="2:8" ht="45.75" thickBot="1">
      <c r="B64" s="81" t="s">
        <v>1590</v>
      </c>
      <c r="C64" s="82" t="s">
        <v>1590</v>
      </c>
      <c r="D64" s="83" t="s">
        <v>1590</v>
      </c>
      <c r="E64" s="84">
        <v>13340110</v>
      </c>
      <c r="F64" s="85" t="s">
        <v>669</v>
      </c>
      <c r="G64" s="85" t="s">
        <v>670</v>
      </c>
      <c r="H64" s="86" t="s">
        <v>668</v>
      </c>
    </row>
  </sheetData>
  <mergeCells count="2">
    <mergeCell ref="B2:C2"/>
    <mergeCell ref="E2:F2"/>
  </mergeCells>
  <conditionalFormatting sqref="B3:D4">
    <cfRule type="expression" dxfId="309" priority="520">
      <formula>MID($I3,2,7)="0000000"</formula>
    </cfRule>
    <cfRule type="expression" dxfId="308" priority="521">
      <formula>MID($I3,3,6)="000000"</formula>
    </cfRule>
    <cfRule type="expression" dxfId="307" priority="522">
      <formula>MID($I3,4,5)="00000"</formula>
    </cfRule>
    <cfRule type="expression" dxfId="306" priority="523">
      <formula>MID($I3,5,4)="0000"</formula>
    </cfRule>
    <cfRule type="expression" dxfId="305" priority="524">
      <formula>MID($I3,7,2)="00"</formula>
    </cfRule>
    <cfRule type="expression" dxfId="304" priority="525">
      <formula>MID($I3,8,1)="0"</formula>
    </cfRule>
    <cfRule type="expression" dxfId="303" priority="526">
      <formula>$M3="Excluído"</formula>
    </cfRule>
    <cfRule type="expression" dxfId="302" priority="527">
      <formula>$M3="Alterar"</formula>
    </cfRule>
    <cfRule type="expression" dxfId="301" priority="528">
      <formula>$M3="Excluir"</formula>
    </cfRule>
    <cfRule type="expression" dxfId="300" priority="529">
      <formula>$M3="Incluir"</formula>
    </cfRule>
  </conditionalFormatting>
  <conditionalFormatting sqref="B3:B4">
    <cfRule type="expression" dxfId="299" priority="519">
      <formula>IF($I3="",FALSE,IF($I3&gt;9999999,IF($I3&lt;100000000,FALSE,TRUE),TRUE))</formula>
    </cfRule>
  </conditionalFormatting>
  <conditionalFormatting sqref="E3:G3">
    <cfRule type="expression" dxfId="298" priority="509">
      <formula>MID($I3,2,7)="0000000"</formula>
    </cfRule>
    <cfRule type="expression" dxfId="297" priority="510">
      <formula>MID($I3,3,6)="000000"</formula>
    </cfRule>
    <cfRule type="expression" dxfId="296" priority="511">
      <formula>MID($I3,4,5)="00000"</formula>
    </cfRule>
    <cfRule type="expression" dxfId="295" priority="512">
      <formula>MID($I3,5,4)="0000"</formula>
    </cfRule>
    <cfRule type="expression" dxfId="294" priority="513">
      <formula>MID($I3,7,2)="00"</formula>
    </cfRule>
    <cfRule type="expression" dxfId="293" priority="514">
      <formula>MID($I3,8,1)="0"</formula>
    </cfRule>
    <cfRule type="expression" dxfId="292" priority="515">
      <formula>$M3="Excluído"</formula>
    </cfRule>
    <cfRule type="expression" dxfId="291" priority="516">
      <formula>$M3="Alterar"</formula>
    </cfRule>
    <cfRule type="expression" dxfId="290" priority="517">
      <formula>$M3="Excluir"</formula>
    </cfRule>
    <cfRule type="expression" dxfId="289" priority="518">
      <formula>$M3="Incluir"</formula>
    </cfRule>
  </conditionalFormatting>
  <conditionalFormatting sqref="E3">
    <cfRule type="expression" dxfId="288" priority="508">
      <formula>IF($I3="",FALSE,IF($I3&gt;9999999,IF($I3&lt;100000000,FALSE,TRUE),TRUE))</formula>
    </cfRule>
  </conditionalFormatting>
  <conditionalFormatting sqref="E4:G4">
    <cfRule type="expression" dxfId="287" priority="498">
      <formula>MID($I4,2,7)="0000000"</formula>
    </cfRule>
    <cfRule type="expression" dxfId="286" priority="499">
      <formula>MID($I4,3,6)="000000"</formula>
    </cfRule>
    <cfRule type="expression" dxfId="285" priority="500">
      <formula>MID($I4,4,5)="00000"</formula>
    </cfRule>
    <cfRule type="expression" dxfId="284" priority="501">
      <formula>MID($I4,5,4)="0000"</formula>
    </cfRule>
    <cfRule type="expression" dxfId="283" priority="502">
      <formula>MID($I4,7,2)="00"</formula>
    </cfRule>
    <cfRule type="expression" dxfId="282" priority="503">
      <formula>MID($I4,8,1)="0"</formula>
    </cfRule>
    <cfRule type="expression" dxfId="281" priority="504">
      <formula>$M4="Excluído"</formula>
    </cfRule>
    <cfRule type="expression" dxfId="280" priority="505">
      <formula>$M4="Alterar"</formula>
    </cfRule>
    <cfRule type="expression" dxfId="279" priority="506">
      <formula>$M4="Excluir"</formula>
    </cfRule>
    <cfRule type="expression" dxfId="278" priority="507">
      <formula>$M4="Incluir"</formula>
    </cfRule>
  </conditionalFormatting>
  <conditionalFormatting sqref="E4">
    <cfRule type="expression" dxfId="277" priority="497">
      <formula>IF($I4="",FALSE,IF($I4&gt;9999999,IF($I4&lt;100000000,FALSE,TRUE),TRUE))</formula>
    </cfRule>
  </conditionalFormatting>
  <conditionalFormatting sqref="H3:H4">
    <cfRule type="expression" dxfId="276" priority="487">
      <formula>MID($I3,2,7)="0000000"</formula>
    </cfRule>
    <cfRule type="expression" dxfId="275" priority="488">
      <formula>MID($I3,3,6)="000000"</formula>
    </cfRule>
    <cfRule type="expression" dxfId="274" priority="489">
      <formula>MID($I3,4,5)="00000"</formula>
    </cfRule>
    <cfRule type="expression" dxfId="273" priority="490">
      <formula>MID($I3,5,4)="0000"</formula>
    </cfRule>
    <cfRule type="expression" dxfId="272" priority="491">
      <formula>MID($I3,7,2)="00"</formula>
    </cfRule>
    <cfRule type="expression" dxfId="271" priority="492">
      <formula>MID($I3,8,1)="0"</formula>
    </cfRule>
    <cfRule type="expression" dxfId="270" priority="493">
      <formula>$M3="Excluído"</formula>
    </cfRule>
    <cfRule type="expression" dxfId="269" priority="494">
      <formula>$M3="Alterar"</formula>
    </cfRule>
    <cfRule type="expression" dxfId="268" priority="495">
      <formula>$M3="Excluir"</formula>
    </cfRule>
    <cfRule type="expression" dxfId="267" priority="496">
      <formula>$M3="Incluir"</formula>
    </cfRule>
  </conditionalFormatting>
  <conditionalFormatting sqref="E5:G5">
    <cfRule type="expression" dxfId="266" priority="477">
      <formula>MID($I5,2,7)="0000000"</formula>
    </cfRule>
    <cfRule type="expression" dxfId="265" priority="478">
      <formula>MID($I5,3,6)="000000"</formula>
    </cfRule>
    <cfRule type="expression" dxfId="264" priority="479">
      <formula>MID($I5,4,5)="00000"</formula>
    </cfRule>
    <cfRule type="expression" dxfId="263" priority="480">
      <formula>MID($I5,5,4)="0000"</formula>
    </cfRule>
    <cfRule type="expression" dxfId="262" priority="481">
      <formula>MID($I5,7,2)="00"</formula>
    </cfRule>
    <cfRule type="expression" dxfId="261" priority="482">
      <formula>MID($I5,8,1)="0"</formula>
    </cfRule>
    <cfRule type="expression" dxfId="260" priority="483">
      <formula>$M5="Excluído"</formula>
    </cfRule>
    <cfRule type="expression" dxfId="259" priority="484">
      <formula>$M5="Alterar"</formula>
    </cfRule>
    <cfRule type="expression" dxfId="258" priority="485">
      <formula>$M5="Excluir"</formula>
    </cfRule>
    <cfRule type="expression" dxfId="257" priority="486">
      <formula>$M5="Incluir"</formula>
    </cfRule>
  </conditionalFormatting>
  <conditionalFormatting sqref="E5">
    <cfRule type="expression" dxfId="256" priority="476">
      <formula>IF($I5="",FALSE,IF($I5&gt;9999999,IF($I5&lt;100000000,FALSE,TRUE),TRUE))</formula>
    </cfRule>
  </conditionalFormatting>
  <conditionalFormatting sqref="H5">
    <cfRule type="expression" dxfId="255" priority="466">
      <formula>MID($I5,2,7)="0000000"</formula>
    </cfRule>
    <cfRule type="expression" dxfId="254" priority="467">
      <formula>MID($I5,3,6)="000000"</formula>
    </cfRule>
    <cfRule type="expression" dxfId="253" priority="468">
      <formula>MID($I5,4,5)="00000"</formula>
    </cfRule>
    <cfRule type="expression" dxfId="252" priority="469">
      <formula>MID($I5,5,4)="0000"</formula>
    </cfRule>
    <cfRule type="expression" dxfId="251" priority="470">
      <formula>MID($I5,7,2)="00"</formula>
    </cfRule>
    <cfRule type="expression" dxfId="250" priority="471">
      <formula>MID($I5,8,1)="0"</formula>
    </cfRule>
    <cfRule type="expression" dxfId="249" priority="472">
      <formula>$M5="Excluído"</formula>
    </cfRule>
    <cfRule type="expression" dxfId="248" priority="473">
      <formula>$M5="Alterar"</formula>
    </cfRule>
    <cfRule type="expression" dxfId="247" priority="474">
      <formula>$M5="Excluir"</formula>
    </cfRule>
    <cfRule type="expression" dxfId="246" priority="475">
      <formula>$M5="Incluir"</formula>
    </cfRule>
  </conditionalFormatting>
  <conditionalFormatting sqref="E6:G6">
    <cfRule type="expression" dxfId="245" priority="456">
      <formula>MID($I6,2,7)="0000000"</formula>
    </cfRule>
    <cfRule type="expression" dxfId="244" priority="457">
      <formula>MID($I6,3,6)="000000"</formula>
    </cfRule>
    <cfRule type="expression" dxfId="243" priority="458">
      <formula>MID($I6,4,5)="00000"</formula>
    </cfRule>
    <cfRule type="expression" dxfId="242" priority="459">
      <formula>MID($I6,5,4)="0000"</formula>
    </cfRule>
    <cfRule type="expression" dxfId="241" priority="460">
      <formula>MID($I6,7,2)="00"</formula>
    </cfRule>
    <cfRule type="expression" dxfId="240" priority="461">
      <formula>MID($I6,8,1)="0"</formula>
    </cfRule>
    <cfRule type="expression" dxfId="239" priority="462">
      <formula>$M6="Excluído"</formula>
    </cfRule>
    <cfRule type="expression" dxfId="238" priority="463">
      <formula>$M6="Alterar"</formula>
    </cfRule>
    <cfRule type="expression" dxfId="237" priority="464">
      <formula>$M6="Excluir"</formula>
    </cfRule>
    <cfRule type="expression" dxfId="236" priority="465">
      <formula>$M6="Incluir"</formula>
    </cfRule>
  </conditionalFormatting>
  <conditionalFormatting sqref="E6">
    <cfRule type="expression" dxfId="235" priority="455">
      <formula>IF($I6="",FALSE,IF($I6&gt;9999999,IF($I6&lt;100000000,FALSE,TRUE),TRUE))</formula>
    </cfRule>
  </conditionalFormatting>
  <conditionalFormatting sqref="E7:G9">
    <cfRule type="expression" dxfId="234" priority="418">
      <formula>MID($I7,2,7)="0000000"</formula>
    </cfRule>
    <cfRule type="expression" dxfId="233" priority="419">
      <formula>MID($I7,3,6)="000000"</formula>
    </cfRule>
    <cfRule type="expression" dxfId="232" priority="420">
      <formula>MID($I7,4,5)="00000"</formula>
    </cfRule>
    <cfRule type="expression" dxfId="231" priority="421">
      <formula>MID($I7,5,4)="0000"</formula>
    </cfRule>
    <cfRule type="expression" dxfId="230" priority="422">
      <formula>MID($I7,7,2)="00"</formula>
    </cfRule>
    <cfRule type="expression" dxfId="229" priority="423">
      <formula>MID($I7,8,1)="0"</formula>
    </cfRule>
    <cfRule type="expression" dxfId="228" priority="424">
      <formula>$M7="Excluído"</formula>
    </cfRule>
    <cfRule type="expression" dxfId="227" priority="425">
      <formula>$M7="Alterar"</formula>
    </cfRule>
    <cfRule type="expression" dxfId="226" priority="426">
      <formula>$M7="Excluir"</formula>
    </cfRule>
    <cfRule type="expression" dxfId="225" priority="427">
      <formula>$M7="Incluir"</formula>
    </cfRule>
  </conditionalFormatting>
  <conditionalFormatting sqref="E7:E9">
    <cfRule type="expression" dxfId="224" priority="417">
      <formula>IF($I7="",FALSE,IF($I7&gt;9999999,IF($I7&lt;100000000,FALSE,TRUE),TRUE))</formula>
    </cfRule>
  </conditionalFormatting>
  <conditionalFormatting sqref="H7:H8">
    <cfRule type="expression" dxfId="223" priority="407">
      <formula>MID($I7,2,7)="0000000"</formula>
    </cfRule>
    <cfRule type="expression" dxfId="222" priority="408">
      <formula>MID($I7,3,6)="000000"</formula>
    </cfRule>
    <cfRule type="expression" dxfId="221" priority="409">
      <formula>MID($I7,4,5)="00000"</formula>
    </cfRule>
    <cfRule type="expression" dxfId="220" priority="410">
      <formula>MID($I7,5,4)="0000"</formula>
    </cfRule>
    <cfRule type="expression" dxfId="219" priority="411">
      <formula>MID($I7,7,2)="00"</formula>
    </cfRule>
    <cfRule type="expression" dxfId="218" priority="412">
      <formula>MID($I7,8,1)="0"</formula>
    </cfRule>
    <cfRule type="expression" dxfId="217" priority="413">
      <formula>$M7="Excluído"</formula>
    </cfRule>
    <cfRule type="expression" dxfId="216" priority="414">
      <formula>$M7="Alterar"</formula>
    </cfRule>
    <cfRule type="expression" dxfId="215" priority="415">
      <formula>$M7="Excluir"</formula>
    </cfRule>
    <cfRule type="expression" dxfId="214" priority="416">
      <formula>$M7="Incluir"</formula>
    </cfRule>
  </conditionalFormatting>
  <conditionalFormatting sqref="E10:G16">
    <cfRule type="expression" dxfId="213" priority="397">
      <formula>MID($I10,2,7)="0000000"</formula>
    </cfRule>
    <cfRule type="expression" dxfId="212" priority="398">
      <formula>MID($I10,3,6)="000000"</formula>
    </cfRule>
    <cfRule type="expression" dxfId="211" priority="399">
      <formula>MID($I10,4,5)="00000"</formula>
    </cfRule>
    <cfRule type="expression" dxfId="210" priority="400">
      <formula>MID($I10,5,4)="0000"</formula>
    </cfRule>
    <cfRule type="expression" dxfId="209" priority="401">
      <formula>MID($I10,7,2)="00"</formula>
    </cfRule>
    <cfRule type="expression" dxfId="208" priority="402">
      <formula>MID($I10,8,1)="0"</formula>
    </cfRule>
    <cfRule type="expression" dxfId="207" priority="403">
      <formula>$M10="Excluído"</formula>
    </cfRule>
    <cfRule type="expression" dxfId="206" priority="404">
      <formula>$M10="Alterar"</formula>
    </cfRule>
    <cfRule type="expression" dxfId="205" priority="405">
      <formula>$M10="Excluir"</formula>
    </cfRule>
    <cfRule type="expression" dxfId="204" priority="406">
      <formula>$M10="Incluir"</formula>
    </cfRule>
  </conditionalFormatting>
  <conditionalFormatting sqref="E10:E16">
    <cfRule type="expression" dxfId="203" priority="396">
      <formula>IF($I10="",FALSE,IF($I10&gt;9999999,IF($I10&lt;100000000,FALSE,TRUE),TRUE))</formula>
    </cfRule>
  </conditionalFormatting>
  <conditionalFormatting sqref="E17:G29">
    <cfRule type="expression" dxfId="202" priority="364">
      <formula>MID($I17,2,7)="0000000"</formula>
    </cfRule>
    <cfRule type="expression" dxfId="201" priority="365">
      <formula>MID($I17,3,6)="000000"</formula>
    </cfRule>
    <cfRule type="expression" dxfId="200" priority="366">
      <formula>MID($I17,4,5)="00000"</formula>
    </cfRule>
    <cfRule type="expression" dxfId="199" priority="367">
      <formula>MID($I17,5,4)="0000"</formula>
    </cfRule>
    <cfRule type="expression" dxfId="198" priority="368">
      <formula>MID($I17,7,2)="00"</formula>
    </cfRule>
    <cfRule type="expression" dxfId="197" priority="369">
      <formula>MID($I17,8,1)="0"</formula>
    </cfRule>
    <cfRule type="expression" dxfId="196" priority="370">
      <formula>$M17="Excluído"</formula>
    </cfRule>
    <cfRule type="expression" dxfId="195" priority="371">
      <formula>$M17="Alterar"</formula>
    </cfRule>
    <cfRule type="expression" dxfId="194" priority="372">
      <formula>$M17="Excluir"</formula>
    </cfRule>
    <cfRule type="expression" dxfId="193" priority="373">
      <formula>$M17="Incluir"</formula>
    </cfRule>
  </conditionalFormatting>
  <conditionalFormatting sqref="E17:E29">
    <cfRule type="expression" dxfId="192" priority="363">
      <formula>IF($I17="",FALSE,IF($I17&gt;9999999,IF($I17&lt;100000000,FALSE,TRUE),TRUE))</formula>
    </cfRule>
  </conditionalFormatting>
  <conditionalFormatting sqref="E30:G30">
    <cfRule type="expression" dxfId="191" priority="331">
      <formula>MID($I30,2,7)="0000000"</formula>
    </cfRule>
    <cfRule type="expression" dxfId="190" priority="332">
      <formula>MID($I30,3,6)="000000"</formula>
    </cfRule>
    <cfRule type="expression" dxfId="189" priority="333">
      <formula>MID($I30,4,5)="00000"</formula>
    </cfRule>
    <cfRule type="expression" dxfId="188" priority="334">
      <formula>MID($I30,5,4)="0000"</formula>
    </cfRule>
    <cfRule type="expression" dxfId="187" priority="335">
      <formula>MID($I30,7,2)="00"</formula>
    </cfRule>
    <cfRule type="expression" dxfId="186" priority="336">
      <formula>MID($I30,8,1)="0"</formula>
    </cfRule>
    <cfRule type="expression" dxfId="185" priority="337">
      <formula>$M30="Excluído"</formula>
    </cfRule>
    <cfRule type="expression" dxfId="184" priority="338">
      <formula>$M30="Alterar"</formula>
    </cfRule>
    <cfRule type="expression" dxfId="183" priority="339">
      <formula>$M30="Excluir"</formula>
    </cfRule>
    <cfRule type="expression" dxfId="182" priority="340">
      <formula>$M30="Incluir"</formula>
    </cfRule>
  </conditionalFormatting>
  <conditionalFormatting sqref="E30">
    <cfRule type="expression" dxfId="181" priority="330">
      <formula>IF($I30="",FALSE,IF($I30&gt;9999999,IF($I30&lt;100000000,FALSE,TRUE),TRUE))</formula>
    </cfRule>
  </conditionalFormatting>
  <conditionalFormatting sqref="B30:D30">
    <cfRule type="expression" dxfId="180" priority="320">
      <formula>MID($I30,2,7)="0000000"</formula>
    </cfRule>
    <cfRule type="expression" dxfId="179" priority="321">
      <formula>MID($I30,3,6)="000000"</formula>
    </cfRule>
    <cfRule type="expression" dxfId="178" priority="322">
      <formula>MID($I30,4,5)="00000"</formula>
    </cfRule>
    <cfRule type="expression" dxfId="177" priority="323">
      <formula>MID($I30,5,4)="0000"</formula>
    </cfRule>
    <cfRule type="expression" dxfId="176" priority="324">
      <formula>MID($I30,7,2)="00"</formula>
    </cfRule>
    <cfRule type="expression" dxfId="175" priority="325">
      <formula>MID($I30,8,1)="0"</formula>
    </cfRule>
    <cfRule type="expression" dxfId="174" priority="326">
      <formula>$M30="Excluído"</formula>
    </cfRule>
    <cfRule type="expression" dxfId="173" priority="327">
      <formula>$M30="Alterar"</formula>
    </cfRule>
    <cfRule type="expression" dxfId="172" priority="328">
      <formula>$M30="Excluir"</formula>
    </cfRule>
    <cfRule type="expression" dxfId="171" priority="329">
      <formula>$M30="Incluir"</formula>
    </cfRule>
  </conditionalFormatting>
  <conditionalFormatting sqref="B30">
    <cfRule type="expression" dxfId="170" priority="319">
      <formula>IF($I30="",FALSE,IF($I30&gt;9999999,IF($I30&lt;100000000,FALSE,TRUE),TRUE))</formula>
    </cfRule>
  </conditionalFormatting>
  <conditionalFormatting sqref="E31:G43">
    <cfRule type="expression" dxfId="169" priority="309">
      <formula>MID($I31,2,7)="0000000"</formula>
    </cfRule>
    <cfRule type="expression" dxfId="168" priority="310">
      <formula>MID($I31,3,6)="000000"</formula>
    </cfRule>
    <cfRule type="expression" dxfId="167" priority="311">
      <formula>MID($I31,4,5)="00000"</formula>
    </cfRule>
    <cfRule type="expression" dxfId="166" priority="312">
      <formula>MID($I31,5,4)="0000"</formula>
    </cfRule>
    <cfRule type="expression" dxfId="165" priority="313">
      <formula>MID($I31,7,2)="00"</formula>
    </cfRule>
    <cfRule type="expression" dxfId="164" priority="314">
      <formula>MID($I31,8,1)="0"</formula>
    </cfRule>
    <cfRule type="expression" dxfId="163" priority="315">
      <formula>$M31="Excluído"</formula>
    </cfRule>
    <cfRule type="expression" dxfId="162" priority="316">
      <formula>$M31="Alterar"</formula>
    </cfRule>
    <cfRule type="expression" dxfId="161" priority="317">
      <formula>$M31="Excluir"</formula>
    </cfRule>
    <cfRule type="expression" dxfId="160" priority="318">
      <formula>$M31="Incluir"</formula>
    </cfRule>
  </conditionalFormatting>
  <conditionalFormatting sqref="E31:E43">
    <cfRule type="expression" dxfId="159" priority="308">
      <formula>IF($I31="",FALSE,IF($I31&gt;9999999,IF($I31&lt;100000000,FALSE,TRUE),TRUE))</formula>
    </cfRule>
  </conditionalFormatting>
  <conditionalFormatting sqref="B44:D44">
    <cfRule type="expression" dxfId="158" priority="287">
      <formula>MID($I44,2,7)="0000000"</formula>
    </cfRule>
    <cfRule type="expression" dxfId="157" priority="288">
      <formula>MID($I44,3,6)="000000"</formula>
    </cfRule>
    <cfRule type="expression" dxfId="156" priority="289">
      <formula>MID($I44,4,5)="00000"</formula>
    </cfRule>
    <cfRule type="expression" dxfId="155" priority="290">
      <formula>MID($I44,5,4)="0000"</formula>
    </cfRule>
    <cfRule type="expression" dxfId="154" priority="291">
      <formula>MID($I44,7,2)="00"</formula>
    </cfRule>
    <cfRule type="expression" dxfId="153" priority="292">
      <formula>MID($I44,8,1)="0"</formula>
    </cfRule>
    <cfRule type="expression" dxfId="152" priority="293">
      <formula>$M44="Excluído"</formula>
    </cfRule>
    <cfRule type="expression" dxfId="151" priority="294">
      <formula>$M44="Alterar"</formula>
    </cfRule>
    <cfRule type="expression" dxfId="150" priority="295">
      <formula>$M44="Excluir"</formula>
    </cfRule>
    <cfRule type="expression" dxfId="149" priority="296">
      <formula>$M44="Incluir"</formula>
    </cfRule>
  </conditionalFormatting>
  <conditionalFormatting sqref="B44">
    <cfRule type="expression" dxfId="148" priority="286">
      <formula>IF($I44="",FALSE,IF($I44&gt;9999999,IF($I44&lt;100000000,FALSE,TRUE),TRUE))</formula>
    </cfRule>
  </conditionalFormatting>
  <conditionalFormatting sqref="E44:G44">
    <cfRule type="expression" dxfId="147" priority="276">
      <formula>MID($I44,2,7)="0000000"</formula>
    </cfRule>
    <cfRule type="expression" dxfId="146" priority="277">
      <formula>MID($I44,3,6)="000000"</formula>
    </cfRule>
    <cfRule type="expression" dxfId="145" priority="278">
      <formula>MID($I44,4,5)="00000"</formula>
    </cfRule>
    <cfRule type="expression" dxfId="144" priority="279">
      <formula>MID($I44,5,4)="0000"</formula>
    </cfRule>
    <cfRule type="expression" dxfId="143" priority="280">
      <formula>MID($I44,7,2)="00"</formula>
    </cfRule>
    <cfRule type="expression" dxfId="142" priority="281">
      <formula>MID($I44,8,1)="0"</formula>
    </cfRule>
    <cfRule type="expression" dxfId="141" priority="282">
      <formula>$M44="Excluído"</formula>
    </cfRule>
    <cfRule type="expression" dxfId="140" priority="283">
      <formula>$M44="Alterar"</formula>
    </cfRule>
    <cfRule type="expression" dxfId="139" priority="284">
      <formula>$M44="Excluir"</formula>
    </cfRule>
    <cfRule type="expression" dxfId="138" priority="285">
      <formula>$M44="Incluir"</formula>
    </cfRule>
  </conditionalFormatting>
  <conditionalFormatting sqref="E44">
    <cfRule type="expression" dxfId="137" priority="275">
      <formula>IF($I44="",FALSE,IF($I44&gt;9999999,IF($I44&lt;100000000,FALSE,TRUE),TRUE))</formula>
    </cfRule>
  </conditionalFormatting>
  <conditionalFormatting sqref="B45:D59">
    <cfRule type="expression" dxfId="136" priority="265">
      <formula>MID($I45,2,7)="0000000"</formula>
    </cfRule>
    <cfRule type="expression" dxfId="135" priority="266">
      <formula>MID($I45,3,6)="000000"</formula>
    </cfRule>
    <cfRule type="expression" dxfId="134" priority="267">
      <formula>MID($I45,4,5)="00000"</formula>
    </cfRule>
    <cfRule type="expression" dxfId="133" priority="268">
      <formula>MID($I45,5,4)="0000"</formula>
    </cfRule>
    <cfRule type="expression" dxfId="132" priority="269">
      <formula>MID($I45,7,2)="00"</formula>
    </cfRule>
    <cfRule type="expression" dxfId="131" priority="270">
      <formula>MID($I45,8,1)="0"</formula>
    </cfRule>
    <cfRule type="expression" dxfId="130" priority="271">
      <formula>$M45="Excluído"</formula>
    </cfRule>
    <cfRule type="expression" dxfId="129" priority="272">
      <formula>$M45="Alterar"</formula>
    </cfRule>
    <cfRule type="expression" dxfId="128" priority="273">
      <formula>$M45="Excluir"</formula>
    </cfRule>
    <cfRule type="expression" dxfId="127" priority="274">
      <formula>$M45="Incluir"</formula>
    </cfRule>
  </conditionalFormatting>
  <conditionalFormatting sqref="B45:B59">
    <cfRule type="expression" dxfId="126" priority="264">
      <formula>IF($I45="",FALSE,IF($I45&gt;9999999,IF($I45&lt;100000000,FALSE,TRUE),TRUE))</formula>
    </cfRule>
  </conditionalFormatting>
  <conditionalFormatting sqref="E45:E59">
    <cfRule type="expression" dxfId="125" priority="254">
      <formula>MID($I45,2,7)="0000000"</formula>
    </cfRule>
    <cfRule type="expression" dxfId="124" priority="255">
      <formula>MID($I45,3,6)="000000"</formula>
    </cfRule>
    <cfRule type="expression" dxfId="123" priority="256">
      <formula>MID($I45,4,5)="00000"</formula>
    </cfRule>
    <cfRule type="expression" dxfId="122" priority="257">
      <formula>MID($I45,5,4)="0000"</formula>
    </cfRule>
    <cfRule type="expression" dxfId="121" priority="258">
      <formula>MID($I45,7,2)="00"</formula>
    </cfRule>
    <cfRule type="expression" dxfId="120" priority="259">
      <formula>MID($I45,8,1)="0"</formula>
    </cfRule>
    <cfRule type="expression" dxfId="119" priority="260">
      <formula>$M45="Excluído"</formula>
    </cfRule>
    <cfRule type="expression" dxfId="118" priority="261">
      <formula>$M45="Alterar"</formula>
    </cfRule>
    <cfRule type="expression" dxfId="117" priority="262">
      <formula>$M45="Excluir"</formula>
    </cfRule>
    <cfRule type="expression" dxfId="116" priority="263">
      <formula>$M45="Incluir"</formula>
    </cfRule>
  </conditionalFormatting>
  <conditionalFormatting sqref="E45:E59">
    <cfRule type="expression" dxfId="115" priority="253">
      <formula>IF($I45="",FALSE,IF($I45&gt;9999999,IF($I45&lt;100000000,FALSE,TRUE),TRUE))</formula>
    </cfRule>
  </conditionalFormatting>
  <conditionalFormatting sqref="F45:F59">
    <cfRule type="expression" dxfId="114" priority="243">
      <formula>MID($I45,2,7)="0000000"</formula>
    </cfRule>
    <cfRule type="expression" dxfId="113" priority="244">
      <formula>MID($I45,3,6)="000000"</formula>
    </cfRule>
    <cfRule type="expression" dxfId="112" priority="245">
      <formula>MID($I45,4,5)="00000"</formula>
    </cfRule>
    <cfRule type="expression" dxfId="111" priority="246">
      <formula>MID($I45,5,4)="0000"</formula>
    </cfRule>
    <cfRule type="expression" dxfId="110" priority="247">
      <formula>MID($I45,7,2)="00"</formula>
    </cfRule>
    <cfRule type="expression" dxfId="109" priority="248">
      <formula>MID($I45,8,1)="0"</formula>
    </cfRule>
    <cfRule type="expression" dxfId="108" priority="249">
      <formula>$M45="Excluído"</formula>
    </cfRule>
    <cfRule type="expression" dxfId="107" priority="250">
      <formula>$M45="Alterar"</formula>
    </cfRule>
    <cfRule type="expression" dxfId="106" priority="251">
      <formula>$M45="Excluir"</formula>
    </cfRule>
    <cfRule type="expression" dxfId="105" priority="252">
      <formula>$M45="Incluir"</formula>
    </cfRule>
  </conditionalFormatting>
  <conditionalFormatting sqref="G45:G59">
    <cfRule type="expression" dxfId="104" priority="233">
      <formula>MID($I45,2,7)="0000000"</formula>
    </cfRule>
    <cfRule type="expression" dxfId="103" priority="234">
      <formula>MID($I45,3,6)="000000"</formula>
    </cfRule>
    <cfRule type="expression" dxfId="102" priority="235">
      <formula>MID($I45,4,5)="00000"</formula>
    </cfRule>
    <cfRule type="expression" dxfId="101" priority="236">
      <formula>MID($I45,5,4)="0000"</formula>
    </cfRule>
    <cfRule type="expression" dxfId="100" priority="237">
      <formula>MID($I45,7,2)="00"</formula>
    </cfRule>
    <cfRule type="expression" dxfId="99" priority="238">
      <formula>MID($I45,8,1)="0"</formula>
    </cfRule>
    <cfRule type="expression" dxfId="98" priority="239">
      <formula>$M45="Excluído"</formula>
    </cfRule>
    <cfRule type="expression" dxfId="97" priority="240">
      <formula>$M45="Alterar"</formula>
    </cfRule>
    <cfRule type="expression" dxfId="96" priority="241">
      <formula>$M45="Excluir"</formula>
    </cfRule>
    <cfRule type="expression" dxfId="95" priority="242">
      <formula>$M45="Incluir"</formula>
    </cfRule>
  </conditionalFormatting>
  <conditionalFormatting sqref="E61">
    <cfRule type="expression" dxfId="94" priority="33">
      <formula>MID($I61,2,7)="0000000"</formula>
    </cfRule>
    <cfRule type="expression" dxfId="93" priority="34">
      <formula>MID($I61,3,6)="000000"</formula>
    </cfRule>
    <cfRule type="expression" dxfId="92" priority="35">
      <formula>MID($I61,4,5)="00000"</formula>
    </cfRule>
    <cfRule type="expression" dxfId="91" priority="36">
      <formula>MID($I61,5,4)="0000"</formula>
    </cfRule>
    <cfRule type="expression" dxfId="90" priority="37">
      <formula>MID($I61,7,2)="00"</formula>
    </cfRule>
    <cfRule type="expression" dxfId="89" priority="38">
      <formula>MID($I61,8,1)="0"</formula>
    </cfRule>
    <cfRule type="expression" dxfId="88" priority="39">
      <formula>$M61="Excluído"</formula>
    </cfRule>
    <cfRule type="expression" dxfId="87" priority="40">
      <formula>$M61="Alterar"</formula>
    </cfRule>
    <cfRule type="expression" dxfId="86" priority="41">
      <formula>$M61="Excluir"</formula>
    </cfRule>
    <cfRule type="expression" dxfId="85" priority="42">
      <formula>$M61="Incluir"</formula>
    </cfRule>
  </conditionalFormatting>
  <conditionalFormatting sqref="E61">
    <cfRule type="expression" dxfId="84" priority="32">
      <formula>IF($I61="",FALSE,IF($I61&gt;9999999,IF($I61&lt;100000000,FALSE,TRUE),TRUE))</formula>
    </cfRule>
  </conditionalFormatting>
  <conditionalFormatting sqref="F61">
    <cfRule type="expression" dxfId="83" priority="22">
      <formula>MID($I61,2,7)="0000000"</formula>
    </cfRule>
    <cfRule type="expression" dxfId="82" priority="23">
      <formula>MID($I61,3,6)="000000"</formula>
    </cfRule>
    <cfRule type="expression" dxfId="81" priority="24">
      <formula>MID($I61,4,5)="00000"</formula>
    </cfRule>
    <cfRule type="expression" dxfId="80" priority="25">
      <formula>MID($I61,5,4)="0000"</formula>
    </cfRule>
    <cfRule type="expression" dxfId="79" priority="26">
      <formula>MID($I61,7,2)="00"</formula>
    </cfRule>
    <cfRule type="expression" dxfId="78" priority="27">
      <formula>MID($I61,8,1)="0"</formula>
    </cfRule>
    <cfRule type="expression" dxfId="77" priority="28">
      <formula>$M61="Excluído"</formula>
    </cfRule>
    <cfRule type="expression" dxfId="76" priority="29">
      <formula>$M61="Alterar"</formula>
    </cfRule>
    <cfRule type="expression" dxfId="75" priority="30">
      <formula>$M61="Excluir"</formula>
    </cfRule>
    <cfRule type="expression" dxfId="74" priority="31">
      <formula>$M61="Incluir"</formula>
    </cfRule>
  </conditionalFormatting>
  <conditionalFormatting sqref="G61">
    <cfRule type="expression" dxfId="73" priority="12">
      <formula>MID($I61,2,7)="0000000"</formula>
    </cfRule>
    <cfRule type="expression" dxfId="72" priority="13">
      <formula>MID($I61,3,6)="000000"</formula>
    </cfRule>
    <cfRule type="expression" dxfId="71" priority="14">
      <formula>MID($I61,4,5)="00000"</formula>
    </cfRule>
    <cfRule type="expression" dxfId="70" priority="15">
      <formula>MID($I61,5,4)="0000"</formula>
    </cfRule>
    <cfRule type="expression" dxfId="69" priority="16">
      <formula>MID($I61,7,2)="00"</formula>
    </cfRule>
    <cfRule type="expression" dxfId="68" priority="17">
      <formula>MID($I61,8,1)="0"</formula>
    </cfRule>
    <cfRule type="expression" dxfId="67" priority="18">
      <formula>$M61="Excluído"</formula>
    </cfRule>
    <cfRule type="expression" dxfId="66" priority="19">
      <formula>$M61="Alterar"</formula>
    </cfRule>
    <cfRule type="expression" dxfId="65" priority="20">
      <formula>$M61="Excluir"</formula>
    </cfRule>
    <cfRule type="expression" dxfId="64" priority="21">
      <formula>$M61="Incluir"</formula>
    </cfRule>
  </conditionalFormatting>
  <conditionalFormatting sqref="B60:D60">
    <cfRule type="expression" dxfId="63" priority="86">
      <formula>MID($I60,2,7)="0000000"</formula>
    </cfRule>
    <cfRule type="expression" dxfId="62" priority="87">
      <formula>MID($I60,3,6)="000000"</formula>
    </cfRule>
    <cfRule type="expression" dxfId="61" priority="88">
      <formula>MID($I60,4,5)="00000"</formula>
    </cfRule>
    <cfRule type="expression" dxfId="60" priority="89">
      <formula>MID($I60,5,4)="0000"</formula>
    </cfRule>
    <cfRule type="expression" dxfId="59" priority="90">
      <formula>MID($I60,7,2)="00"</formula>
    </cfRule>
    <cfRule type="expression" dxfId="58" priority="91">
      <formula>MID($I60,8,1)="0"</formula>
    </cfRule>
    <cfRule type="expression" dxfId="57" priority="92">
      <formula>$M60="Excluído"</formula>
    </cfRule>
    <cfRule type="expression" dxfId="56" priority="93">
      <formula>$M60="Alterar"</formula>
    </cfRule>
    <cfRule type="expression" dxfId="55" priority="94">
      <formula>$M60="Excluir"</formula>
    </cfRule>
    <cfRule type="expression" dxfId="54" priority="95">
      <formula>$M60="Incluir"</formula>
    </cfRule>
  </conditionalFormatting>
  <conditionalFormatting sqref="B60">
    <cfRule type="expression" dxfId="53" priority="85">
      <formula>IF($I60="",FALSE,IF($I60&gt;9999999,IF($I60&lt;100000000,FALSE,TRUE),TRUE))</formula>
    </cfRule>
  </conditionalFormatting>
  <conditionalFormatting sqref="E60">
    <cfRule type="expression" dxfId="52" priority="75">
      <formula>MID($I60,2,7)="0000000"</formula>
    </cfRule>
    <cfRule type="expression" dxfId="51" priority="76">
      <formula>MID($I60,3,6)="000000"</formula>
    </cfRule>
    <cfRule type="expression" dxfId="50" priority="77">
      <formula>MID($I60,4,5)="00000"</formula>
    </cfRule>
    <cfRule type="expression" dxfId="49" priority="78">
      <formula>MID($I60,5,4)="0000"</formula>
    </cfRule>
    <cfRule type="expression" dxfId="48" priority="79">
      <formula>MID($I60,7,2)="00"</formula>
    </cfRule>
    <cfRule type="expression" dxfId="47" priority="80">
      <formula>MID($I60,8,1)="0"</formula>
    </cfRule>
    <cfRule type="expression" dxfId="46" priority="81">
      <formula>$M60="Excluído"</formula>
    </cfRule>
    <cfRule type="expression" dxfId="45" priority="82">
      <formula>$M60="Alterar"</formula>
    </cfRule>
    <cfRule type="expression" dxfId="44" priority="83">
      <formula>$M60="Excluir"</formula>
    </cfRule>
    <cfRule type="expression" dxfId="43" priority="84">
      <formula>$M60="Incluir"</formula>
    </cfRule>
  </conditionalFormatting>
  <conditionalFormatting sqref="E60">
    <cfRule type="expression" dxfId="42" priority="74">
      <formula>IF($I60="",FALSE,IF($I60&gt;9999999,IF($I60&lt;100000000,FALSE,TRUE),TRUE))</formula>
    </cfRule>
  </conditionalFormatting>
  <conditionalFormatting sqref="F60">
    <cfRule type="expression" dxfId="41" priority="64">
      <formula>MID($I60,2,7)="0000000"</formula>
    </cfRule>
    <cfRule type="expression" dxfId="40" priority="65">
      <formula>MID($I60,3,6)="000000"</formula>
    </cfRule>
    <cfRule type="expression" dxfId="39" priority="66">
      <formula>MID($I60,4,5)="00000"</formula>
    </cfRule>
    <cfRule type="expression" dxfId="38" priority="67">
      <formula>MID($I60,5,4)="0000"</formula>
    </cfRule>
    <cfRule type="expression" dxfId="37" priority="68">
      <formula>MID($I60,7,2)="00"</formula>
    </cfRule>
    <cfRule type="expression" dxfId="36" priority="69">
      <formula>MID($I60,8,1)="0"</formula>
    </cfRule>
    <cfRule type="expression" dxfId="35" priority="70">
      <formula>$M60="Excluído"</formula>
    </cfRule>
    <cfRule type="expression" dxfId="34" priority="71">
      <formula>$M60="Alterar"</formula>
    </cfRule>
    <cfRule type="expression" dxfId="33" priority="72">
      <formula>$M60="Excluir"</formula>
    </cfRule>
    <cfRule type="expression" dxfId="32" priority="73">
      <formula>$M60="Incluir"</formula>
    </cfRule>
  </conditionalFormatting>
  <conditionalFormatting sqref="G60">
    <cfRule type="expression" dxfId="31" priority="54">
      <formula>MID($I60,2,7)="0000000"</formula>
    </cfRule>
    <cfRule type="expression" dxfId="30" priority="55">
      <formula>MID($I60,3,6)="000000"</formula>
    </cfRule>
    <cfRule type="expression" dxfId="29" priority="56">
      <formula>MID($I60,4,5)="00000"</formula>
    </cfRule>
    <cfRule type="expression" dxfId="28" priority="57">
      <formula>MID($I60,5,4)="0000"</formula>
    </cfRule>
    <cfRule type="expression" dxfId="27" priority="58">
      <formula>MID($I60,7,2)="00"</formula>
    </cfRule>
    <cfRule type="expression" dxfId="26" priority="59">
      <formula>MID($I60,8,1)="0"</formula>
    </cfRule>
    <cfRule type="expression" dxfId="25" priority="60">
      <formula>$M60="Excluído"</formula>
    </cfRule>
    <cfRule type="expression" dxfId="24" priority="61">
      <formula>$M60="Alterar"</formula>
    </cfRule>
    <cfRule type="expression" dxfId="23" priority="62">
      <formula>$M60="Excluir"</formula>
    </cfRule>
    <cfRule type="expression" dxfId="22" priority="63">
      <formula>$M60="Incluir"</formula>
    </cfRule>
  </conditionalFormatting>
  <conditionalFormatting sqref="B61:D61">
    <cfRule type="expression" dxfId="21" priority="44">
      <formula>MID($I61,2,7)="0000000"</formula>
    </cfRule>
    <cfRule type="expression" dxfId="20" priority="45">
      <formula>MID($I61,3,6)="000000"</formula>
    </cfRule>
    <cfRule type="expression" dxfId="19" priority="46">
      <formula>MID($I61,4,5)="00000"</formula>
    </cfRule>
    <cfRule type="expression" dxfId="18" priority="47">
      <formula>MID($I61,5,4)="0000"</formula>
    </cfRule>
    <cfRule type="expression" dxfId="17" priority="48">
      <formula>MID($I61,7,2)="00"</formula>
    </cfRule>
    <cfRule type="expression" dxfId="16" priority="49">
      <formula>MID($I61,8,1)="0"</formula>
    </cfRule>
    <cfRule type="expression" dxfId="15" priority="50">
      <formula>$M61="Excluído"</formula>
    </cfRule>
    <cfRule type="expression" dxfId="14" priority="51">
      <formula>$M61="Alterar"</formula>
    </cfRule>
    <cfRule type="expression" dxfId="13" priority="52">
      <formula>$M61="Excluir"</formula>
    </cfRule>
    <cfRule type="expression" dxfId="12" priority="53">
      <formula>$M61="Incluir"</formula>
    </cfRule>
  </conditionalFormatting>
  <conditionalFormatting sqref="B61">
    <cfRule type="expression" dxfId="11" priority="43">
      <formula>IF($I61="",FALSE,IF($I61&gt;9999999,IF($I61&lt;100000000,FALSE,TRUE),TRUE))</formula>
    </cfRule>
  </conditionalFormatting>
  <conditionalFormatting sqref="E62:H64">
    <cfRule type="expression" dxfId="10" priority="2">
      <formula>MID($I62,2,7)="0000000"</formula>
    </cfRule>
    <cfRule type="expression" dxfId="9" priority="3">
      <formula>MID($I62,3,6)="000000"</formula>
    </cfRule>
    <cfRule type="expression" dxfId="8" priority="4">
      <formula>MID($I62,4,5)="00000"</formula>
    </cfRule>
    <cfRule type="expression" dxfId="7" priority="5">
      <formula>MID($I62,5,4)="0000"</formula>
    </cfRule>
    <cfRule type="expression" dxfId="6" priority="6">
      <formula>MID($I62,7,2)="00"</formula>
    </cfRule>
    <cfRule type="expression" dxfId="5" priority="7">
      <formula>MID($I62,8,1)="0"</formula>
    </cfRule>
    <cfRule type="expression" dxfId="4" priority="8">
      <formula>$M62="Excluído"</formula>
    </cfRule>
    <cfRule type="expression" dxfId="3" priority="9">
      <formula>$M62="Alterar"</formula>
    </cfRule>
    <cfRule type="expression" dxfId="2" priority="10">
      <formula>$M62="Excluir"</formula>
    </cfRule>
    <cfRule type="expression" dxfId="1" priority="11">
      <formula>$M62="Incluir"</formula>
    </cfRule>
  </conditionalFormatting>
  <conditionalFormatting sqref="E62:E64">
    <cfRule type="expression" dxfId="0" priority="1">
      <formula>IF($I62="",FALSE,IF($I62&gt;9999999,IF($I62&lt;100000000,FALSE,TRUE),TRUE))</formula>
    </cfRule>
  </conditionalFormatting>
  <pageMargins left="0.511811024" right="0.511811024" top="0.78740157499999996" bottom="0.78740157499999996" header="0.31496062000000002" footer="0.31496062000000002"/>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198CF79E9C4C0449FD4E6C5F11B6B94" ma:contentTypeVersion="2" ma:contentTypeDescription="Crie um novo documento." ma:contentTypeScope="" ma:versionID="2a6b5170be39c66bc1f78ab40fd3eec8">
  <xsd:schema xmlns:xsd="http://www.w3.org/2001/XMLSchema" xmlns:xs="http://www.w3.org/2001/XMLSchema" xmlns:p="http://schemas.microsoft.com/office/2006/metadata/properties" xmlns:ns2="02b59cef-0636-4c64-bd56-9ca8586173f9" targetNamespace="http://schemas.microsoft.com/office/2006/metadata/properties" ma:root="true" ma:fieldsID="865b19e9cc64ccdbe36d94f3558cbce2" ns2:_="">
    <xsd:import namespace="02b59cef-0636-4c64-bd56-9ca8586173f9"/>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b59cef-0636-4c64-bd56-9ca8586173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CD84E4-F88F-4752-9406-349A74FAB471}"/>
</file>

<file path=customXml/itemProps2.xml><?xml version="1.0" encoding="utf-8"?>
<ds:datastoreItem xmlns:ds="http://schemas.openxmlformats.org/officeDocument/2006/customXml" ds:itemID="{E85D771C-1619-4F6C-8B5C-4D6C6C0BC54A}"/>
</file>

<file path=customXml/itemProps3.xml><?xml version="1.0" encoding="utf-8"?>
<ds:datastoreItem xmlns:ds="http://schemas.openxmlformats.org/officeDocument/2006/customXml" ds:itemID="{2BEB9F53-5DF2-4670-B7D9-083AF4DF4FB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STN;washington.nunes@tesouro.gov.br;gabriela.abreu@tesouro.gov.br</dc:creator>
  <cp:keywords/>
  <dc:description/>
  <cp:lastModifiedBy>Ana Karolina Almeida Dias Hamann</cp:lastModifiedBy>
  <cp:revision/>
  <dcterms:created xsi:type="dcterms:W3CDTF">2016-06-23T18:04:26Z</dcterms:created>
  <dcterms:modified xsi:type="dcterms:W3CDTF">2020-07-09T19:33:59Z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0x0101008198CF79E9C4C0449FD4E6C5F11B6B94</vt:lpwstr>
  </property>
  <property fmtid="{D5CDD505-2E9C-101B-9397-08002B2CF9AE}" pid="3" name="AuthorIds_UIVersion_155648">
    <vt:lpwstr>16</vt:lpwstr>
  </property>
</Properties>
</file>
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omments1.xml" ContentType="application/vnd.openxmlformats-officedocument.spreadsheetml.comment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L:\CCONF\GENOC\Classificação Orçamentária\"/>
    </mc:Choice>
  </mc:AlternateContent>
  <bookViews>
    <workbookView xWindow="0" yWindow="0" windowWidth="24000" windowHeight="9735"/>
  </bookViews>
  <sheets>
    <sheet name="Plan1" sheetId="1" r:id="rId1"/>
  </sheets>
  <definedNames>
    <definedName name="_xlnm._FilterDatabase" localSheetId="0" hidden="1">Plan1!$A$1:$M$1423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28" i="1" l="1"/>
  <c r="E628" i="1"/>
  <c r="D628" i="1"/>
  <c r="C628" i="1"/>
  <c r="B628" i="1"/>
  <c r="A628" i="1"/>
  <c r="E626" i="1"/>
  <c r="F626" i="1"/>
  <c r="F595" i="1" l="1"/>
  <c r="E595" i="1"/>
  <c r="A98" i="1" l="1"/>
  <c r="B98" i="1"/>
  <c r="C98" i="1"/>
  <c r="D98" i="1"/>
  <c r="E98" i="1"/>
  <c r="F98" i="1"/>
  <c r="A1254" i="1" l="1"/>
  <c r="B1254" i="1"/>
  <c r="C1254" i="1"/>
  <c r="D1254" i="1"/>
  <c r="E1254" i="1"/>
  <c r="F1254" i="1"/>
  <c r="A1253" i="1"/>
  <c r="B1253" i="1"/>
  <c r="C1253" i="1"/>
  <c r="D1253" i="1"/>
  <c r="E1253" i="1"/>
  <c r="F1253" i="1"/>
  <c r="A594" i="1"/>
  <c r="B594" i="1"/>
  <c r="C594" i="1"/>
  <c r="D594" i="1"/>
  <c r="E594" i="1"/>
  <c r="F594" i="1"/>
  <c r="A1423" i="1"/>
  <c r="B1423" i="1"/>
  <c r="C1423" i="1"/>
  <c r="D1423" i="1"/>
  <c r="E1423" i="1"/>
  <c r="F1423" i="1"/>
  <c r="A1421" i="1" l="1"/>
  <c r="B1421" i="1"/>
  <c r="C1421" i="1"/>
  <c r="D1421" i="1"/>
  <c r="E1421" i="1"/>
  <c r="F1421" i="1"/>
  <c r="F1275" i="1" l="1"/>
  <c r="E1275" i="1"/>
  <c r="D1275" i="1"/>
  <c r="C1275" i="1"/>
  <c r="B1275" i="1"/>
  <c r="A1275" i="1"/>
  <c r="F1274" i="1"/>
  <c r="E1274" i="1"/>
  <c r="D1274" i="1"/>
  <c r="C1274" i="1"/>
  <c r="B1274" i="1"/>
  <c r="A1274" i="1"/>
  <c r="A986" i="1"/>
  <c r="B986" i="1"/>
  <c r="C986" i="1"/>
  <c r="D986" i="1"/>
  <c r="E986" i="1"/>
  <c r="F986" i="1"/>
  <c r="A987" i="1"/>
  <c r="B987" i="1"/>
  <c r="C987" i="1"/>
  <c r="D987" i="1"/>
  <c r="E987" i="1"/>
  <c r="F987" i="1"/>
  <c r="F618" i="1" l="1"/>
  <c r="E618" i="1"/>
  <c r="D618" i="1"/>
  <c r="C618" i="1"/>
  <c r="B618" i="1"/>
  <c r="A618" i="1"/>
  <c r="F1378" i="1"/>
  <c r="E1378" i="1"/>
  <c r="D1378" i="1"/>
  <c r="C1378" i="1"/>
  <c r="B1378" i="1"/>
  <c r="A1378" i="1"/>
  <c r="F1366" i="1"/>
  <c r="E1366" i="1"/>
  <c r="D1366" i="1"/>
  <c r="C1366" i="1"/>
  <c r="B1366" i="1"/>
  <c r="A1366" i="1"/>
  <c r="F1372" i="1"/>
  <c r="E1372" i="1"/>
  <c r="D1372" i="1"/>
  <c r="C1372" i="1"/>
  <c r="B1372" i="1"/>
  <c r="A1372" i="1"/>
  <c r="F641" i="1"/>
  <c r="E641" i="1"/>
  <c r="D641" i="1"/>
  <c r="C641" i="1"/>
  <c r="B641" i="1"/>
  <c r="A641" i="1"/>
  <c r="A636" i="1"/>
  <c r="B636" i="1"/>
  <c r="C636" i="1"/>
  <c r="D636" i="1"/>
  <c r="E636" i="1"/>
  <c r="F636" i="1"/>
  <c r="A625" i="1"/>
  <c r="B625" i="1"/>
  <c r="C625" i="1"/>
  <c r="D625" i="1"/>
  <c r="E625" i="1"/>
  <c r="F625" i="1"/>
  <c r="A398" i="1" l="1"/>
  <c r="A399" i="1"/>
  <c r="A400" i="1"/>
  <c r="A401" i="1"/>
  <c r="A402" i="1"/>
  <c r="A403" i="1"/>
  <c r="A404" i="1"/>
  <c r="A405" i="1"/>
  <c r="A406" i="1"/>
  <c r="A407" i="1"/>
  <c r="A408" i="1"/>
  <c r="A409" i="1"/>
  <c r="A410" i="1"/>
  <c r="B398" i="1"/>
  <c r="C398" i="1"/>
  <c r="D398" i="1"/>
  <c r="E398" i="1"/>
  <c r="F398" i="1"/>
  <c r="B399" i="1"/>
  <c r="C399" i="1"/>
  <c r="D399" i="1"/>
  <c r="E399" i="1"/>
  <c r="F399" i="1"/>
  <c r="B400" i="1"/>
  <c r="C400" i="1"/>
  <c r="D400" i="1"/>
  <c r="E400" i="1"/>
  <c r="F400" i="1"/>
  <c r="B401" i="1"/>
  <c r="C401" i="1"/>
  <c r="D401" i="1"/>
  <c r="E401" i="1"/>
  <c r="F401" i="1"/>
  <c r="B402" i="1"/>
  <c r="C402" i="1"/>
  <c r="D402" i="1"/>
  <c r="E402" i="1"/>
  <c r="F402" i="1"/>
  <c r="B403" i="1"/>
  <c r="C403" i="1"/>
  <c r="D403" i="1"/>
  <c r="E403" i="1"/>
  <c r="F403" i="1"/>
  <c r="B404" i="1"/>
  <c r="C404" i="1"/>
  <c r="D404" i="1"/>
  <c r="E404" i="1"/>
  <c r="F404" i="1"/>
  <c r="B405" i="1"/>
  <c r="C405" i="1"/>
  <c r="D405" i="1"/>
  <c r="E405" i="1"/>
  <c r="F405" i="1"/>
  <c r="B406" i="1"/>
  <c r="C406" i="1"/>
  <c r="D406" i="1"/>
  <c r="E406" i="1"/>
  <c r="F406" i="1"/>
  <c r="B407" i="1"/>
  <c r="C407" i="1"/>
  <c r="D407" i="1"/>
  <c r="E407" i="1"/>
  <c r="F407" i="1"/>
  <c r="B408" i="1"/>
  <c r="C408" i="1"/>
  <c r="D408" i="1"/>
  <c r="E408" i="1"/>
  <c r="F408" i="1"/>
  <c r="A1081" i="1"/>
  <c r="B1081" i="1"/>
  <c r="C1081" i="1"/>
  <c r="D1081" i="1"/>
  <c r="E1081" i="1"/>
  <c r="F1081" i="1"/>
  <c r="F1270" i="1"/>
  <c r="E1270" i="1"/>
  <c r="D1270" i="1"/>
  <c r="C1270" i="1"/>
  <c r="B1270" i="1"/>
  <c r="A1270" i="1"/>
  <c r="A501" i="1" l="1"/>
  <c r="A502" i="1"/>
  <c r="A503" i="1"/>
  <c r="A504" i="1"/>
  <c r="A505" i="1"/>
  <c r="A506" i="1"/>
  <c r="A507" i="1"/>
  <c r="A508" i="1"/>
  <c r="A509" i="1"/>
  <c r="A510" i="1"/>
  <c r="A511" i="1"/>
  <c r="A512" i="1"/>
  <c r="A513" i="1"/>
  <c r="A434" i="1"/>
  <c r="A435" i="1"/>
  <c r="A436" i="1"/>
  <c r="A437" i="1"/>
  <c r="A438" i="1"/>
  <c r="A439" i="1"/>
  <c r="A440" i="1"/>
  <c r="A441" i="1"/>
  <c r="A442" i="1"/>
  <c r="A443" i="1"/>
  <c r="A444" i="1"/>
  <c r="A445" i="1"/>
  <c r="A446" i="1"/>
  <c r="A447" i="1"/>
  <c r="A448" i="1"/>
  <c r="B501" i="1"/>
  <c r="C501" i="1"/>
  <c r="D501" i="1"/>
  <c r="E501" i="1"/>
  <c r="F501" i="1"/>
  <c r="B434" i="1"/>
  <c r="C434" i="1"/>
  <c r="D434" i="1"/>
  <c r="E434" i="1"/>
  <c r="F434" i="1"/>
  <c r="B435" i="1"/>
  <c r="C435" i="1"/>
  <c r="D435" i="1"/>
  <c r="E435" i="1"/>
  <c r="F435" i="1"/>
  <c r="B436" i="1"/>
  <c r="C436" i="1"/>
  <c r="D436" i="1"/>
  <c r="E436" i="1"/>
  <c r="F43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B347" i="1"/>
  <c r="C347" i="1"/>
  <c r="D347" i="1"/>
  <c r="E347" i="1"/>
  <c r="F347" i="1"/>
  <c r="B348" i="1"/>
  <c r="C348" i="1"/>
  <c r="D348" i="1"/>
  <c r="E348" i="1"/>
  <c r="F348" i="1"/>
  <c r="B349" i="1"/>
  <c r="C349" i="1"/>
  <c r="D349" i="1"/>
  <c r="E349" i="1"/>
  <c r="F349" i="1"/>
  <c r="B350" i="1"/>
  <c r="C350" i="1"/>
  <c r="D350" i="1"/>
  <c r="E350" i="1"/>
  <c r="F350" i="1"/>
  <c r="B351" i="1"/>
  <c r="C351" i="1"/>
  <c r="D351" i="1"/>
  <c r="E351" i="1"/>
  <c r="F351" i="1"/>
  <c r="B352" i="1"/>
  <c r="C352" i="1"/>
  <c r="D352" i="1"/>
  <c r="E352" i="1"/>
  <c r="F352" i="1"/>
  <c r="B353" i="1"/>
  <c r="C353" i="1"/>
  <c r="D353" i="1"/>
  <c r="E353" i="1"/>
  <c r="F353" i="1"/>
  <c r="B354" i="1"/>
  <c r="C354" i="1"/>
  <c r="D354" i="1"/>
  <c r="E354" i="1"/>
  <c r="F354" i="1"/>
  <c r="B355" i="1"/>
  <c r="C355" i="1"/>
  <c r="D355" i="1"/>
  <c r="E355" i="1"/>
  <c r="F355" i="1"/>
  <c r="B356" i="1"/>
  <c r="C356" i="1"/>
  <c r="D356" i="1"/>
  <c r="E356" i="1"/>
  <c r="F356" i="1"/>
  <c r="B357" i="1"/>
  <c r="C357" i="1"/>
  <c r="D357" i="1"/>
  <c r="E357" i="1"/>
  <c r="F357" i="1"/>
  <c r="B358" i="1"/>
  <c r="C358" i="1"/>
  <c r="D358" i="1"/>
  <c r="E358" i="1"/>
  <c r="F358" i="1"/>
  <c r="B359" i="1"/>
  <c r="C359" i="1"/>
  <c r="D359" i="1"/>
  <c r="E359" i="1"/>
  <c r="F359" i="1"/>
  <c r="B360" i="1"/>
  <c r="C360" i="1"/>
  <c r="D360" i="1"/>
  <c r="E360" i="1"/>
  <c r="F360" i="1"/>
  <c r="B361" i="1"/>
  <c r="C361" i="1"/>
  <c r="D361" i="1"/>
  <c r="E361" i="1"/>
  <c r="F361" i="1"/>
  <c r="B362" i="1"/>
  <c r="C362" i="1"/>
  <c r="D362" i="1"/>
  <c r="E362" i="1"/>
  <c r="F362" i="1"/>
  <c r="B363" i="1"/>
  <c r="C363" i="1"/>
  <c r="D363" i="1"/>
  <c r="E363" i="1"/>
  <c r="F363" i="1"/>
  <c r="B364" i="1"/>
  <c r="C364" i="1"/>
  <c r="D364" i="1"/>
  <c r="E364" i="1"/>
  <c r="F364" i="1"/>
  <c r="B365" i="1"/>
  <c r="C365" i="1"/>
  <c r="D365" i="1"/>
  <c r="E365" i="1"/>
  <c r="F365" i="1"/>
  <c r="B366" i="1"/>
  <c r="C366" i="1"/>
  <c r="D366" i="1"/>
  <c r="E366" i="1"/>
  <c r="F366" i="1"/>
  <c r="B367" i="1"/>
  <c r="C367" i="1"/>
  <c r="D367" i="1"/>
  <c r="E367" i="1"/>
  <c r="F367" i="1"/>
  <c r="B368" i="1"/>
  <c r="C368" i="1"/>
  <c r="D368" i="1"/>
  <c r="E368" i="1"/>
  <c r="F368" i="1"/>
  <c r="A287" i="1"/>
  <c r="B287" i="1"/>
  <c r="C287" i="1"/>
  <c r="D287" i="1"/>
  <c r="E287" i="1"/>
  <c r="F287" i="1"/>
  <c r="A288" i="1"/>
  <c r="B288" i="1"/>
  <c r="C288" i="1"/>
  <c r="D288" i="1"/>
  <c r="E288" i="1"/>
  <c r="F288" i="1"/>
  <c r="A289" i="1"/>
  <c r="B289" i="1"/>
  <c r="C289" i="1"/>
  <c r="D289" i="1"/>
  <c r="E289" i="1"/>
  <c r="F289" i="1"/>
  <c r="A290" i="1"/>
  <c r="B290" i="1"/>
  <c r="C290" i="1"/>
  <c r="D290" i="1"/>
  <c r="E290" i="1"/>
  <c r="F290" i="1"/>
  <c r="A291" i="1"/>
  <c r="B291" i="1"/>
  <c r="C291" i="1"/>
  <c r="D291" i="1"/>
  <c r="E291" i="1"/>
  <c r="F291" i="1"/>
  <c r="A292" i="1"/>
  <c r="B292" i="1"/>
  <c r="C292" i="1"/>
  <c r="D292" i="1"/>
  <c r="E292" i="1"/>
  <c r="F292" i="1"/>
  <c r="A293" i="1"/>
  <c r="B293" i="1"/>
  <c r="C293" i="1"/>
  <c r="D293" i="1"/>
  <c r="E293" i="1"/>
  <c r="F293" i="1"/>
  <c r="A294" i="1"/>
  <c r="B294" i="1"/>
  <c r="C294" i="1"/>
  <c r="D294" i="1"/>
  <c r="E294" i="1"/>
  <c r="F294" i="1"/>
  <c r="A295" i="1"/>
  <c r="B295" i="1"/>
  <c r="C295" i="1"/>
  <c r="D295" i="1"/>
  <c r="E295" i="1"/>
  <c r="F295" i="1"/>
  <c r="A296" i="1"/>
  <c r="B296" i="1"/>
  <c r="C296" i="1"/>
  <c r="D296" i="1"/>
  <c r="E296" i="1"/>
  <c r="F296" i="1"/>
  <c r="A297" i="1"/>
  <c r="B297" i="1"/>
  <c r="C297" i="1"/>
  <c r="D297" i="1"/>
  <c r="E297" i="1"/>
  <c r="F297" i="1"/>
  <c r="A298" i="1"/>
  <c r="B298" i="1"/>
  <c r="C298" i="1"/>
  <c r="D298" i="1"/>
  <c r="E298" i="1"/>
  <c r="F298" i="1"/>
  <c r="A299" i="1"/>
  <c r="B299" i="1"/>
  <c r="C299" i="1"/>
  <c r="D299" i="1"/>
  <c r="E299" i="1"/>
  <c r="F299" i="1"/>
  <c r="A145" i="1" l="1"/>
  <c r="A146" i="1"/>
  <c r="A147" i="1"/>
  <c r="A148" i="1"/>
  <c r="A149" i="1"/>
  <c r="A150" i="1"/>
  <c r="A151" i="1"/>
  <c r="A152" i="1"/>
  <c r="A153" i="1"/>
  <c r="A154" i="1"/>
  <c r="A155" i="1"/>
  <c r="A156" i="1"/>
  <c r="A157" i="1"/>
  <c r="A231" i="1"/>
  <c r="B231" i="1"/>
  <c r="C231" i="1"/>
  <c r="D231" i="1"/>
  <c r="E231" i="1"/>
  <c r="F231" i="1"/>
  <c r="A269" i="1"/>
  <c r="B269" i="1"/>
  <c r="C269" i="1"/>
  <c r="D269" i="1"/>
  <c r="E269" i="1"/>
  <c r="F269" i="1"/>
  <c r="A271" i="1"/>
  <c r="B271" i="1"/>
  <c r="C271" i="1"/>
  <c r="D271" i="1"/>
  <c r="E271" i="1"/>
  <c r="F271" i="1"/>
  <c r="A281" i="1"/>
  <c r="B281" i="1"/>
  <c r="C281" i="1"/>
  <c r="D281" i="1"/>
  <c r="E281" i="1"/>
  <c r="F281" i="1"/>
  <c r="A343" i="1"/>
  <c r="B343" i="1"/>
  <c r="C343" i="1"/>
  <c r="D343" i="1"/>
  <c r="E343" i="1"/>
  <c r="F343" i="1"/>
  <c r="A425" i="1"/>
  <c r="B425" i="1"/>
  <c r="C425" i="1"/>
  <c r="D425" i="1"/>
  <c r="E425" i="1"/>
  <c r="F425" i="1"/>
  <c r="A432" i="1"/>
  <c r="B432" i="1"/>
  <c r="C432" i="1"/>
  <c r="D432" i="1"/>
  <c r="E432" i="1"/>
  <c r="F432" i="1"/>
  <c r="B437" i="1"/>
  <c r="C437" i="1"/>
  <c r="D437" i="1"/>
  <c r="E437" i="1"/>
  <c r="F437" i="1"/>
  <c r="A1277" i="1"/>
  <c r="A1278" i="1"/>
  <c r="A1279" i="1"/>
  <c r="A1280" i="1"/>
  <c r="A1281" i="1"/>
  <c r="A1282" i="1"/>
  <c r="A1283" i="1"/>
  <c r="A1284" i="1"/>
  <c r="A1285" i="1"/>
  <c r="A1286" i="1"/>
  <c r="A1287" i="1"/>
  <c r="A1288" i="1"/>
  <c r="A1289" i="1"/>
  <c r="A1308" i="1"/>
  <c r="A1309" i="1"/>
  <c r="A1310" i="1"/>
  <c r="A1311" i="1"/>
  <c r="A1312" i="1"/>
  <c r="A1313" i="1"/>
  <c r="A1314" i="1"/>
  <c r="A1315" i="1"/>
  <c r="A1316" i="1"/>
  <c r="A1317" i="1"/>
  <c r="A1318" i="1"/>
  <c r="A1319" i="1"/>
  <c r="A1320" i="1"/>
  <c r="A1343" i="1"/>
  <c r="A1344" i="1"/>
  <c r="A1345" i="1"/>
  <c r="A1346" i="1"/>
  <c r="A1347" i="1"/>
  <c r="A1348" i="1"/>
  <c r="A1349" i="1"/>
  <c r="A1350" i="1"/>
  <c r="A1351" i="1"/>
  <c r="A1352" i="1"/>
  <c r="A1353" i="1"/>
  <c r="A1354" i="1"/>
  <c r="A1355" i="1"/>
  <c r="A1360" i="1"/>
  <c r="A1361" i="1"/>
  <c r="A1362" i="1"/>
  <c r="A1363" i="1"/>
  <c r="A1364" i="1"/>
  <c r="A1365" i="1"/>
  <c r="A1367" i="1"/>
  <c r="A1368" i="1"/>
  <c r="A1369" i="1"/>
  <c r="A1370" i="1"/>
  <c r="A1371" i="1"/>
  <c r="A1373" i="1"/>
  <c r="A1374" i="1"/>
  <c r="A1410" i="1"/>
  <c r="A1411" i="1"/>
  <c r="A1412" i="1"/>
  <c r="A1413" i="1"/>
  <c r="A1414" i="1"/>
  <c r="A1415" i="1"/>
  <c r="A1416" i="1"/>
  <c r="A1417" i="1"/>
  <c r="A1418" i="1"/>
  <c r="A1419" i="1"/>
  <c r="A1420" i="1"/>
  <c r="A1422" i="1"/>
  <c r="B1277" i="1"/>
  <c r="C1277" i="1"/>
  <c r="D1277" i="1"/>
  <c r="E1277" i="1"/>
  <c r="F1277" i="1"/>
  <c r="B1308" i="1"/>
  <c r="C1308" i="1"/>
  <c r="D1308" i="1"/>
  <c r="E1308" i="1"/>
  <c r="F1308" i="1"/>
  <c r="B1343" i="1"/>
  <c r="C1343" i="1"/>
  <c r="D1343" i="1"/>
  <c r="E1343" i="1"/>
  <c r="F1343" i="1"/>
  <c r="B1360" i="1"/>
  <c r="C1360" i="1"/>
  <c r="D1360" i="1"/>
  <c r="E1360" i="1"/>
  <c r="F1360" i="1"/>
  <c r="B1410" i="1"/>
  <c r="C1410" i="1"/>
  <c r="D1410" i="1"/>
  <c r="E1410" i="1"/>
  <c r="F1410" i="1"/>
  <c r="A101" i="1"/>
  <c r="B101" i="1"/>
  <c r="C101" i="1"/>
  <c r="D101" i="1"/>
  <c r="E101" i="1"/>
  <c r="F101" i="1"/>
  <c r="A102" i="1"/>
  <c r="B102" i="1"/>
  <c r="C102" i="1"/>
  <c r="D102" i="1"/>
  <c r="E102" i="1"/>
  <c r="F102" i="1"/>
  <c r="A103" i="1"/>
  <c r="B103" i="1"/>
  <c r="C103" i="1"/>
  <c r="D103" i="1"/>
  <c r="E103" i="1"/>
  <c r="F103" i="1"/>
  <c r="A104" i="1"/>
  <c r="B104" i="1"/>
  <c r="C104" i="1"/>
  <c r="D104" i="1"/>
  <c r="E104" i="1"/>
  <c r="F104" i="1"/>
  <c r="A105" i="1"/>
  <c r="B105" i="1"/>
  <c r="C105" i="1"/>
  <c r="D105" i="1"/>
  <c r="E105" i="1"/>
  <c r="F105" i="1"/>
  <c r="A106" i="1"/>
  <c r="B106" i="1"/>
  <c r="C106" i="1"/>
  <c r="D106" i="1"/>
  <c r="E106" i="1"/>
  <c r="F106" i="1"/>
  <c r="A107" i="1"/>
  <c r="B107" i="1"/>
  <c r="C107" i="1"/>
  <c r="D107" i="1"/>
  <c r="E107" i="1"/>
  <c r="F107" i="1"/>
  <c r="A108" i="1"/>
  <c r="B108" i="1"/>
  <c r="C108" i="1"/>
  <c r="D108" i="1"/>
  <c r="E108" i="1"/>
  <c r="F108" i="1"/>
  <c r="A109" i="1"/>
  <c r="B109" i="1"/>
  <c r="C109" i="1"/>
  <c r="D109" i="1"/>
  <c r="E109" i="1"/>
  <c r="F109" i="1"/>
  <c r="A112" i="1"/>
  <c r="B112" i="1"/>
  <c r="C112" i="1"/>
  <c r="D112" i="1"/>
  <c r="E112" i="1"/>
  <c r="F112" i="1"/>
  <c r="A113" i="1"/>
  <c r="B113" i="1"/>
  <c r="C113" i="1"/>
  <c r="D113" i="1"/>
  <c r="E113" i="1"/>
  <c r="F113" i="1"/>
  <c r="A114" i="1"/>
  <c r="B114" i="1"/>
  <c r="C114" i="1"/>
  <c r="D114" i="1"/>
  <c r="E114" i="1"/>
  <c r="F114" i="1"/>
  <c r="A115" i="1"/>
  <c r="B115" i="1"/>
  <c r="C115" i="1"/>
  <c r="D115" i="1"/>
  <c r="E115" i="1"/>
  <c r="F115" i="1"/>
  <c r="A116" i="1"/>
  <c r="B116" i="1"/>
  <c r="C116" i="1"/>
  <c r="D116" i="1"/>
  <c r="E116" i="1"/>
  <c r="F116" i="1"/>
  <c r="A117" i="1"/>
  <c r="B117" i="1"/>
  <c r="C117" i="1"/>
  <c r="D117" i="1"/>
  <c r="E117" i="1"/>
  <c r="F117" i="1"/>
  <c r="A118" i="1"/>
  <c r="B118" i="1"/>
  <c r="C118" i="1"/>
  <c r="D118" i="1"/>
  <c r="E118" i="1"/>
  <c r="F118" i="1"/>
  <c r="A119" i="1"/>
  <c r="B119" i="1"/>
  <c r="C119" i="1"/>
  <c r="D119" i="1"/>
  <c r="E119" i="1"/>
  <c r="F119" i="1"/>
  <c r="A121" i="1"/>
  <c r="B121" i="1"/>
  <c r="C121" i="1"/>
  <c r="D121" i="1"/>
  <c r="E121" i="1"/>
  <c r="F121" i="1"/>
  <c r="A122" i="1"/>
  <c r="B122" i="1"/>
  <c r="C122" i="1"/>
  <c r="D122" i="1"/>
  <c r="E122" i="1"/>
  <c r="F122" i="1"/>
  <c r="A123" i="1"/>
  <c r="B123" i="1"/>
  <c r="C123" i="1"/>
  <c r="D123" i="1"/>
  <c r="E123" i="1"/>
  <c r="F123" i="1"/>
  <c r="A125" i="1"/>
  <c r="B125" i="1"/>
  <c r="C125" i="1"/>
  <c r="D125" i="1"/>
  <c r="E125" i="1"/>
  <c r="F125" i="1"/>
  <c r="A124" i="1"/>
  <c r="B124" i="1"/>
  <c r="C124" i="1"/>
  <c r="D124" i="1"/>
  <c r="E124" i="1"/>
  <c r="F124" i="1"/>
  <c r="A129" i="1"/>
  <c r="B129" i="1"/>
  <c r="C129" i="1"/>
  <c r="D129" i="1"/>
  <c r="E129" i="1"/>
  <c r="F129" i="1"/>
  <c r="A132" i="1"/>
  <c r="B132" i="1"/>
  <c r="C132" i="1"/>
  <c r="D132" i="1"/>
  <c r="E132" i="1"/>
  <c r="F132" i="1"/>
  <c r="A133" i="1"/>
  <c r="B133" i="1"/>
  <c r="C133" i="1"/>
  <c r="D133" i="1"/>
  <c r="E133" i="1"/>
  <c r="F133" i="1"/>
  <c r="A135" i="1"/>
  <c r="B135" i="1"/>
  <c r="C135" i="1"/>
  <c r="D135" i="1"/>
  <c r="E135" i="1"/>
  <c r="F135" i="1"/>
  <c r="A134" i="1"/>
  <c r="B134" i="1"/>
  <c r="C134" i="1"/>
  <c r="D134" i="1"/>
  <c r="E134" i="1"/>
  <c r="F134" i="1"/>
  <c r="A136" i="1"/>
  <c r="B136" i="1"/>
  <c r="C136" i="1"/>
  <c r="D136" i="1"/>
  <c r="E136" i="1"/>
  <c r="F136" i="1"/>
  <c r="A137" i="1"/>
  <c r="B137" i="1"/>
  <c r="C137" i="1"/>
  <c r="D137" i="1"/>
  <c r="E137" i="1"/>
  <c r="F137" i="1"/>
  <c r="A138" i="1"/>
  <c r="B138" i="1"/>
  <c r="C138" i="1"/>
  <c r="D138" i="1"/>
  <c r="E138" i="1"/>
  <c r="F138" i="1"/>
  <c r="A141" i="1"/>
  <c r="B141" i="1"/>
  <c r="C141" i="1"/>
  <c r="D141" i="1"/>
  <c r="E141" i="1"/>
  <c r="F141" i="1"/>
  <c r="A110" i="1"/>
  <c r="A111" i="1"/>
  <c r="A120" i="1"/>
  <c r="A126" i="1"/>
  <c r="A127" i="1"/>
  <c r="A128" i="1"/>
  <c r="A130" i="1"/>
  <c r="A131" i="1"/>
  <c r="A139" i="1"/>
  <c r="A140" i="1"/>
  <c r="A142" i="1"/>
  <c r="A143" i="1"/>
  <c r="A144" i="1"/>
  <c r="A30" i="1" l="1"/>
  <c r="B30" i="1"/>
  <c r="C30" i="1"/>
  <c r="D30" i="1"/>
  <c r="E30" i="1"/>
  <c r="F30" i="1"/>
  <c r="A31" i="1"/>
  <c r="B31" i="1"/>
  <c r="C31" i="1"/>
  <c r="D31" i="1"/>
  <c r="E31" i="1"/>
  <c r="F31" i="1"/>
  <c r="A32" i="1"/>
  <c r="B32" i="1"/>
  <c r="C32" i="1"/>
  <c r="D32" i="1"/>
  <c r="E32" i="1"/>
  <c r="F32" i="1"/>
  <c r="A33" i="1"/>
  <c r="B33" i="1"/>
  <c r="C33" i="1"/>
  <c r="D33" i="1"/>
  <c r="E33" i="1"/>
  <c r="F33" i="1"/>
  <c r="A34" i="1"/>
  <c r="B34" i="1"/>
  <c r="C34" i="1"/>
  <c r="D34" i="1"/>
  <c r="E34" i="1"/>
  <c r="F34" i="1"/>
  <c r="A35" i="1"/>
  <c r="B35" i="1"/>
  <c r="C35" i="1"/>
  <c r="D35" i="1"/>
  <c r="E35" i="1"/>
  <c r="F35" i="1"/>
  <c r="A36" i="1"/>
  <c r="B36" i="1"/>
  <c r="C36" i="1"/>
  <c r="D36" i="1"/>
  <c r="E36" i="1"/>
  <c r="F36" i="1"/>
  <c r="A37" i="1"/>
  <c r="B37" i="1"/>
  <c r="C37" i="1"/>
  <c r="D37" i="1"/>
  <c r="E37" i="1"/>
  <c r="F37" i="1"/>
  <c r="A38" i="1"/>
  <c r="B38" i="1"/>
  <c r="C38" i="1"/>
  <c r="D38" i="1"/>
  <c r="E38" i="1"/>
  <c r="F38" i="1"/>
  <c r="A39" i="1"/>
  <c r="B39" i="1"/>
  <c r="C39" i="1"/>
  <c r="D39" i="1"/>
  <c r="E39" i="1"/>
  <c r="F39" i="1"/>
  <c r="A40" i="1"/>
  <c r="B40" i="1"/>
  <c r="C40" i="1"/>
  <c r="D40" i="1"/>
  <c r="E40" i="1"/>
  <c r="F40" i="1"/>
  <c r="A41" i="1"/>
  <c r="B41" i="1"/>
  <c r="C41" i="1"/>
  <c r="D41" i="1"/>
  <c r="E41" i="1"/>
  <c r="F41" i="1"/>
  <c r="A42" i="1"/>
  <c r="B42" i="1"/>
  <c r="C42" i="1"/>
  <c r="D42" i="1"/>
  <c r="E42" i="1"/>
  <c r="F42" i="1"/>
  <c r="A43" i="1"/>
  <c r="B43" i="1"/>
  <c r="C43" i="1"/>
  <c r="D43" i="1"/>
  <c r="E43" i="1"/>
  <c r="F43" i="1"/>
  <c r="A44" i="1"/>
  <c r="B44" i="1"/>
  <c r="C44" i="1"/>
  <c r="D44" i="1"/>
  <c r="E44" i="1"/>
  <c r="F44" i="1"/>
  <c r="A45" i="1"/>
  <c r="B45" i="1"/>
  <c r="C45" i="1"/>
  <c r="D45" i="1"/>
  <c r="E45" i="1"/>
  <c r="F45" i="1"/>
  <c r="A46" i="1"/>
  <c r="B46" i="1"/>
  <c r="C46" i="1"/>
  <c r="D46" i="1"/>
  <c r="E46" i="1"/>
  <c r="F46" i="1"/>
  <c r="A47" i="1"/>
  <c r="B47" i="1"/>
  <c r="C47" i="1"/>
  <c r="D47" i="1"/>
  <c r="E47" i="1"/>
  <c r="F47" i="1"/>
  <c r="A48" i="1"/>
  <c r="B48" i="1"/>
  <c r="C48" i="1"/>
  <c r="D48" i="1"/>
  <c r="E48" i="1"/>
  <c r="F48" i="1"/>
  <c r="A49" i="1"/>
  <c r="B49" i="1"/>
  <c r="C49" i="1"/>
  <c r="D49" i="1"/>
  <c r="E49" i="1"/>
  <c r="F49" i="1"/>
  <c r="A50" i="1"/>
  <c r="B50" i="1"/>
  <c r="C50" i="1"/>
  <c r="D50" i="1"/>
  <c r="E50" i="1"/>
  <c r="F50" i="1"/>
  <c r="A51" i="1"/>
  <c r="B51" i="1"/>
  <c r="C51" i="1"/>
  <c r="D51" i="1"/>
  <c r="E51" i="1"/>
  <c r="F51" i="1"/>
  <c r="A52" i="1"/>
  <c r="B52" i="1"/>
  <c r="C52" i="1"/>
  <c r="D52" i="1"/>
  <c r="E52" i="1"/>
  <c r="F52" i="1"/>
  <c r="A53" i="1"/>
  <c r="B53" i="1"/>
  <c r="C53" i="1"/>
  <c r="D53" i="1"/>
  <c r="E53" i="1"/>
  <c r="F53" i="1"/>
  <c r="A54" i="1"/>
  <c r="B54" i="1"/>
  <c r="C54" i="1"/>
  <c r="D54" i="1"/>
  <c r="E54" i="1"/>
  <c r="F54" i="1"/>
  <c r="A55" i="1"/>
  <c r="B55" i="1"/>
  <c r="C55" i="1"/>
  <c r="D55" i="1"/>
  <c r="E55" i="1"/>
  <c r="F55" i="1"/>
  <c r="A56" i="1"/>
  <c r="B56" i="1"/>
  <c r="C56" i="1"/>
  <c r="D56" i="1"/>
  <c r="E56" i="1"/>
  <c r="F56" i="1"/>
  <c r="A57" i="1"/>
  <c r="B57" i="1"/>
  <c r="C57" i="1"/>
  <c r="D57" i="1"/>
  <c r="E57" i="1"/>
  <c r="F57" i="1"/>
  <c r="A58" i="1"/>
  <c r="B58" i="1"/>
  <c r="C58" i="1"/>
  <c r="D58" i="1"/>
  <c r="E58" i="1"/>
  <c r="F58" i="1"/>
  <c r="A59" i="1"/>
  <c r="B59" i="1"/>
  <c r="C59" i="1"/>
  <c r="D59" i="1"/>
  <c r="E59" i="1"/>
  <c r="F59" i="1"/>
  <c r="A60" i="1"/>
  <c r="B60" i="1"/>
  <c r="C60" i="1"/>
  <c r="D60" i="1"/>
  <c r="E60" i="1"/>
  <c r="F60" i="1"/>
  <c r="A61" i="1"/>
  <c r="B61" i="1"/>
  <c r="C61" i="1"/>
  <c r="D61" i="1"/>
  <c r="E61" i="1"/>
  <c r="F61" i="1"/>
  <c r="A62" i="1"/>
  <c r="B62" i="1"/>
  <c r="C62" i="1"/>
  <c r="D62" i="1"/>
  <c r="E62" i="1"/>
  <c r="F62" i="1"/>
  <c r="A63" i="1"/>
  <c r="B63" i="1"/>
  <c r="C63" i="1"/>
  <c r="D63" i="1"/>
  <c r="E63" i="1"/>
  <c r="F63" i="1"/>
  <c r="A64" i="1"/>
  <c r="B64" i="1"/>
  <c r="C64" i="1"/>
  <c r="D64" i="1"/>
  <c r="E64" i="1"/>
  <c r="F64" i="1"/>
  <c r="A65" i="1"/>
  <c r="B65" i="1"/>
  <c r="C65" i="1"/>
  <c r="D65" i="1"/>
  <c r="E65" i="1"/>
  <c r="F65" i="1"/>
  <c r="A66" i="1"/>
  <c r="B66" i="1"/>
  <c r="C66" i="1"/>
  <c r="D66" i="1"/>
  <c r="E66" i="1"/>
  <c r="F66" i="1"/>
  <c r="A67" i="1"/>
  <c r="B67" i="1"/>
  <c r="C67" i="1"/>
  <c r="D67" i="1"/>
  <c r="E67" i="1"/>
  <c r="F67" i="1"/>
  <c r="A68" i="1"/>
  <c r="B68" i="1"/>
  <c r="C68" i="1"/>
  <c r="D68" i="1"/>
  <c r="E68" i="1"/>
  <c r="F68" i="1"/>
  <c r="A69" i="1"/>
  <c r="B69" i="1"/>
  <c r="C69" i="1"/>
  <c r="D69" i="1"/>
  <c r="E69" i="1"/>
  <c r="F69" i="1"/>
  <c r="A70" i="1"/>
  <c r="B70" i="1"/>
  <c r="C70" i="1"/>
  <c r="D70" i="1"/>
  <c r="E70" i="1"/>
  <c r="F70" i="1"/>
  <c r="A71" i="1"/>
  <c r="B71" i="1"/>
  <c r="C71" i="1"/>
  <c r="D71" i="1"/>
  <c r="E71" i="1"/>
  <c r="F71" i="1"/>
  <c r="A72" i="1"/>
  <c r="B72" i="1"/>
  <c r="C72" i="1"/>
  <c r="D72" i="1"/>
  <c r="E72" i="1"/>
  <c r="F72" i="1"/>
  <c r="A73" i="1"/>
  <c r="B73" i="1"/>
  <c r="C73" i="1"/>
  <c r="D73" i="1"/>
  <c r="E73" i="1"/>
  <c r="F73" i="1"/>
  <c r="A74" i="1"/>
  <c r="B74" i="1"/>
  <c r="C74" i="1"/>
  <c r="D74" i="1"/>
  <c r="E74" i="1"/>
  <c r="F74" i="1"/>
  <c r="A75" i="1"/>
  <c r="B75" i="1"/>
  <c r="C75" i="1"/>
  <c r="D75" i="1"/>
  <c r="E75" i="1"/>
  <c r="F75" i="1"/>
  <c r="A76" i="1"/>
  <c r="B76" i="1"/>
  <c r="C76" i="1"/>
  <c r="D76" i="1"/>
  <c r="E76" i="1"/>
  <c r="F76" i="1"/>
  <c r="A77" i="1"/>
  <c r="B77" i="1"/>
  <c r="C77" i="1"/>
  <c r="D77" i="1"/>
  <c r="E77" i="1"/>
  <c r="F77" i="1"/>
  <c r="A78" i="1"/>
  <c r="B78" i="1"/>
  <c r="C78" i="1"/>
  <c r="D78" i="1"/>
  <c r="E78" i="1"/>
  <c r="F78" i="1"/>
  <c r="A79" i="1"/>
  <c r="B79" i="1"/>
  <c r="C79" i="1"/>
  <c r="D79" i="1"/>
  <c r="E79" i="1"/>
  <c r="F79" i="1"/>
  <c r="A80" i="1"/>
  <c r="B80" i="1"/>
  <c r="C80" i="1"/>
  <c r="D80" i="1"/>
  <c r="E80" i="1"/>
  <c r="F80" i="1"/>
  <c r="A81" i="1"/>
  <c r="B81" i="1"/>
  <c r="C81" i="1"/>
  <c r="D81" i="1"/>
  <c r="E81" i="1"/>
  <c r="F81" i="1"/>
  <c r="A82" i="1"/>
  <c r="B82" i="1"/>
  <c r="C82" i="1"/>
  <c r="D82" i="1"/>
  <c r="E82" i="1"/>
  <c r="F82" i="1"/>
  <c r="A83" i="1"/>
  <c r="B83" i="1"/>
  <c r="C83" i="1"/>
  <c r="D83" i="1"/>
  <c r="E83" i="1"/>
  <c r="F83" i="1"/>
  <c r="A84" i="1"/>
  <c r="B84" i="1"/>
  <c r="C84" i="1"/>
  <c r="D84" i="1"/>
  <c r="E84" i="1"/>
  <c r="F84" i="1"/>
  <c r="A85" i="1"/>
  <c r="B85" i="1"/>
  <c r="C85" i="1"/>
  <c r="D85" i="1"/>
  <c r="E85" i="1"/>
  <c r="F85" i="1"/>
  <c r="A86" i="1"/>
  <c r="B86" i="1"/>
  <c r="C86" i="1"/>
  <c r="D86" i="1"/>
  <c r="E86" i="1"/>
  <c r="F86" i="1"/>
  <c r="A87" i="1"/>
  <c r="B87" i="1"/>
  <c r="C87" i="1"/>
  <c r="D87" i="1"/>
  <c r="E87" i="1"/>
  <c r="F87" i="1"/>
  <c r="A88" i="1"/>
  <c r="B88" i="1"/>
  <c r="C88" i="1"/>
  <c r="D88" i="1"/>
  <c r="E88" i="1"/>
  <c r="F88" i="1"/>
  <c r="A89" i="1"/>
  <c r="B89" i="1"/>
  <c r="C89" i="1"/>
  <c r="D89" i="1"/>
  <c r="E89" i="1"/>
  <c r="F89" i="1"/>
  <c r="A90" i="1"/>
  <c r="B90" i="1"/>
  <c r="C90" i="1"/>
  <c r="D90" i="1"/>
  <c r="E90" i="1"/>
  <c r="F90" i="1"/>
  <c r="A91" i="1"/>
  <c r="B91" i="1"/>
  <c r="C91" i="1"/>
  <c r="D91" i="1"/>
  <c r="E91" i="1"/>
  <c r="F91" i="1"/>
  <c r="A92" i="1"/>
  <c r="B92" i="1"/>
  <c r="C92" i="1"/>
  <c r="D92" i="1"/>
  <c r="E92" i="1"/>
  <c r="F92" i="1"/>
  <c r="A93" i="1"/>
  <c r="B93" i="1"/>
  <c r="C93" i="1"/>
  <c r="D93" i="1"/>
  <c r="E93" i="1"/>
  <c r="F93" i="1"/>
  <c r="A94" i="1"/>
  <c r="B94" i="1"/>
  <c r="C94" i="1"/>
  <c r="D94" i="1"/>
  <c r="E94" i="1"/>
  <c r="F94" i="1"/>
  <c r="A95" i="1"/>
  <c r="B95" i="1"/>
  <c r="C95" i="1"/>
  <c r="D95" i="1"/>
  <c r="E95" i="1"/>
  <c r="F95" i="1"/>
  <c r="A96" i="1"/>
  <c r="B96" i="1"/>
  <c r="C96" i="1"/>
  <c r="D96" i="1"/>
  <c r="E96" i="1"/>
  <c r="F96" i="1"/>
  <c r="A97" i="1"/>
  <c r="B97" i="1"/>
  <c r="C97" i="1"/>
  <c r="D97" i="1"/>
  <c r="E97" i="1"/>
  <c r="F97" i="1"/>
  <c r="A99" i="1"/>
  <c r="B99" i="1"/>
  <c r="C99" i="1"/>
  <c r="D99" i="1"/>
  <c r="E99" i="1"/>
  <c r="F99" i="1"/>
  <c r="A100" i="1"/>
  <c r="B100" i="1"/>
  <c r="C100" i="1"/>
  <c r="D100" i="1"/>
  <c r="E100" i="1"/>
  <c r="F100" i="1"/>
  <c r="B110" i="1"/>
  <c r="C110" i="1"/>
  <c r="D110" i="1"/>
  <c r="E110" i="1"/>
  <c r="F110" i="1"/>
  <c r="B111" i="1"/>
  <c r="C111" i="1"/>
  <c r="D111" i="1"/>
  <c r="E111" i="1"/>
  <c r="F111" i="1"/>
  <c r="B120" i="1"/>
  <c r="C120" i="1"/>
  <c r="D120" i="1"/>
  <c r="E120" i="1"/>
  <c r="F120" i="1"/>
  <c r="B126" i="1"/>
  <c r="C126" i="1"/>
  <c r="D126" i="1"/>
  <c r="E126" i="1"/>
  <c r="F126" i="1"/>
  <c r="B127" i="1"/>
  <c r="C127" i="1"/>
  <c r="D127" i="1"/>
  <c r="E127" i="1"/>
  <c r="F127" i="1"/>
  <c r="B128" i="1"/>
  <c r="C128" i="1"/>
  <c r="D128" i="1"/>
  <c r="E128" i="1"/>
  <c r="F128" i="1"/>
  <c r="B130" i="1"/>
  <c r="C130" i="1"/>
  <c r="D130" i="1"/>
  <c r="E130" i="1"/>
  <c r="F130" i="1"/>
  <c r="B131" i="1"/>
  <c r="C131" i="1"/>
  <c r="D131" i="1"/>
  <c r="E131" i="1"/>
  <c r="F131" i="1"/>
  <c r="B139" i="1"/>
  <c r="C139" i="1"/>
  <c r="D139" i="1"/>
  <c r="E139" i="1"/>
  <c r="F139" i="1"/>
  <c r="B140" i="1"/>
  <c r="C140" i="1"/>
  <c r="D140" i="1"/>
  <c r="E140" i="1"/>
  <c r="F140" i="1"/>
  <c r="B142" i="1"/>
  <c r="C142" i="1"/>
  <c r="D142" i="1"/>
  <c r="E142" i="1"/>
  <c r="F142" i="1"/>
  <c r="B143" i="1"/>
  <c r="C143" i="1"/>
  <c r="D143" i="1"/>
  <c r="E143" i="1"/>
  <c r="F143" i="1"/>
  <c r="B144" i="1"/>
  <c r="C144" i="1"/>
  <c r="D144" i="1"/>
  <c r="E144" i="1"/>
  <c r="F144" i="1"/>
  <c r="B145" i="1"/>
  <c r="C145" i="1"/>
  <c r="D145" i="1"/>
  <c r="E145" i="1"/>
  <c r="F145" i="1"/>
  <c r="B146" i="1"/>
  <c r="C146" i="1"/>
  <c r="D146" i="1"/>
  <c r="E146" i="1"/>
  <c r="F146" i="1"/>
  <c r="B147" i="1"/>
  <c r="C147" i="1"/>
  <c r="D147" i="1"/>
  <c r="E147" i="1"/>
  <c r="F147" i="1"/>
  <c r="B148" i="1"/>
  <c r="C148" i="1"/>
  <c r="D148" i="1"/>
  <c r="E148" i="1"/>
  <c r="F148" i="1"/>
  <c r="B149" i="1"/>
  <c r="C149" i="1"/>
  <c r="D149" i="1"/>
  <c r="E149" i="1"/>
  <c r="F149" i="1"/>
  <c r="B150" i="1"/>
  <c r="C150" i="1"/>
  <c r="D150" i="1"/>
  <c r="E150" i="1"/>
  <c r="F150" i="1"/>
  <c r="B151" i="1"/>
  <c r="C151" i="1"/>
  <c r="D151" i="1"/>
  <c r="E151" i="1"/>
  <c r="F151" i="1"/>
  <c r="B152" i="1"/>
  <c r="C152" i="1"/>
  <c r="D152" i="1"/>
  <c r="E152" i="1"/>
  <c r="F152" i="1"/>
  <c r="B153" i="1"/>
  <c r="C153" i="1"/>
  <c r="D153" i="1"/>
  <c r="E153" i="1"/>
  <c r="F153" i="1"/>
  <c r="B154" i="1"/>
  <c r="C154" i="1"/>
  <c r="D154" i="1"/>
  <c r="E154" i="1"/>
  <c r="F154" i="1"/>
  <c r="B155" i="1"/>
  <c r="C155" i="1"/>
  <c r="D155" i="1"/>
  <c r="E155" i="1"/>
  <c r="F155" i="1"/>
  <c r="B156" i="1"/>
  <c r="C156" i="1"/>
  <c r="D156" i="1"/>
  <c r="E156" i="1"/>
  <c r="F156" i="1"/>
  <c r="B157" i="1"/>
  <c r="C157" i="1"/>
  <c r="D157" i="1"/>
  <c r="E157" i="1"/>
  <c r="F157" i="1"/>
  <c r="A158" i="1"/>
  <c r="B158" i="1"/>
  <c r="C158" i="1"/>
  <c r="D158" i="1"/>
  <c r="E158" i="1"/>
  <c r="F158" i="1"/>
  <c r="A159" i="1"/>
  <c r="B159" i="1"/>
  <c r="C159" i="1"/>
  <c r="D159" i="1"/>
  <c r="E159" i="1"/>
  <c r="F159" i="1"/>
  <c r="A160" i="1"/>
  <c r="B160" i="1"/>
  <c r="C160" i="1"/>
  <c r="D160" i="1"/>
  <c r="E160" i="1"/>
  <c r="F160" i="1"/>
  <c r="A161" i="1"/>
  <c r="B161" i="1"/>
  <c r="C161" i="1"/>
  <c r="D161" i="1"/>
  <c r="E161" i="1"/>
  <c r="F161" i="1"/>
  <c r="A162" i="1"/>
  <c r="B162" i="1"/>
  <c r="C162" i="1"/>
  <c r="D162" i="1"/>
  <c r="E162" i="1"/>
  <c r="F162" i="1"/>
  <c r="A163" i="1"/>
  <c r="B163" i="1"/>
  <c r="C163" i="1"/>
  <c r="D163" i="1"/>
  <c r="E163" i="1"/>
  <c r="F163" i="1"/>
  <c r="A164" i="1"/>
  <c r="B164" i="1"/>
  <c r="C164" i="1"/>
  <c r="D164" i="1"/>
  <c r="E164" i="1"/>
  <c r="F164" i="1"/>
  <c r="A165" i="1"/>
  <c r="B165" i="1"/>
  <c r="C165" i="1"/>
  <c r="D165" i="1"/>
  <c r="E165" i="1"/>
  <c r="F165" i="1"/>
  <c r="A166" i="1"/>
  <c r="B166" i="1"/>
  <c r="C166" i="1"/>
  <c r="D166" i="1"/>
  <c r="E166" i="1"/>
  <c r="F166" i="1"/>
  <c r="A167" i="1"/>
  <c r="B167" i="1"/>
  <c r="C167" i="1"/>
  <c r="D167" i="1"/>
  <c r="E167" i="1"/>
  <c r="F167" i="1"/>
  <c r="A168" i="1"/>
  <c r="B168" i="1"/>
  <c r="C168" i="1"/>
  <c r="D168" i="1"/>
  <c r="E168" i="1"/>
  <c r="F168" i="1"/>
  <c r="A169" i="1"/>
  <c r="B169" i="1"/>
  <c r="C169" i="1"/>
  <c r="D169" i="1"/>
  <c r="E169" i="1"/>
  <c r="F169" i="1"/>
  <c r="A170" i="1"/>
  <c r="B170" i="1"/>
  <c r="C170" i="1"/>
  <c r="D170" i="1"/>
  <c r="E170" i="1"/>
  <c r="F170" i="1"/>
  <c r="A171" i="1"/>
  <c r="B171" i="1"/>
  <c r="C171" i="1"/>
  <c r="D171" i="1"/>
  <c r="E171" i="1"/>
  <c r="F171" i="1"/>
  <c r="A172" i="1"/>
  <c r="B172" i="1"/>
  <c r="C172" i="1"/>
  <c r="D172" i="1"/>
  <c r="E172" i="1"/>
  <c r="F172" i="1"/>
  <c r="A173" i="1"/>
  <c r="B173" i="1"/>
  <c r="C173" i="1"/>
  <c r="D173" i="1"/>
  <c r="E173" i="1"/>
  <c r="F173" i="1"/>
  <c r="A174" i="1"/>
  <c r="B174" i="1"/>
  <c r="C174" i="1"/>
  <c r="D174" i="1"/>
  <c r="E174" i="1"/>
  <c r="F174" i="1"/>
  <c r="A175" i="1"/>
  <c r="B175" i="1"/>
  <c r="C175" i="1"/>
  <c r="D175" i="1"/>
  <c r="E175" i="1"/>
  <c r="F175" i="1"/>
  <c r="A176" i="1"/>
  <c r="B176" i="1"/>
  <c r="C176" i="1"/>
  <c r="D176" i="1"/>
  <c r="E176" i="1"/>
  <c r="F176" i="1"/>
  <c r="A177" i="1"/>
  <c r="B177" i="1"/>
  <c r="C177" i="1"/>
  <c r="D177" i="1"/>
  <c r="E177" i="1"/>
  <c r="F177" i="1"/>
  <c r="A178" i="1"/>
  <c r="B178" i="1"/>
  <c r="C178" i="1"/>
  <c r="D178" i="1"/>
  <c r="E178" i="1"/>
  <c r="F178" i="1"/>
  <c r="A179" i="1"/>
  <c r="B179" i="1"/>
  <c r="C179" i="1"/>
  <c r="D179" i="1"/>
  <c r="E179" i="1"/>
  <c r="F179" i="1"/>
  <c r="A180" i="1"/>
  <c r="B180" i="1"/>
  <c r="C180" i="1"/>
  <c r="D180" i="1"/>
  <c r="E180" i="1"/>
  <c r="F180" i="1"/>
  <c r="A181" i="1"/>
  <c r="B181" i="1"/>
  <c r="C181" i="1"/>
  <c r="D181" i="1"/>
  <c r="E181" i="1"/>
  <c r="F181" i="1"/>
  <c r="A182" i="1"/>
  <c r="B182" i="1"/>
  <c r="C182" i="1"/>
  <c r="D182" i="1"/>
  <c r="E182" i="1"/>
  <c r="F182" i="1"/>
  <c r="A183" i="1"/>
  <c r="B183" i="1"/>
  <c r="C183" i="1"/>
  <c r="D183" i="1"/>
  <c r="E183" i="1"/>
  <c r="F183" i="1"/>
  <c r="A184" i="1"/>
  <c r="B184" i="1"/>
  <c r="C184" i="1"/>
  <c r="D184" i="1"/>
  <c r="E184" i="1"/>
  <c r="F184" i="1"/>
  <c r="A185" i="1"/>
  <c r="B185" i="1"/>
  <c r="C185" i="1"/>
  <c r="D185" i="1"/>
  <c r="E185" i="1"/>
  <c r="F185" i="1"/>
  <c r="A186" i="1"/>
  <c r="B186" i="1"/>
  <c r="C186" i="1"/>
  <c r="D186" i="1"/>
  <c r="E186" i="1"/>
  <c r="F186" i="1"/>
  <c r="A187" i="1"/>
  <c r="B187" i="1"/>
  <c r="C187" i="1"/>
  <c r="D187" i="1"/>
  <c r="E187" i="1"/>
  <c r="F187" i="1"/>
  <c r="A188" i="1"/>
  <c r="B188" i="1"/>
  <c r="C188" i="1"/>
  <c r="D188" i="1"/>
  <c r="E188" i="1"/>
  <c r="F188" i="1"/>
  <c r="A189" i="1"/>
  <c r="B189" i="1"/>
  <c r="C189" i="1"/>
  <c r="D189" i="1"/>
  <c r="E189" i="1"/>
  <c r="F189" i="1"/>
  <c r="A190" i="1"/>
  <c r="B190" i="1"/>
  <c r="C190" i="1"/>
  <c r="D190" i="1"/>
  <c r="E190" i="1"/>
  <c r="F190" i="1"/>
  <c r="A191" i="1"/>
  <c r="B191" i="1"/>
  <c r="C191" i="1"/>
  <c r="D191" i="1"/>
  <c r="E191" i="1"/>
  <c r="F191" i="1"/>
  <c r="A192" i="1"/>
  <c r="B192" i="1"/>
  <c r="C192" i="1"/>
  <c r="D192" i="1"/>
  <c r="E192" i="1"/>
  <c r="F192" i="1"/>
  <c r="A193" i="1"/>
  <c r="B193" i="1"/>
  <c r="C193" i="1"/>
  <c r="D193" i="1"/>
  <c r="E193" i="1"/>
  <c r="F193" i="1"/>
  <c r="A194" i="1"/>
  <c r="B194" i="1"/>
  <c r="C194" i="1"/>
  <c r="D194" i="1"/>
  <c r="E194" i="1"/>
  <c r="F194" i="1"/>
  <c r="A195" i="1"/>
  <c r="B195" i="1"/>
  <c r="C195" i="1"/>
  <c r="D195" i="1"/>
  <c r="E195" i="1"/>
  <c r="F195" i="1"/>
  <c r="A196" i="1"/>
  <c r="B196" i="1"/>
  <c r="C196" i="1"/>
  <c r="D196" i="1"/>
  <c r="E196" i="1"/>
  <c r="F196" i="1"/>
  <c r="A197" i="1"/>
  <c r="B197" i="1"/>
  <c r="C197" i="1"/>
  <c r="D197" i="1"/>
  <c r="E197" i="1"/>
  <c r="F197" i="1"/>
  <c r="A198" i="1"/>
  <c r="B198" i="1"/>
  <c r="C198" i="1"/>
  <c r="D198" i="1"/>
  <c r="E198" i="1"/>
  <c r="F198" i="1"/>
  <c r="A199" i="1"/>
  <c r="B199" i="1"/>
  <c r="C199" i="1"/>
  <c r="D199" i="1"/>
  <c r="E199" i="1"/>
  <c r="F199" i="1"/>
  <c r="A200" i="1"/>
  <c r="B200" i="1"/>
  <c r="C200" i="1"/>
  <c r="D200" i="1"/>
  <c r="E200" i="1"/>
  <c r="F200" i="1"/>
  <c r="A201" i="1"/>
  <c r="B201" i="1"/>
  <c r="C201" i="1"/>
  <c r="D201" i="1"/>
  <c r="E201" i="1"/>
  <c r="F201" i="1"/>
  <c r="A202" i="1"/>
  <c r="B202" i="1"/>
  <c r="C202" i="1"/>
  <c r="D202" i="1"/>
  <c r="E202" i="1"/>
  <c r="F202" i="1"/>
  <c r="A203" i="1"/>
  <c r="B203" i="1"/>
  <c r="C203" i="1"/>
  <c r="D203" i="1"/>
  <c r="E203" i="1"/>
  <c r="F203" i="1"/>
  <c r="A204" i="1"/>
  <c r="B204" i="1"/>
  <c r="C204" i="1"/>
  <c r="D204" i="1"/>
  <c r="E204" i="1"/>
  <c r="F204" i="1"/>
  <c r="A205" i="1"/>
  <c r="B205" i="1"/>
  <c r="C205" i="1"/>
  <c r="D205" i="1"/>
  <c r="E205" i="1"/>
  <c r="F205" i="1"/>
  <c r="A206" i="1"/>
  <c r="B206" i="1"/>
  <c r="C206" i="1"/>
  <c r="D206" i="1"/>
  <c r="E206" i="1"/>
  <c r="F206" i="1"/>
  <c r="A207" i="1"/>
  <c r="B207" i="1"/>
  <c r="C207" i="1"/>
  <c r="D207" i="1"/>
  <c r="E207" i="1"/>
  <c r="F207" i="1"/>
  <c r="A208" i="1"/>
  <c r="B208" i="1"/>
  <c r="C208" i="1"/>
  <c r="D208" i="1"/>
  <c r="E208" i="1"/>
  <c r="F208" i="1"/>
  <c r="A209" i="1"/>
  <c r="B209" i="1"/>
  <c r="C209" i="1"/>
  <c r="D209" i="1"/>
  <c r="E209" i="1"/>
  <c r="F209" i="1"/>
  <c r="A210" i="1"/>
  <c r="B210" i="1"/>
  <c r="C210" i="1"/>
  <c r="D210" i="1"/>
  <c r="E210" i="1"/>
  <c r="F210" i="1"/>
  <c r="A211" i="1"/>
  <c r="B211" i="1"/>
  <c r="C211" i="1"/>
  <c r="D211" i="1"/>
  <c r="E211" i="1"/>
  <c r="F211" i="1"/>
  <c r="A212" i="1"/>
  <c r="B212" i="1"/>
  <c r="C212" i="1"/>
  <c r="D212" i="1"/>
  <c r="E212" i="1"/>
  <c r="F212" i="1"/>
  <c r="A213" i="1"/>
  <c r="B213" i="1"/>
  <c r="C213" i="1"/>
  <c r="D213" i="1"/>
  <c r="E213" i="1"/>
  <c r="F213" i="1"/>
  <c r="A214" i="1"/>
  <c r="B214" i="1"/>
  <c r="C214" i="1"/>
  <c r="D214" i="1"/>
  <c r="E214" i="1"/>
  <c r="F214" i="1"/>
  <c r="A215" i="1"/>
  <c r="B215" i="1"/>
  <c r="C215" i="1"/>
  <c r="D215" i="1"/>
  <c r="E215" i="1"/>
  <c r="F215" i="1"/>
  <c r="A216" i="1"/>
  <c r="B216" i="1"/>
  <c r="C216" i="1"/>
  <c r="D216" i="1"/>
  <c r="E216" i="1"/>
  <c r="F216" i="1"/>
  <c r="A217" i="1"/>
  <c r="B217" i="1"/>
  <c r="C217" i="1"/>
  <c r="D217" i="1"/>
  <c r="E217" i="1"/>
  <c r="F217" i="1"/>
  <c r="A218" i="1"/>
  <c r="B218" i="1"/>
  <c r="C218" i="1"/>
  <c r="D218" i="1"/>
  <c r="E218" i="1"/>
  <c r="F218" i="1"/>
  <c r="A219" i="1"/>
  <c r="B219" i="1"/>
  <c r="C219" i="1"/>
  <c r="D219" i="1"/>
  <c r="E219" i="1"/>
  <c r="F219" i="1"/>
  <c r="A220" i="1"/>
  <c r="B220" i="1"/>
  <c r="C220" i="1"/>
  <c r="D220" i="1"/>
  <c r="E220" i="1"/>
  <c r="F220" i="1"/>
  <c r="A221" i="1"/>
  <c r="B221" i="1"/>
  <c r="C221" i="1"/>
  <c r="D221" i="1"/>
  <c r="E221" i="1"/>
  <c r="F221" i="1"/>
  <c r="A222" i="1"/>
  <c r="B222" i="1"/>
  <c r="C222" i="1"/>
  <c r="D222" i="1"/>
  <c r="E222" i="1"/>
  <c r="F222" i="1"/>
  <c r="A223" i="1"/>
  <c r="B223" i="1"/>
  <c r="C223" i="1"/>
  <c r="D223" i="1"/>
  <c r="E223" i="1"/>
  <c r="F223" i="1"/>
  <c r="A224" i="1"/>
  <c r="B224" i="1"/>
  <c r="C224" i="1"/>
  <c r="D224" i="1"/>
  <c r="E224" i="1"/>
  <c r="F224" i="1"/>
  <c r="A225" i="1"/>
  <c r="B225" i="1"/>
  <c r="C225" i="1"/>
  <c r="D225" i="1"/>
  <c r="E225" i="1"/>
  <c r="F225" i="1"/>
  <c r="A226" i="1"/>
  <c r="B226" i="1"/>
  <c r="C226" i="1"/>
  <c r="D226" i="1"/>
  <c r="E226" i="1"/>
  <c r="F226" i="1"/>
  <c r="A227" i="1"/>
  <c r="B227" i="1"/>
  <c r="C227" i="1"/>
  <c r="D227" i="1"/>
  <c r="E227" i="1"/>
  <c r="F227" i="1"/>
  <c r="A228" i="1"/>
  <c r="B228" i="1"/>
  <c r="C228" i="1"/>
  <c r="D228" i="1"/>
  <c r="E228" i="1"/>
  <c r="F228" i="1"/>
  <c r="A229" i="1"/>
  <c r="B229" i="1"/>
  <c r="C229" i="1"/>
  <c r="D229" i="1"/>
  <c r="E229" i="1"/>
  <c r="F229" i="1"/>
  <c r="A230" i="1"/>
  <c r="B230" i="1"/>
  <c r="C230" i="1"/>
  <c r="D230" i="1"/>
  <c r="E230" i="1"/>
  <c r="F230" i="1"/>
  <c r="A232" i="1"/>
  <c r="B232" i="1"/>
  <c r="C232" i="1"/>
  <c r="D232" i="1"/>
  <c r="E232" i="1"/>
  <c r="F232" i="1"/>
  <c r="A233" i="1"/>
  <c r="B233" i="1"/>
  <c r="C233" i="1"/>
  <c r="D233" i="1"/>
  <c r="E233" i="1"/>
  <c r="F233" i="1"/>
  <c r="A234" i="1"/>
  <c r="B234" i="1"/>
  <c r="C234" i="1"/>
  <c r="D234" i="1"/>
  <c r="E234" i="1"/>
  <c r="F234" i="1"/>
  <c r="A235" i="1"/>
  <c r="B235" i="1"/>
  <c r="C235" i="1"/>
  <c r="D235" i="1"/>
  <c r="E235" i="1"/>
  <c r="F235" i="1"/>
  <c r="A236" i="1"/>
  <c r="B236" i="1"/>
  <c r="C236" i="1"/>
  <c r="D236" i="1"/>
  <c r="E236" i="1"/>
  <c r="F236" i="1"/>
  <c r="A237" i="1"/>
  <c r="B237" i="1"/>
  <c r="C237" i="1"/>
  <c r="D237" i="1"/>
  <c r="E237" i="1"/>
  <c r="F237" i="1"/>
  <c r="A238" i="1"/>
  <c r="B238" i="1"/>
  <c r="C238" i="1"/>
  <c r="D238" i="1"/>
  <c r="E238" i="1"/>
  <c r="F238" i="1"/>
  <c r="A239" i="1"/>
  <c r="B239" i="1"/>
  <c r="C239" i="1"/>
  <c r="D239" i="1"/>
  <c r="E239" i="1"/>
  <c r="F239" i="1"/>
  <c r="A240" i="1"/>
  <c r="B240" i="1"/>
  <c r="C240" i="1"/>
  <c r="D240" i="1"/>
  <c r="E240" i="1"/>
  <c r="F240" i="1"/>
  <c r="A241" i="1"/>
  <c r="B241" i="1"/>
  <c r="C241" i="1"/>
  <c r="D241" i="1"/>
  <c r="E241" i="1"/>
  <c r="F241" i="1"/>
  <c r="A242" i="1"/>
  <c r="B242" i="1"/>
  <c r="C242" i="1"/>
  <c r="D242" i="1"/>
  <c r="E242" i="1"/>
  <c r="F242" i="1"/>
  <c r="A243" i="1"/>
  <c r="B243" i="1"/>
  <c r="C243" i="1"/>
  <c r="D243" i="1"/>
  <c r="E243" i="1"/>
  <c r="F243" i="1"/>
  <c r="A244" i="1"/>
  <c r="B244" i="1"/>
  <c r="C244" i="1"/>
  <c r="D244" i="1"/>
  <c r="E244" i="1"/>
  <c r="F244" i="1"/>
  <c r="A245" i="1"/>
  <c r="B245" i="1"/>
  <c r="C245" i="1"/>
  <c r="D245" i="1"/>
  <c r="E245" i="1"/>
  <c r="F245" i="1"/>
  <c r="A246" i="1"/>
  <c r="B246" i="1"/>
  <c r="C246" i="1"/>
  <c r="D246" i="1"/>
  <c r="E246" i="1"/>
  <c r="F246" i="1"/>
  <c r="A247" i="1"/>
  <c r="B247" i="1"/>
  <c r="C247" i="1"/>
  <c r="D247" i="1"/>
  <c r="E247" i="1"/>
  <c r="F247" i="1"/>
  <c r="A248" i="1"/>
  <c r="B248" i="1"/>
  <c r="C248" i="1"/>
  <c r="D248" i="1"/>
  <c r="E248" i="1"/>
  <c r="F248" i="1"/>
  <c r="A249" i="1"/>
  <c r="B249" i="1"/>
  <c r="C249" i="1"/>
  <c r="D249" i="1"/>
  <c r="E249" i="1"/>
  <c r="F249" i="1"/>
  <c r="A250" i="1"/>
  <c r="B250" i="1"/>
  <c r="C250" i="1"/>
  <c r="D250" i="1"/>
  <c r="E250" i="1"/>
  <c r="F250" i="1"/>
  <c r="A251" i="1"/>
  <c r="B251" i="1"/>
  <c r="C251" i="1"/>
  <c r="D251" i="1"/>
  <c r="E251" i="1"/>
  <c r="F251" i="1"/>
  <c r="A252" i="1"/>
  <c r="B252" i="1"/>
  <c r="C252" i="1"/>
  <c r="D252" i="1"/>
  <c r="E252" i="1"/>
  <c r="F252" i="1"/>
  <c r="A253" i="1"/>
  <c r="B253" i="1"/>
  <c r="C253" i="1"/>
  <c r="D253" i="1"/>
  <c r="E253" i="1"/>
  <c r="F253" i="1"/>
  <c r="A254" i="1"/>
  <c r="B254" i="1"/>
  <c r="C254" i="1"/>
  <c r="D254" i="1"/>
  <c r="E254" i="1"/>
  <c r="F254" i="1"/>
  <c r="A255" i="1"/>
  <c r="B255" i="1"/>
  <c r="C255" i="1"/>
  <c r="D255" i="1"/>
  <c r="E255" i="1"/>
  <c r="F255" i="1"/>
  <c r="A256" i="1"/>
  <c r="B256" i="1"/>
  <c r="C256" i="1"/>
  <c r="D256" i="1"/>
  <c r="E256" i="1"/>
  <c r="F256" i="1"/>
  <c r="A257" i="1"/>
  <c r="B257" i="1"/>
  <c r="C257" i="1"/>
  <c r="D257" i="1"/>
  <c r="E257" i="1"/>
  <c r="F257" i="1"/>
  <c r="A258" i="1"/>
  <c r="B258" i="1"/>
  <c r="C258" i="1"/>
  <c r="D258" i="1"/>
  <c r="E258" i="1"/>
  <c r="F258" i="1"/>
  <c r="A259" i="1"/>
  <c r="B259" i="1"/>
  <c r="C259" i="1"/>
  <c r="D259" i="1"/>
  <c r="E259" i="1"/>
  <c r="F259" i="1"/>
  <c r="A260" i="1"/>
  <c r="B260" i="1"/>
  <c r="C260" i="1"/>
  <c r="D260" i="1"/>
  <c r="E260" i="1"/>
  <c r="F260" i="1"/>
  <c r="A261" i="1"/>
  <c r="B261" i="1"/>
  <c r="C261" i="1"/>
  <c r="D261" i="1"/>
  <c r="E261" i="1"/>
  <c r="F261" i="1"/>
  <c r="A262" i="1"/>
  <c r="B262" i="1"/>
  <c r="C262" i="1"/>
  <c r="D262" i="1"/>
  <c r="E262" i="1"/>
  <c r="F262" i="1"/>
  <c r="A263" i="1"/>
  <c r="B263" i="1"/>
  <c r="C263" i="1"/>
  <c r="D263" i="1"/>
  <c r="E263" i="1"/>
  <c r="F263" i="1"/>
  <c r="A264" i="1"/>
  <c r="B264" i="1"/>
  <c r="C264" i="1"/>
  <c r="D264" i="1"/>
  <c r="E264" i="1"/>
  <c r="F264" i="1"/>
  <c r="A265" i="1"/>
  <c r="B265" i="1"/>
  <c r="C265" i="1"/>
  <c r="D265" i="1"/>
  <c r="E265" i="1"/>
  <c r="F265" i="1"/>
  <c r="A266" i="1"/>
  <c r="B266" i="1"/>
  <c r="C266" i="1"/>
  <c r="D266" i="1"/>
  <c r="E266" i="1"/>
  <c r="F266" i="1"/>
  <c r="A267" i="1"/>
  <c r="B267" i="1"/>
  <c r="C267" i="1"/>
  <c r="D267" i="1"/>
  <c r="E267" i="1"/>
  <c r="F267" i="1"/>
  <c r="A268" i="1"/>
  <c r="B268" i="1"/>
  <c r="C268" i="1"/>
  <c r="D268" i="1"/>
  <c r="E268" i="1"/>
  <c r="F268" i="1"/>
  <c r="A270" i="1"/>
  <c r="B270" i="1"/>
  <c r="C270" i="1"/>
  <c r="D270" i="1"/>
  <c r="E270" i="1"/>
  <c r="F270" i="1"/>
  <c r="A272" i="1"/>
  <c r="B272" i="1"/>
  <c r="C272" i="1"/>
  <c r="D272" i="1"/>
  <c r="E272" i="1"/>
  <c r="F272" i="1"/>
  <c r="A273" i="1"/>
  <c r="B273" i="1"/>
  <c r="C273" i="1"/>
  <c r="D273" i="1"/>
  <c r="E273" i="1"/>
  <c r="F273" i="1"/>
  <c r="A274" i="1"/>
  <c r="B274" i="1"/>
  <c r="C274" i="1"/>
  <c r="D274" i="1"/>
  <c r="E274" i="1"/>
  <c r="F274" i="1"/>
  <c r="A275" i="1"/>
  <c r="B275" i="1"/>
  <c r="C275" i="1"/>
  <c r="D275" i="1"/>
  <c r="E275" i="1"/>
  <c r="F275" i="1"/>
  <c r="A276" i="1"/>
  <c r="B276" i="1"/>
  <c r="C276" i="1"/>
  <c r="D276" i="1"/>
  <c r="E276" i="1"/>
  <c r="F276" i="1"/>
  <c r="A277" i="1"/>
  <c r="B277" i="1"/>
  <c r="C277" i="1"/>
  <c r="D277" i="1"/>
  <c r="E277" i="1"/>
  <c r="F277" i="1"/>
  <c r="A278" i="1"/>
  <c r="B278" i="1"/>
  <c r="C278" i="1"/>
  <c r="D278" i="1"/>
  <c r="E278" i="1"/>
  <c r="F278" i="1"/>
  <c r="A279" i="1"/>
  <c r="B279" i="1"/>
  <c r="C279" i="1"/>
  <c r="D279" i="1"/>
  <c r="E279" i="1"/>
  <c r="F279" i="1"/>
  <c r="A280" i="1"/>
  <c r="B280" i="1"/>
  <c r="C280" i="1"/>
  <c r="D280" i="1"/>
  <c r="E280" i="1"/>
  <c r="F280" i="1"/>
  <c r="A282" i="1"/>
  <c r="B282" i="1"/>
  <c r="C282" i="1"/>
  <c r="D282" i="1"/>
  <c r="E282" i="1"/>
  <c r="F282" i="1"/>
  <c r="A283" i="1"/>
  <c r="B283" i="1"/>
  <c r="C283" i="1"/>
  <c r="D283" i="1"/>
  <c r="E283" i="1"/>
  <c r="F283" i="1"/>
  <c r="A284" i="1"/>
  <c r="B284" i="1"/>
  <c r="C284" i="1"/>
  <c r="D284" i="1"/>
  <c r="E284" i="1"/>
  <c r="F284" i="1"/>
  <c r="A285" i="1"/>
  <c r="B285" i="1"/>
  <c r="C285" i="1"/>
  <c r="D285" i="1"/>
  <c r="E285" i="1"/>
  <c r="F285" i="1"/>
  <c r="A286" i="1"/>
  <c r="B286" i="1"/>
  <c r="C286" i="1"/>
  <c r="D286" i="1"/>
  <c r="E286" i="1"/>
  <c r="F286" i="1"/>
  <c r="A300" i="1"/>
  <c r="B300" i="1"/>
  <c r="C300" i="1"/>
  <c r="D300" i="1"/>
  <c r="E300" i="1"/>
  <c r="F300" i="1"/>
  <c r="A301" i="1"/>
  <c r="B301" i="1"/>
  <c r="C301" i="1"/>
  <c r="D301" i="1"/>
  <c r="E301" i="1"/>
  <c r="F301" i="1"/>
  <c r="A302" i="1"/>
  <c r="B302" i="1"/>
  <c r="C302" i="1"/>
  <c r="D302" i="1"/>
  <c r="E302" i="1"/>
  <c r="F302" i="1"/>
  <c r="A303" i="1"/>
  <c r="B303" i="1"/>
  <c r="C303" i="1"/>
  <c r="D303" i="1"/>
  <c r="E303" i="1"/>
  <c r="F303" i="1"/>
  <c r="A304" i="1"/>
  <c r="B304" i="1"/>
  <c r="C304" i="1"/>
  <c r="D304" i="1"/>
  <c r="E304" i="1"/>
  <c r="F304" i="1"/>
  <c r="A305" i="1"/>
  <c r="B305" i="1"/>
  <c r="C305" i="1"/>
  <c r="D305" i="1"/>
  <c r="E305" i="1"/>
  <c r="F305" i="1"/>
  <c r="A306" i="1"/>
  <c r="B306" i="1"/>
  <c r="C306" i="1"/>
  <c r="D306" i="1"/>
  <c r="E306" i="1"/>
  <c r="F306" i="1"/>
  <c r="A307" i="1"/>
  <c r="B307" i="1"/>
  <c r="C307" i="1"/>
  <c r="D307" i="1"/>
  <c r="E307" i="1"/>
  <c r="F307" i="1"/>
  <c r="A308" i="1"/>
  <c r="B308" i="1"/>
  <c r="C308" i="1"/>
  <c r="D308" i="1"/>
  <c r="E308" i="1"/>
  <c r="F308" i="1"/>
  <c r="A309" i="1"/>
  <c r="B309" i="1"/>
  <c r="C309" i="1"/>
  <c r="D309" i="1"/>
  <c r="E309" i="1"/>
  <c r="F309" i="1"/>
  <c r="A310" i="1"/>
  <c r="B310" i="1"/>
  <c r="C310" i="1"/>
  <c r="D310" i="1"/>
  <c r="E310" i="1"/>
  <c r="F310" i="1"/>
  <c r="A311" i="1"/>
  <c r="B311" i="1"/>
  <c r="C311" i="1"/>
  <c r="D311" i="1"/>
  <c r="E311" i="1"/>
  <c r="F311" i="1"/>
  <c r="A312" i="1"/>
  <c r="B312" i="1"/>
  <c r="C312" i="1"/>
  <c r="D312" i="1"/>
  <c r="E312" i="1"/>
  <c r="F312" i="1"/>
  <c r="A313" i="1"/>
  <c r="B313" i="1"/>
  <c r="C313" i="1"/>
  <c r="D313" i="1"/>
  <c r="E313" i="1"/>
  <c r="F313" i="1"/>
  <c r="A314" i="1"/>
  <c r="B314" i="1"/>
  <c r="C314" i="1"/>
  <c r="D314" i="1"/>
  <c r="E314" i="1"/>
  <c r="F314" i="1"/>
  <c r="A315" i="1"/>
  <c r="B315" i="1"/>
  <c r="C315" i="1"/>
  <c r="D315" i="1"/>
  <c r="E315" i="1"/>
  <c r="F315" i="1"/>
  <c r="A316" i="1"/>
  <c r="B316" i="1"/>
  <c r="C316" i="1"/>
  <c r="D316" i="1"/>
  <c r="E316" i="1"/>
  <c r="F316" i="1"/>
  <c r="A317" i="1"/>
  <c r="B317" i="1"/>
  <c r="C317" i="1"/>
  <c r="D317" i="1"/>
  <c r="E317" i="1"/>
  <c r="F317" i="1"/>
  <c r="A318" i="1"/>
  <c r="B318" i="1"/>
  <c r="C318" i="1"/>
  <c r="D318" i="1"/>
  <c r="E318" i="1"/>
  <c r="F318" i="1"/>
  <c r="A319" i="1"/>
  <c r="B319" i="1"/>
  <c r="C319" i="1"/>
  <c r="D319" i="1"/>
  <c r="E319" i="1"/>
  <c r="F319" i="1"/>
  <c r="A320" i="1"/>
  <c r="B320" i="1"/>
  <c r="C320" i="1"/>
  <c r="D320" i="1"/>
  <c r="E320" i="1"/>
  <c r="F320" i="1"/>
  <c r="A321" i="1"/>
  <c r="B321" i="1"/>
  <c r="C321" i="1"/>
  <c r="D321" i="1"/>
  <c r="E321" i="1"/>
  <c r="F321" i="1"/>
  <c r="A322" i="1"/>
  <c r="B322" i="1"/>
  <c r="C322" i="1"/>
  <c r="D322" i="1"/>
  <c r="E322" i="1"/>
  <c r="F322" i="1"/>
  <c r="A323" i="1"/>
  <c r="B323" i="1"/>
  <c r="C323" i="1"/>
  <c r="D323" i="1"/>
  <c r="E323" i="1"/>
  <c r="F323" i="1"/>
  <c r="A324" i="1"/>
  <c r="B324" i="1"/>
  <c r="C324" i="1"/>
  <c r="D324" i="1"/>
  <c r="E324" i="1"/>
  <c r="F324" i="1"/>
  <c r="A325" i="1"/>
  <c r="B325" i="1"/>
  <c r="C325" i="1"/>
  <c r="D325" i="1"/>
  <c r="E325" i="1"/>
  <c r="F325" i="1"/>
  <c r="A326" i="1"/>
  <c r="B326" i="1"/>
  <c r="C326" i="1"/>
  <c r="D326" i="1"/>
  <c r="E326" i="1"/>
  <c r="F326" i="1"/>
  <c r="A327" i="1"/>
  <c r="B327" i="1"/>
  <c r="C327" i="1"/>
  <c r="D327" i="1"/>
  <c r="E327" i="1"/>
  <c r="F327" i="1"/>
  <c r="A328" i="1"/>
  <c r="B328" i="1"/>
  <c r="C328" i="1"/>
  <c r="D328" i="1"/>
  <c r="E328" i="1"/>
  <c r="F328" i="1"/>
  <c r="A329" i="1"/>
  <c r="B329" i="1"/>
  <c r="C329" i="1"/>
  <c r="D329" i="1"/>
  <c r="E329" i="1"/>
  <c r="F329" i="1"/>
  <c r="A330" i="1"/>
  <c r="B330" i="1"/>
  <c r="C330" i="1"/>
  <c r="D330" i="1"/>
  <c r="E330" i="1"/>
  <c r="F330" i="1"/>
  <c r="A331" i="1"/>
  <c r="B331" i="1"/>
  <c r="C331" i="1"/>
  <c r="D331" i="1"/>
  <c r="E331" i="1"/>
  <c r="F331" i="1"/>
  <c r="A332" i="1"/>
  <c r="B332" i="1"/>
  <c r="C332" i="1"/>
  <c r="D332" i="1"/>
  <c r="E332" i="1"/>
  <c r="F332" i="1"/>
  <c r="A333" i="1"/>
  <c r="B333" i="1"/>
  <c r="C333" i="1"/>
  <c r="D333" i="1"/>
  <c r="E333" i="1"/>
  <c r="F333" i="1"/>
  <c r="A334" i="1"/>
  <c r="B334" i="1"/>
  <c r="C334" i="1"/>
  <c r="D334" i="1"/>
  <c r="E334" i="1"/>
  <c r="F334" i="1"/>
  <c r="A335" i="1"/>
  <c r="B335" i="1"/>
  <c r="C335" i="1"/>
  <c r="D335" i="1"/>
  <c r="E335" i="1"/>
  <c r="F335" i="1"/>
  <c r="A336" i="1"/>
  <c r="B336" i="1"/>
  <c r="C336" i="1"/>
  <c r="D336" i="1"/>
  <c r="E336" i="1"/>
  <c r="F336" i="1"/>
  <c r="A337" i="1"/>
  <c r="B337" i="1"/>
  <c r="C337" i="1"/>
  <c r="D337" i="1"/>
  <c r="E337" i="1"/>
  <c r="F337" i="1"/>
  <c r="A338" i="1"/>
  <c r="B338" i="1"/>
  <c r="C338" i="1"/>
  <c r="D338" i="1"/>
  <c r="E338" i="1"/>
  <c r="F338" i="1"/>
  <c r="A339" i="1"/>
  <c r="B339" i="1"/>
  <c r="C339" i="1"/>
  <c r="D339" i="1"/>
  <c r="E339" i="1"/>
  <c r="F339" i="1"/>
  <c r="A340" i="1"/>
  <c r="B340" i="1"/>
  <c r="C340" i="1"/>
  <c r="D340" i="1"/>
  <c r="E340" i="1"/>
  <c r="F340" i="1"/>
  <c r="A341" i="1"/>
  <c r="B341" i="1"/>
  <c r="C341" i="1"/>
  <c r="D341" i="1"/>
  <c r="E341" i="1"/>
  <c r="F341" i="1"/>
  <c r="A342" i="1"/>
  <c r="B342" i="1"/>
  <c r="C342" i="1"/>
  <c r="D342" i="1"/>
  <c r="E342" i="1"/>
  <c r="F342" i="1"/>
  <c r="A344" i="1"/>
  <c r="B344" i="1"/>
  <c r="C344" i="1"/>
  <c r="D344" i="1"/>
  <c r="E344" i="1"/>
  <c r="F344" i="1"/>
  <c r="A345" i="1"/>
  <c r="B345" i="1"/>
  <c r="C345" i="1"/>
  <c r="D345" i="1"/>
  <c r="E345" i="1"/>
  <c r="F345" i="1"/>
  <c r="A346" i="1"/>
  <c r="B346" i="1"/>
  <c r="C346" i="1"/>
  <c r="D346" i="1"/>
  <c r="E346" i="1"/>
  <c r="F346" i="1"/>
  <c r="B369" i="1"/>
  <c r="C369" i="1"/>
  <c r="D369" i="1"/>
  <c r="E369" i="1"/>
  <c r="F369" i="1"/>
  <c r="B370" i="1"/>
  <c r="C370" i="1"/>
  <c r="D370" i="1"/>
  <c r="E370" i="1"/>
  <c r="F370" i="1"/>
  <c r="B371" i="1"/>
  <c r="C371" i="1"/>
  <c r="D371" i="1"/>
  <c r="E371" i="1"/>
  <c r="F371" i="1"/>
  <c r="B372" i="1"/>
  <c r="C372" i="1"/>
  <c r="D372" i="1"/>
  <c r="E372" i="1"/>
  <c r="F372" i="1"/>
  <c r="B373" i="1"/>
  <c r="C373" i="1"/>
  <c r="D373" i="1"/>
  <c r="E373" i="1"/>
  <c r="F373" i="1"/>
  <c r="B374" i="1"/>
  <c r="C374" i="1"/>
  <c r="D374" i="1"/>
  <c r="E374" i="1"/>
  <c r="F374" i="1"/>
  <c r="B375" i="1"/>
  <c r="C375" i="1"/>
  <c r="D375" i="1"/>
  <c r="E375" i="1"/>
  <c r="F375" i="1"/>
  <c r="B376" i="1"/>
  <c r="C376" i="1"/>
  <c r="D376" i="1"/>
  <c r="E376" i="1"/>
  <c r="F376" i="1"/>
  <c r="B377" i="1"/>
  <c r="C377" i="1"/>
  <c r="D377" i="1"/>
  <c r="E377" i="1"/>
  <c r="F377" i="1"/>
  <c r="B378" i="1"/>
  <c r="C378" i="1"/>
  <c r="D378" i="1"/>
  <c r="E378" i="1"/>
  <c r="F378" i="1"/>
  <c r="B379" i="1"/>
  <c r="C379" i="1"/>
  <c r="D379" i="1"/>
  <c r="E379" i="1"/>
  <c r="F379" i="1"/>
  <c r="B380" i="1"/>
  <c r="C380" i="1"/>
  <c r="D380" i="1"/>
  <c r="E380" i="1"/>
  <c r="F380" i="1"/>
  <c r="A381" i="1"/>
  <c r="B381" i="1"/>
  <c r="C381" i="1"/>
  <c r="D381" i="1"/>
  <c r="E381" i="1"/>
  <c r="F381" i="1"/>
  <c r="A382" i="1"/>
  <c r="B382" i="1"/>
  <c r="C382" i="1"/>
  <c r="D382" i="1"/>
  <c r="E382" i="1"/>
  <c r="F382" i="1"/>
  <c r="A383" i="1"/>
  <c r="B383" i="1"/>
  <c r="C383" i="1"/>
  <c r="D383" i="1"/>
  <c r="E383" i="1"/>
  <c r="F383" i="1"/>
  <c r="A384" i="1"/>
  <c r="B384" i="1"/>
  <c r="C384" i="1"/>
  <c r="D384" i="1"/>
  <c r="E384" i="1"/>
  <c r="F384" i="1"/>
  <c r="A385" i="1"/>
  <c r="B385" i="1"/>
  <c r="C385" i="1"/>
  <c r="D385" i="1"/>
  <c r="E385" i="1"/>
  <c r="F385" i="1"/>
  <c r="A386" i="1"/>
  <c r="B386" i="1"/>
  <c r="C386" i="1"/>
  <c r="D386" i="1"/>
  <c r="E386" i="1"/>
  <c r="F386" i="1"/>
  <c r="A387" i="1"/>
  <c r="B387" i="1"/>
  <c r="C387" i="1"/>
  <c r="D387" i="1"/>
  <c r="E387" i="1"/>
  <c r="F387" i="1"/>
  <c r="A388" i="1"/>
  <c r="B388" i="1"/>
  <c r="C388" i="1"/>
  <c r="D388" i="1"/>
  <c r="E388" i="1"/>
  <c r="F388" i="1"/>
  <c r="A389" i="1"/>
  <c r="B389" i="1"/>
  <c r="C389" i="1"/>
  <c r="D389" i="1"/>
  <c r="E389" i="1"/>
  <c r="F389" i="1"/>
  <c r="A390" i="1"/>
  <c r="B390" i="1"/>
  <c r="C390" i="1"/>
  <c r="D390" i="1"/>
  <c r="E390" i="1"/>
  <c r="F390" i="1"/>
  <c r="A391" i="1"/>
  <c r="B391" i="1"/>
  <c r="C391" i="1"/>
  <c r="D391" i="1"/>
  <c r="E391" i="1"/>
  <c r="F391" i="1"/>
  <c r="A392" i="1"/>
  <c r="B392" i="1"/>
  <c r="C392" i="1"/>
  <c r="D392" i="1"/>
  <c r="E392" i="1"/>
  <c r="F392" i="1"/>
  <c r="A393" i="1"/>
  <c r="B393" i="1"/>
  <c r="C393" i="1"/>
  <c r="D393" i="1"/>
  <c r="E393" i="1"/>
  <c r="F393" i="1"/>
  <c r="A394" i="1"/>
  <c r="B394" i="1"/>
  <c r="C394" i="1"/>
  <c r="D394" i="1"/>
  <c r="E394" i="1"/>
  <c r="F394" i="1"/>
  <c r="A395" i="1"/>
  <c r="B395" i="1"/>
  <c r="C395" i="1"/>
  <c r="D395" i="1"/>
  <c r="E395" i="1"/>
  <c r="F395" i="1"/>
  <c r="A396" i="1"/>
  <c r="B396" i="1"/>
  <c r="C396" i="1"/>
  <c r="D396" i="1"/>
  <c r="E396" i="1"/>
  <c r="F396" i="1"/>
  <c r="A397" i="1"/>
  <c r="B397" i="1"/>
  <c r="C397" i="1"/>
  <c r="D397" i="1"/>
  <c r="E397" i="1"/>
  <c r="F397" i="1"/>
  <c r="B409" i="1"/>
  <c r="C409" i="1"/>
  <c r="D409" i="1"/>
  <c r="E409" i="1"/>
  <c r="F409" i="1"/>
  <c r="B410" i="1"/>
  <c r="C410" i="1"/>
  <c r="D410" i="1"/>
  <c r="E410" i="1"/>
  <c r="F410" i="1"/>
  <c r="A411" i="1"/>
  <c r="B411" i="1"/>
  <c r="C411" i="1"/>
  <c r="D411" i="1"/>
  <c r="E411" i="1"/>
  <c r="F411" i="1"/>
  <c r="A412" i="1"/>
  <c r="B412" i="1"/>
  <c r="C412" i="1"/>
  <c r="D412" i="1"/>
  <c r="E412" i="1"/>
  <c r="F412" i="1"/>
  <c r="A413" i="1"/>
  <c r="B413" i="1"/>
  <c r="C413" i="1"/>
  <c r="D413" i="1"/>
  <c r="E413" i="1"/>
  <c r="F413" i="1"/>
  <c r="A414" i="1"/>
  <c r="B414" i="1"/>
  <c r="C414" i="1"/>
  <c r="D414" i="1"/>
  <c r="E414" i="1"/>
  <c r="F414" i="1"/>
  <c r="A415" i="1"/>
  <c r="B415" i="1"/>
  <c r="C415" i="1"/>
  <c r="D415" i="1"/>
  <c r="E415" i="1"/>
  <c r="F415" i="1"/>
  <c r="A416" i="1"/>
  <c r="B416" i="1"/>
  <c r="C416" i="1"/>
  <c r="D416" i="1"/>
  <c r="E416" i="1"/>
  <c r="F416" i="1"/>
  <c r="A417" i="1"/>
  <c r="B417" i="1"/>
  <c r="C417" i="1"/>
  <c r="D417" i="1"/>
  <c r="E417" i="1"/>
  <c r="F417" i="1"/>
  <c r="A418" i="1"/>
  <c r="B418" i="1"/>
  <c r="C418" i="1"/>
  <c r="D418" i="1"/>
  <c r="E418" i="1"/>
  <c r="F418" i="1"/>
  <c r="A419" i="1"/>
  <c r="B419" i="1"/>
  <c r="C419" i="1"/>
  <c r="D419" i="1"/>
  <c r="E419" i="1"/>
  <c r="F419" i="1"/>
  <c r="A420" i="1"/>
  <c r="B420" i="1"/>
  <c r="C420" i="1"/>
  <c r="D420" i="1"/>
  <c r="E420" i="1"/>
  <c r="F420" i="1"/>
  <c r="A421" i="1"/>
  <c r="B421" i="1"/>
  <c r="C421" i="1"/>
  <c r="D421" i="1"/>
  <c r="E421" i="1"/>
  <c r="F421" i="1"/>
  <c r="A422" i="1"/>
  <c r="B422" i="1"/>
  <c r="C422" i="1"/>
  <c r="D422" i="1"/>
  <c r="E422" i="1"/>
  <c r="F422" i="1"/>
  <c r="A423" i="1"/>
  <c r="B423" i="1"/>
  <c r="C423" i="1"/>
  <c r="D423" i="1"/>
  <c r="E423" i="1"/>
  <c r="F423" i="1"/>
  <c r="A424" i="1"/>
  <c r="B424" i="1"/>
  <c r="C424" i="1"/>
  <c r="D424" i="1"/>
  <c r="E424" i="1"/>
  <c r="F424" i="1"/>
  <c r="A426" i="1"/>
  <c r="B426" i="1"/>
  <c r="C426" i="1"/>
  <c r="D426" i="1"/>
  <c r="E426" i="1"/>
  <c r="F426" i="1"/>
  <c r="A427" i="1"/>
  <c r="B427" i="1"/>
  <c r="C427" i="1"/>
  <c r="D427" i="1"/>
  <c r="E427" i="1"/>
  <c r="F427" i="1"/>
  <c r="A428" i="1"/>
  <c r="B428" i="1"/>
  <c r="C428" i="1"/>
  <c r="D428" i="1"/>
  <c r="E428" i="1"/>
  <c r="F428" i="1"/>
  <c r="A429" i="1"/>
  <c r="B429" i="1"/>
  <c r="C429" i="1"/>
  <c r="D429" i="1"/>
  <c r="E429" i="1"/>
  <c r="F429" i="1"/>
  <c r="A430" i="1"/>
  <c r="B430" i="1"/>
  <c r="C430" i="1"/>
  <c r="D430" i="1"/>
  <c r="E430" i="1"/>
  <c r="F430" i="1"/>
  <c r="A431" i="1"/>
  <c r="B431" i="1"/>
  <c r="C431" i="1"/>
  <c r="D431" i="1"/>
  <c r="E431" i="1"/>
  <c r="F431" i="1"/>
  <c r="A433" i="1"/>
  <c r="B433" i="1"/>
  <c r="C433" i="1"/>
  <c r="D433" i="1"/>
  <c r="E433" i="1"/>
  <c r="F433" i="1"/>
  <c r="B438" i="1"/>
  <c r="C438" i="1"/>
  <c r="D438" i="1"/>
  <c r="E438" i="1"/>
  <c r="F438" i="1"/>
  <c r="B439" i="1"/>
  <c r="C439" i="1"/>
  <c r="D439" i="1"/>
  <c r="E439" i="1"/>
  <c r="F439" i="1"/>
  <c r="B440" i="1"/>
  <c r="C440" i="1"/>
  <c r="D440" i="1"/>
  <c r="E440" i="1"/>
  <c r="F440" i="1"/>
  <c r="B441" i="1"/>
  <c r="C441" i="1"/>
  <c r="D441" i="1"/>
  <c r="E441" i="1"/>
  <c r="F441" i="1"/>
  <c r="B442" i="1"/>
  <c r="C442" i="1"/>
  <c r="D442" i="1"/>
  <c r="E442" i="1"/>
  <c r="F442" i="1"/>
  <c r="B443" i="1"/>
  <c r="C443" i="1"/>
  <c r="D443" i="1"/>
  <c r="E443" i="1"/>
  <c r="F443" i="1"/>
  <c r="B444" i="1"/>
  <c r="C444" i="1"/>
  <c r="D444" i="1"/>
  <c r="E444" i="1"/>
  <c r="F444" i="1"/>
  <c r="B445" i="1"/>
  <c r="C445" i="1"/>
  <c r="D445" i="1"/>
  <c r="E445" i="1"/>
  <c r="F445" i="1"/>
  <c r="B446" i="1"/>
  <c r="C446" i="1"/>
  <c r="D446" i="1"/>
  <c r="E446" i="1"/>
  <c r="F446" i="1"/>
  <c r="B447" i="1"/>
  <c r="C447" i="1"/>
  <c r="D447" i="1"/>
  <c r="E447" i="1"/>
  <c r="F447" i="1"/>
  <c r="B448" i="1"/>
  <c r="C448" i="1"/>
  <c r="D448" i="1"/>
  <c r="E448" i="1"/>
  <c r="F448" i="1"/>
  <c r="A449" i="1"/>
  <c r="B449" i="1"/>
  <c r="C449" i="1"/>
  <c r="D449" i="1"/>
  <c r="E449" i="1"/>
  <c r="F449" i="1"/>
  <c r="A450" i="1"/>
  <c r="B450" i="1"/>
  <c r="C450" i="1"/>
  <c r="D450" i="1"/>
  <c r="E450" i="1"/>
  <c r="F450" i="1"/>
  <c r="A451" i="1"/>
  <c r="B451" i="1"/>
  <c r="C451" i="1"/>
  <c r="D451" i="1"/>
  <c r="E451" i="1"/>
  <c r="F451" i="1"/>
  <c r="A452" i="1"/>
  <c r="B452" i="1"/>
  <c r="C452" i="1"/>
  <c r="D452" i="1"/>
  <c r="E452" i="1"/>
  <c r="F452" i="1"/>
  <c r="A453" i="1"/>
  <c r="B453" i="1"/>
  <c r="C453" i="1"/>
  <c r="D453" i="1"/>
  <c r="E453" i="1"/>
  <c r="F453" i="1"/>
  <c r="A454" i="1"/>
  <c r="B454" i="1"/>
  <c r="C454" i="1"/>
  <c r="D454" i="1"/>
  <c r="E454" i="1"/>
  <c r="F454" i="1"/>
  <c r="A455" i="1"/>
  <c r="B455" i="1"/>
  <c r="C455" i="1"/>
  <c r="D455" i="1"/>
  <c r="E455" i="1"/>
  <c r="F455" i="1"/>
  <c r="A456" i="1"/>
  <c r="B456" i="1"/>
  <c r="C456" i="1"/>
  <c r="D456" i="1"/>
  <c r="E456" i="1"/>
  <c r="F456" i="1"/>
  <c r="A457" i="1"/>
  <c r="B457" i="1"/>
  <c r="C457" i="1"/>
  <c r="D457" i="1"/>
  <c r="E457" i="1"/>
  <c r="F457" i="1"/>
  <c r="A458" i="1"/>
  <c r="B458" i="1"/>
  <c r="C458" i="1"/>
  <c r="D458" i="1"/>
  <c r="E458" i="1"/>
  <c r="F458" i="1"/>
  <c r="A459" i="1"/>
  <c r="B459" i="1"/>
  <c r="C459" i="1"/>
  <c r="D459" i="1"/>
  <c r="E459" i="1"/>
  <c r="F459" i="1"/>
  <c r="A460" i="1"/>
  <c r="B460" i="1"/>
  <c r="C460" i="1"/>
  <c r="D460" i="1"/>
  <c r="E460" i="1"/>
  <c r="F460" i="1"/>
  <c r="A461" i="1"/>
  <c r="B461" i="1"/>
  <c r="C461" i="1"/>
  <c r="D461" i="1"/>
  <c r="E461" i="1"/>
  <c r="F461" i="1"/>
  <c r="A462" i="1"/>
  <c r="B462" i="1"/>
  <c r="C462" i="1"/>
  <c r="D462" i="1"/>
  <c r="E462" i="1"/>
  <c r="F462" i="1"/>
  <c r="A463" i="1"/>
  <c r="B463" i="1"/>
  <c r="C463" i="1"/>
  <c r="D463" i="1"/>
  <c r="E463" i="1"/>
  <c r="F463" i="1"/>
  <c r="A464" i="1"/>
  <c r="B464" i="1"/>
  <c r="C464" i="1"/>
  <c r="D464" i="1"/>
  <c r="E464" i="1"/>
  <c r="F464" i="1"/>
  <c r="A465" i="1"/>
  <c r="B465" i="1"/>
  <c r="C465" i="1"/>
  <c r="D465" i="1"/>
  <c r="E465" i="1"/>
  <c r="F465" i="1"/>
  <c r="A466" i="1"/>
  <c r="B466" i="1"/>
  <c r="C466" i="1"/>
  <c r="D466" i="1"/>
  <c r="E466" i="1"/>
  <c r="F466" i="1"/>
  <c r="A467" i="1"/>
  <c r="B467" i="1"/>
  <c r="C467" i="1"/>
  <c r="D467" i="1"/>
  <c r="E467" i="1"/>
  <c r="F467" i="1"/>
  <c r="A468" i="1"/>
  <c r="B468" i="1"/>
  <c r="C468" i="1"/>
  <c r="D468" i="1"/>
  <c r="E468" i="1"/>
  <c r="F468" i="1"/>
  <c r="A469" i="1"/>
  <c r="B469" i="1"/>
  <c r="C469" i="1"/>
  <c r="D469" i="1"/>
  <c r="E469" i="1"/>
  <c r="F469" i="1"/>
  <c r="A470" i="1"/>
  <c r="B470" i="1"/>
  <c r="C470" i="1"/>
  <c r="D470" i="1"/>
  <c r="E470" i="1"/>
  <c r="F470" i="1"/>
  <c r="A471" i="1"/>
  <c r="B471" i="1"/>
  <c r="C471" i="1"/>
  <c r="D471" i="1"/>
  <c r="E471" i="1"/>
  <c r="F471" i="1"/>
  <c r="A472" i="1"/>
  <c r="B472" i="1"/>
  <c r="C472" i="1"/>
  <c r="D472" i="1"/>
  <c r="E472" i="1"/>
  <c r="F472" i="1"/>
  <c r="A473" i="1"/>
  <c r="B473" i="1"/>
  <c r="C473" i="1"/>
  <c r="D473" i="1"/>
  <c r="E473" i="1"/>
  <c r="F473" i="1"/>
  <c r="A474" i="1"/>
  <c r="B474" i="1"/>
  <c r="C474" i="1"/>
  <c r="D474" i="1"/>
  <c r="E474" i="1"/>
  <c r="F474" i="1"/>
  <c r="A475" i="1"/>
  <c r="B475" i="1"/>
  <c r="C475" i="1"/>
  <c r="D475" i="1"/>
  <c r="E475" i="1"/>
  <c r="F475" i="1"/>
  <c r="A476" i="1"/>
  <c r="B476" i="1"/>
  <c r="C476" i="1"/>
  <c r="D476" i="1"/>
  <c r="E476" i="1"/>
  <c r="F476" i="1"/>
  <c r="A477" i="1"/>
  <c r="B477" i="1"/>
  <c r="C477" i="1"/>
  <c r="D477" i="1"/>
  <c r="E477" i="1"/>
  <c r="F477" i="1"/>
  <c r="A478" i="1"/>
  <c r="B478" i="1"/>
  <c r="C478" i="1"/>
  <c r="D478" i="1"/>
  <c r="E478" i="1"/>
  <c r="F478" i="1"/>
  <c r="A479" i="1"/>
  <c r="B479" i="1"/>
  <c r="C479" i="1"/>
  <c r="D479" i="1"/>
  <c r="E479" i="1"/>
  <c r="F479" i="1"/>
  <c r="A480" i="1"/>
  <c r="B480" i="1"/>
  <c r="C480" i="1"/>
  <c r="D480" i="1"/>
  <c r="E480" i="1"/>
  <c r="F480" i="1"/>
  <c r="A481" i="1"/>
  <c r="B481" i="1"/>
  <c r="C481" i="1"/>
  <c r="D481" i="1"/>
  <c r="E481" i="1"/>
  <c r="F481" i="1"/>
  <c r="A482" i="1"/>
  <c r="B482" i="1"/>
  <c r="C482" i="1"/>
  <c r="D482" i="1"/>
  <c r="E482" i="1"/>
  <c r="F482" i="1"/>
  <c r="A483" i="1"/>
  <c r="B483" i="1"/>
  <c r="C483" i="1"/>
  <c r="D483" i="1"/>
  <c r="E483" i="1"/>
  <c r="F483" i="1"/>
  <c r="A484" i="1"/>
  <c r="B484" i="1"/>
  <c r="C484" i="1"/>
  <c r="D484" i="1"/>
  <c r="E484" i="1"/>
  <c r="F484" i="1"/>
  <c r="A485" i="1"/>
  <c r="B485" i="1"/>
  <c r="C485" i="1"/>
  <c r="D485" i="1"/>
  <c r="E485" i="1"/>
  <c r="F485" i="1"/>
  <c r="A486" i="1"/>
  <c r="B486" i="1"/>
  <c r="C486" i="1"/>
  <c r="D486" i="1"/>
  <c r="E486" i="1"/>
  <c r="F486" i="1"/>
  <c r="A487" i="1"/>
  <c r="B487" i="1"/>
  <c r="C487" i="1"/>
  <c r="D487" i="1"/>
  <c r="E487" i="1"/>
  <c r="F487" i="1"/>
  <c r="A488" i="1"/>
  <c r="B488" i="1"/>
  <c r="C488" i="1"/>
  <c r="D488" i="1"/>
  <c r="E488" i="1"/>
  <c r="F488" i="1"/>
  <c r="A489" i="1"/>
  <c r="B489" i="1"/>
  <c r="C489" i="1"/>
  <c r="D489" i="1"/>
  <c r="E489" i="1"/>
  <c r="F489" i="1"/>
  <c r="A490" i="1"/>
  <c r="B490" i="1"/>
  <c r="C490" i="1"/>
  <c r="D490" i="1"/>
  <c r="E490" i="1"/>
  <c r="F490" i="1"/>
  <c r="A491" i="1"/>
  <c r="B491" i="1"/>
  <c r="C491" i="1"/>
  <c r="D491" i="1"/>
  <c r="E491" i="1"/>
  <c r="F491" i="1"/>
  <c r="A492" i="1"/>
  <c r="B492" i="1"/>
  <c r="C492" i="1"/>
  <c r="D492" i="1"/>
  <c r="E492" i="1"/>
  <c r="F492" i="1"/>
  <c r="A493" i="1"/>
  <c r="B493" i="1"/>
  <c r="C493" i="1"/>
  <c r="D493" i="1"/>
  <c r="E493" i="1"/>
  <c r="F493" i="1"/>
  <c r="A494" i="1"/>
  <c r="B494" i="1"/>
  <c r="C494" i="1"/>
  <c r="D494" i="1"/>
  <c r="E494" i="1"/>
  <c r="F494" i="1"/>
  <c r="A495" i="1"/>
  <c r="B495" i="1"/>
  <c r="C495" i="1"/>
  <c r="D495" i="1"/>
  <c r="E495" i="1"/>
  <c r="F495" i="1"/>
  <c r="A496" i="1"/>
  <c r="B496" i="1"/>
  <c r="C496" i="1"/>
  <c r="D496" i="1"/>
  <c r="E496" i="1"/>
  <c r="F496" i="1"/>
  <c r="A497" i="1"/>
  <c r="B497" i="1"/>
  <c r="C497" i="1"/>
  <c r="D497" i="1"/>
  <c r="E497" i="1"/>
  <c r="F497" i="1"/>
  <c r="A498" i="1"/>
  <c r="B498" i="1"/>
  <c r="C498" i="1"/>
  <c r="D498" i="1"/>
  <c r="E498" i="1"/>
  <c r="F498" i="1"/>
  <c r="A499" i="1"/>
  <c r="B499" i="1"/>
  <c r="C499" i="1"/>
  <c r="D499" i="1"/>
  <c r="E499" i="1"/>
  <c r="F499" i="1"/>
  <c r="A500" i="1"/>
  <c r="B500" i="1"/>
  <c r="C500" i="1"/>
  <c r="D500" i="1"/>
  <c r="E500" i="1"/>
  <c r="F500" i="1"/>
  <c r="B502" i="1"/>
  <c r="C502" i="1"/>
  <c r="D502" i="1"/>
  <c r="E502" i="1"/>
  <c r="F502" i="1"/>
  <c r="B503" i="1"/>
  <c r="C503" i="1"/>
  <c r="D503" i="1"/>
  <c r="E503" i="1"/>
  <c r="F503" i="1"/>
  <c r="B504" i="1"/>
  <c r="C504" i="1"/>
  <c r="D504" i="1"/>
  <c r="E504" i="1"/>
  <c r="F504" i="1"/>
  <c r="B505" i="1"/>
  <c r="C505" i="1"/>
  <c r="D505" i="1"/>
  <c r="E505" i="1"/>
  <c r="F505" i="1"/>
  <c r="B506" i="1"/>
  <c r="C506" i="1"/>
  <c r="D506" i="1"/>
  <c r="E506" i="1"/>
  <c r="F506" i="1"/>
  <c r="B507" i="1"/>
  <c r="C507" i="1"/>
  <c r="D507" i="1"/>
  <c r="E507" i="1"/>
  <c r="F507" i="1"/>
  <c r="B508" i="1"/>
  <c r="C508" i="1"/>
  <c r="D508" i="1"/>
  <c r="E508" i="1"/>
  <c r="F508" i="1"/>
  <c r="B509" i="1"/>
  <c r="C509" i="1"/>
  <c r="D509" i="1"/>
  <c r="E509" i="1"/>
  <c r="F509" i="1"/>
  <c r="B510" i="1"/>
  <c r="C510" i="1"/>
  <c r="D510" i="1"/>
  <c r="E510" i="1"/>
  <c r="F510" i="1"/>
  <c r="B511" i="1"/>
  <c r="C511" i="1"/>
  <c r="D511" i="1"/>
  <c r="E511" i="1"/>
  <c r="F511" i="1"/>
  <c r="B512" i="1"/>
  <c r="C512" i="1"/>
  <c r="D512" i="1"/>
  <c r="E512" i="1"/>
  <c r="F512" i="1"/>
  <c r="B513" i="1"/>
  <c r="C513" i="1"/>
  <c r="D513" i="1"/>
  <c r="E513" i="1"/>
  <c r="F513" i="1"/>
  <c r="A514" i="1"/>
  <c r="B514" i="1"/>
  <c r="C514" i="1"/>
  <c r="D514" i="1"/>
  <c r="E514" i="1"/>
  <c r="F514" i="1"/>
  <c r="A515" i="1"/>
  <c r="B515" i="1"/>
  <c r="C515" i="1"/>
  <c r="D515" i="1"/>
  <c r="E515" i="1"/>
  <c r="F515" i="1"/>
  <c r="A516" i="1"/>
  <c r="B516" i="1"/>
  <c r="C516" i="1"/>
  <c r="D516" i="1"/>
  <c r="E516" i="1"/>
  <c r="F516" i="1"/>
  <c r="A517" i="1"/>
  <c r="B517" i="1"/>
  <c r="C517" i="1"/>
  <c r="D517" i="1"/>
  <c r="E517" i="1"/>
  <c r="F517" i="1"/>
  <c r="A518" i="1"/>
  <c r="B518" i="1"/>
  <c r="C518" i="1"/>
  <c r="D518" i="1"/>
  <c r="E518" i="1"/>
  <c r="F518" i="1"/>
  <c r="A519" i="1"/>
  <c r="B519" i="1"/>
  <c r="C519" i="1"/>
  <c r="D519" i="1"/>
  <c r="E519" i="1"/>
  <c r="F519" i="1"/>
  <c r="A520" i="1"/>
  <c r="B520" i="1"/>
  <c r="C520" i="1"/>
  <c r="D520" i="1"/>
  <c r="E520" i="1"/>
  <c r="F520" i="1"/>
  <c r="A521" i="1"/>
  <c r="B521" i="1"/>
  <c r="C521" i="1"/>
  <c r="D521" i="1"/>
  <c r="E521" i="1"/>
  <c r="F521" i="1"/>
  <c r="A522" i="1"/>
  <c r="B522" i="1"/>
  <c r="C522" i="1"/>
  <c r="D522" i="1"/>
  <c r="E522" i="1"/>
  <c r="F522" i="1"/>
  <c r="A523" i="1"/>
  <c r="B523" i="1"/>
  <c r="C523" i="1"/>
  <c r="D523" i="1"/>
  <c r="E523" i="1"/>
  <c r="F523" i="1"/>
  <c r="A524" i="1"/>
  <c r="B524" i="1"/>
  <c r="C524" i="1"/>
  <c r="D524" i="1"/>
  <c r="E524" i="1"/>
  <c r="F524" i="1"/>
  <c r="A525" i="1"/>
  <c r="B525" i="1"/>
  <c r="C525" i="1"/>
  <c r="D525" i="1"/>
  <c r="E525" i="1"/>
  <c r="F525" i="1"/>
  <c r="A526" i="1"/>
  <c r="B526" i="1"/>
  <c r="C526" i="1"/>
  <c r="D526" i="1"/>
  <c r="E526" i="1"/>
  <c r="F526" i="1"/>
  <c r="A527" i="1"/>
  <c r="B527" i="1"/>
  <c r="C527" i="1"/>
  <c r="D527" i="1"/>
  <c r="E527" i="1"/>
  <c r="F527" i="1"/>
  <c r="A528" i="1"/>
  <c r="B528" i="1"/>
  <c r="C528" i="1"/>
  <c r="D528" i="1"/>
  <c r="E528" i="1"/>
  <c r="F528" i="1"/>
  <c r="A529" i="1"/>
  <c r="B529" i="1"/>
  <c r="C529" i="1"/>
  <c r="D529" i="1"/>
  <c r="E529" i="1"/>
  <c r="F529" i="1"/>
  <c r="A530" i="1"/>
  <c r="B530" i="1"/>
  <c r="C530" i="1"/>
  <c r="D530" i="1"/>
  <c r="E530" i="1"/>
  <c r="F530" i="1"/>
  <c r="A531" i="1"/>
  <c r="B531" i="1"/>
  <c r="C531" i="1"/>
  <c r="D531" i="1"/>
  <c r="E531" i="1"/>
  <c r="F531" i="1"/>
  <c r="A532" i="1"/>
  <c r="B532" i="1"/>
  <c r="C532" i="1"/>
  <c r="D532" i="1"/>
  <c r="E532" i="1"/>
  <c r="F532" i="1"/>
  <c r="A533" i="1"/>
  <c r="B533" i="1"/>
  <c r="C533" i="1"/>
  <c r="D533" i="1"/>
  <c r="E533" i="1"/>
  <c r="F533" i="1"/>
  <c r="A534" i="1"/>
  <c r="B534" i="1"/>
  <c r="C534" i="1"/>
  <c r="D534" i="1"/>
  <c r="E534" i="1"/>
  <c r="F534" i="1"/>
  <c r="A535" i="1"/>
  <c r="B535" i="1"/>
  <c r="C535" i="1"/>
  <c r="D535" i="1"/>
  <c r="E535" i="1"/>
  <c r="F535" i="1"/>
  <c r="A536" i="1"/>
  <c r="B536" i="1"/>
  <c r="C536" i="1"/>
  <c r="D536" i="1"/>
  <c r="E536" i="1"/>
  <c r="F536" i="1"/>
  <c r="A537" i="1"/>
  <c r="B537" i="1"/>
  <c r="C537" i="1"/>
  <c r="D537" i="1"/>
  <c r="E537" i="1"/>
  <c r="F537" i="1"/>
  <c r="A538" i="1"/>
  <c r="B538" i="1"/>
  <c r="C538" i="1"/>
  <c r="D538" i="1"/>
  <c r="E538" i="1"/>
  <c r="F538" i="1"/>
  <c r="A539" i="1"/>
  <c r="B539" i="1"/>
  <c r="C539" i="1"/>
  <c r="D539" i="1"/>
  <c r="E539" i="1"/>
  <c r="F539" i="1"/>
  <c r="A540" i="1"/>
  <c r="B540" i="1"/>
  <c r="C540" i="1"/>
  <c r="D540" i="1"/>
  <c r="E540" i="1"/>
  <c r="F540" i="1"/>
  <c r="A541" i="1"/>
  <c r="B541" i="1"/>
  <c r="C541" i="1"/>
  <c r="D541" i="1"/>
  <c r="E541" i="1"/>
  <c r="F541" i="1"/>
  <c r="A542" i="1"/>
  <c r="B542" i="1"/>
  <c r="C542" i="1"/>
  <c r="D542" i="1"/>
  <c r="E542" i="1"/>
  <c r="F542" i="1"/>
  <c r="A543" i="1"/>
  <c r="B543" i="1"/>
  <c r="C543" i="1"/>
  <c r="D543" i="1"/>
  <c r="E543" i="1"/>
  <c r="F543" i="1"/>
  <c r="A544" i="1"/>
  <c r="B544" i="1"/>
  <c r="C544" i="1"/>
  <c r="D544" i="1"/>
  <c r="E544" i="1"/>
  <c r="F544" i="1"/>
  <c r="A545" i="1"/>
  <c r="B545" i="1"/>
  <c r="C545" i="1"/>
  <c r="D545" i="1"/>
  <c r="E545" i="1"/>
  <c r="F545" i="1"/>
  <c r="A546" i="1"/>
  <c r="B546" i="1"/>
  <c r="C546" i="1"/>
  <c r="D546" i="1"/>
  <c r="E546" i="1"/>
  <c r="F546" i="1"/>
  <c r="A547" i="1"/>
  <c r="B547" i="1"/>
  <c r="C547" i="1"/>
  <c r="D547" i="1"/>
  <c r="E547" i="1"/>
  <c r="F547" i="1"/>
  <c r="A548" i="1"/>
  <c r="B548" i="1"/>
  <c r="C548" i="1"/>
  <c r="D548" i="1"/>
  <c r="E548" i="1"/>
  <c r="F548" i="1"/>
  <c r="A549" i="1"/>
  <c r="B549" i="1"/>
  <c r="C549" i="1"/>
  <c r="D549" i="1"/>
  <c r="E549" i="1"/>
  <c r="F549" i="1"/>
  <c r="A550" i="1"/>
  <c r="B550" i="1"/>
  <c r="C550" i="1"/>
  <c r="D550" i="1"/>
  <c r="E550" i="1"/>
  <c r="F550" i="1"/>
  <c r="A551" i="1"/>
  <c r="B551" i="1"/>
  <c r="C551" i="1"/>
  <c r="D551" i="1"/>
  <c r="E551" i="1"/>
  <c r="F551" i="1"/>
  <c r="A552" i="1"/>
  <c r="B552" i="1"/>
  <c r="C552" i="1"/>
  <c r="D552" i="1"/>
  <c r="E552" i="1"/>
  <c r="F552" i="1"/>
  <c r="A553" i="1"/>
  <c r="B553" i="1"/>
  <c r="C553" i="1"/>
  <c r="D553" i="1"/>
  <c r="E553" i="1"/>
  <c r="F553" i="1"/>
  <c r="A554" i="1"/>
  <c r="B554" i="1"/>
  <c r="C554" i="1"/>
  <c r="D554" i="1"/>
  <c r="E554" i="1"/>
  <c r="F554" i="1"/>
  <c r="A555" i="1"/>
  <c r="B555" i="1"/>
  <c r="C555" i="1"/>
  <c r="D555" i="1"/>
  <c r="E555" i="1"/>
  <c r="F555" i="1"/>
  <c r="A556" i="1"/>
  <c r="B556" i="1"/>
  <c r="C556" i="1"/>
  <c r="D556" i="1"/>
  <c r="E556" i="1"/>
  <c r="F556" i="1"/>
  <c r="A557" i="1"/>
  <c r="B557" i="1"/>
  <c r="C557" i="1"/>
  <c r="D557" i="1"/>
  <c r="E557" i="1"/>
  <c r="F557" i="1"/>
  <c r="A558" i="1"/>
  <c r="B558" i="1"/>
  <c r="C558" i="1"/>
  <c r="D558" i="1"/>
  <c r="E558" i="1"/>
  <c r="F558" i="1"/>
  <c r="A559" i="1"/>
  <c r="B559" i="1"/>
  <c r="C559" i="1"/>
  <c r="D559" i="1"/>
  <c r="E559" i="1"/>
  <c r="F559" i="1"/>
  <c r="A560" i="1"/>
  <c r="B560" i="1"/>
  <c r="C560" i="1"/>
  <c r="D560" i="1"/>
  <c r="E560" i="1"/>
  <c r="F560" i="1"/>
  <c r="A561" i="1"/>
  <c r="B561" i="1"/>
  <c r="C561" i="1"/>
  <c r="D561" i="1"/>
  <c r="E561" i="1"/>
  <c r="F561" i="1"/>
  <c r="A562" i="1"/>
  <c r="B562" i="1"/>
  <c r="C562" i="1"/>
  <c r="D562" i="1"/>
  <c r="E562" i="1"/>
  <c r="F562" i="1"/>
  <c r="A563" i="1"/>
  <c r="B563" i="1"/>
  <c r="C563" i="1"/>
  <c r="D563" i="1"/>
  <c r="E563" i="1"/>
  <c r="F563" i="1"/>
  <c r="A564" i="1"/>
  <c r="B564" i="1"/>
  <c r="C564" i="1"/>
  <c r="D564" i="1"/>
  <c r="E564" i="1"/>
  <c r="F564" i="1"/>
  <c r="A565" i="1"/>
  <c r="B565" i="1"/>
  <c r="C565" i="1"/>
  <c r="D565" i="1"/>
  <c r="E565" i="1"/>
  <c r="F565" i="1"/>
  <c r="A566" i="1"/>
  <c r="B566" i="1"/>
  <c r="C566" i="1"/>
  <c r="D566" i="1"/>
  <c r="E566" i="1"/>
  <c r="F566" i="1"/>
  <c r="A567" i="1"/>
  <c r="B567" i="1"/>
  <c r="C567" i="1"/>
  <c r="D567" i="1"/>
  <c r="E567" i="1"/>
  <c r="F567" i="1"/>
  <c r="A568" i="1"/>
  <c r="B568" i="1"/>
  <c r="C568" i="1"/>
  <c r="D568" i="1"/>
  <c r="E568" i="1"/>
  <c r="F568" i="1"/>
  <c r="A569" i="1"/>
  <c r="B569" i="1"/>
  <c r="C569" i="1"/>
  <c r="D569" i="1"/>
  <c r="E569" i="1"/>
  <c r="F569" i="1"/>
  <c r="A570" i="1"/>
  <c r="B570" i="1"/>
  <c r="C570" i="1"/>
  <c r="D570" i="1"/>
  <c r="E570" i="1"/>
  <c r="F570" i="1"/>
  <c r="A571" i="1"/>
  <c r="B571" i="1"/>
  <c r="C571" i="1"/>
  <c r="D571" i="1"/>
  <c r="E571" i="1"/>
  <c r="F571" i="1"/>
  <c r="A572" i="1"/>
  <c r="B572" i="1"/>
  <c r="C572" i="1"/>
  <c r="D572" i="1"/>
  <c r="E572" i="1"/>
  <c r="F572" i="1"/>
  <c r="A573" i="1"/>
  <c r="B573" i="1"/>
  <c r="C573" i="1"/>
  <c r="D573" i="1"/>
  <c r="E573" i="1"/>
  <c r="F573" i="1"/>
  <c r="A574" i="1"/>
  <c r="B574" i="1"/>
  <c r="C574" i="1"/>
  <c r="D574" i="1"/>
  <c r="E574" i="1"/>
  <c r="F574" i="1"/>
  <c r="A575" i="1"/>
  <c r="B575" i="1"/>
  <c r="C575" i="1"/>
  <c r="D575" i="1"/>
  <c r="E575" i="1"/>
  <c r="F575" i="1"/>
  <c r="A576" i="1"/>
  <c r="B576" i="1"/>
  <c r="C576" i="1"/>
  <c r="D576" i="1"/>
  <c r="E576" i="1"/>
  <c r="F576" i="1"/>
  <c r="A577" i="1"/>
  <c r="B577" i="1"/>
  <c r="C577" i="1"/>
  <c r="D577" i="1"/>
  <c r="E577" i="1"/>
  <c r="F577" i="1"/>
  <c r="A578" i="1"/>
  <c r="B578" i="1"/>
  <c r="C578" i="1"/>
  <c r="D578" i="1"/>
  <c r="E578" i="1"/>
  <c r="F578" i="1"/>
  <c r="A579" i="1"/>
  <c r="B579" i="1"/>
  <c r="C579" i="1"/>
  <c r="D579" i="1"/>
  <c r="E579" i="1"/>
  <c r="F579" i="1"/>
  <c r="A580" i="1"/>
  <c r="B580" i="1"/>
  <c r="C580" i="1"/>
  <c r="D580" i="1"/>
  <c r="E580" i="1"/>
  <c r="F580" i="1"/>
  <c r="A581" i="1"/>
  <c r="B581" i="1"/>
  <c r="C581" i="1"/>
  <c r="D581" i="1"/>
  <c r="E581" i="1"/>
  <c r="F581" i="1"/>
  <c r="A582" i="1"/>
  <c r="B582" i="1"/>
  <c r="C582" i="1"/>
  <c r="D582" i="1"/>
  <c r="E582" i="1"/>
  <c r="F582" i="1"/>
  <c r="A583" i="1"/>
  <c r="B583" i="1"/>
  <c r="C583" i="1"/>
  <c r="D583" i="1"/>
  <c r="E583" i="1"/>
  <c r="F583" i="1"/>
  <c r="A584" i="1"/>
  <c r="B584" i="1"/>
  <c r="C584" i="1"/>
  <c r="D584" i="1"/>
  <c r="E584" i="1"/>
  <c r="F584" i="1"/>
  <c r="A585" i="1"/>
  <c r="B585" i="1"/>
  <c r="C585" i="1"/>
  <c r="D585" i="1"/>
  <c r="E585" i="1"/>
  <c r="F585" i="1"/>
  <c r="A586" i="1"/>
  <c r="B586" i="1"/>
  <c r="C586" i="1"/>
  <c r="D586" i="1"/>
  <c r="E586" i="1"/>
  <c r="F586" i="1"/>
  <c r="A587" i="1"/>
  <c r="B587" i="1"/>
  <c r="C587" i="1"/>
  <c r="D587" i="1"/>
  <c r="E587" i="1"/>
  <c r="F587" i="1"/>
  <c r="A588" i="1"/>
  <c r="B588" i="1"/>
  <c r="C588" i="1"/>
  <c r="D588" i="1"/>
  <c r="E588" i="1"/>
  <c r="F588" i="1"/>
  <c r="A589" i="1"/>
  <c r="B589" i="1"/>
  <c r="C589" i="1"/>
  <c r="D589" i="1"/>
  <c r="E589" i="1"/>
  <c r="F589" i="1"/>
  <c r="A590" i="1"/>
  <c r="B590" i="1"/>
  <c r="C590" i="1"/>
  <c r="D590" i="1"/>
  <c r="E590" i="1"/>
  <c r="F590" i="1"/>
  <c r="A591" i="1"/>
  <c r="B591" i="1"/>
  <c r="C591" i="1"/>
  <c r="D591" i="1"/>
  <c r="E591" i="1"/>
  <c r="F591" i="1"/>
  <c r="A592" i="1"/>
  <c r="B592" i="1"/>
  <c r="C592" i="1"/>
  <c r="D592" i="1"/>
  <c r="E592" i="1"/>
  <c r="F592" i="1"/>
  <c r="A593" i="1"/>
  <c r="B593" i="1"/>
  <c r="C593" i="1"/>
  <c r="D593" i="1"/>
  <c r="E593" i="1"/>
  <c r="F593" i="1"/>
  <c r="A596" i="1"/>
  <c r="B596" i="1"/>
  <c r="C596" i="1"/>
  <c r="D596" i="1"/>
  <c r="E596" i="1"/>
  <c r="F596" i="1"/>
  <c r="A597" i="1"/>
  <c r="B597" i="1"/>
  <c r="C597" i="1"/>
  <c r="D597" i="1"/>
  <c r="E597" i="1"/>
  <c r="F597" i="1"/>
  <c r="A598" i="1"/>
  <c r="B598" i="1"/>
  <c r="C598" i="1"/>
  <c r="D598" i="1"/>
  <c r="E598" i="1"/>
  <c r="F598" i="1"/>
  <c r="A599" i="1"/>
  <c r="B599" i="1"/>
  <c r="C599" i="1"/>
  <c r="D599" i="1"/>
  <c r="E599" i="1"/>
  <c r="F599" i="1"/>
  <c r="A600" i="1"/>
  <c r="B600" i="1"/>
  <c r="C600" i="1"/>
  <c r="D600" i="1"/>
  <c r="E600" i="1"/>
  <c r="F600" i="1"/>
  <c r="A601" i="1"/>
  <c r="B601" i="1"/>
  <c r="C601" i="1"/>
  <c r="D601" i="1"/>
  <c r="E601" i="1"/>
  <c r="F601" i="1"/>
  <c r="A602" i="1"/>
  <c r="B602" i="1"/>
  <c r="C602" i="1"/>
  <c r="D602" i="1"/>
  <c r="E602" i="1"/>
  <c r="F602" i="1"/>
  <c r="A603" i="1"/>
  <c r="B603" i="1"/>
  <c r="C603" i="1"/>
  <c r="D603" i="1"/>
  <c r="E603" i="1"/>
  <c r="F603" i="1"/>
  <c r="A604" i="1"/>
  <c r="B604" i="1"/>
  <c r="C604" i="1"/>
  <c r="D604" i="1"/>
  <c r="E604" i="1"/>
  <c r="F604" i="1"/>
  <c r="A605" i="1"/>
  <c r="B605" i="1"/>
  <c r="C605" i="1"/>
  <c r="D605" i="1"/>
  <c r="E605" i="1"/>
  <c r="F605" i="1"/>
  <c r="A606" i="1"/>
  <c r="B606" i="1"/>
  <c r="C606" i="1"/>
  <c r="D606" i="1"/>
  <c r="E606" i="1"/>
  <c r="F606" i="1"/>
  <c r="A607" i="1"/>
  <c r="B607" i="1"/>
  <c r="C607" i="1"/>
  <c r="D607" i="1"/>
  <c r="E607" i="1"/>
  <c r="F607" i="1"/>
  <c r="A608" i="1"/>
  <c r="B608" i="1"/>
  <c r="C608" i="1"/>
  <c r="D608" i="1"/>
  <c r="E608" i="1"/>
  <c r="F608" i="1"/>
  <c r="A609" i="1"/>
  <c r="B609" i="1"/>
  <c r="C609" i="1"/>
  <c r="D609" i="1"/>
  <c r="E609" i="1"/>
  <c r="F609" i="1"/>
  <c r="A610" i="1"/>
  <c r="B610" i="1"/>
  <c r="C610" i="1"/>
  <c r="D610" i="1"/>
  <c r="E610" i="1"/>
  <c r="F610" i="1"/>
  <c r="A611" i="1"/>
  <c r="B611" i="1"/>
  <c r="C611" i="1"/>
  <c r="D611" i="1"/>
  <c r="E611" i="1"/>
  <c r="F611" i="1"/>
  <c r="A612" i="1"/>
  <c r="B612" i="1"/>
  <c r="C612" i="1"/>
  <c r="D612" i="1"/>
  <c r="E612" i="1"/>
  <c r="F612" i="1"/>
  <c r="A613" i="1"/>
  <c r="B613" i="1"/>
  <c r="C613" i="1"/>
  <c r="D613" i="1"/>
  <c r="E613" i="1"/>
  <c r="F613" i="1"/>
  <c r="A614" i="1"/>
  <c r="B614" i="1"/>
  <c r="C614" i="1"/>
  <c r="D614" i="1"/>
  <c r="E614" i="1"/>
  <c r="F614" i="1"/>
  <c r="A615" i="1"/>
  <c r="B615" i="1"/>
  <c r="C615" i="1"/>
  <c r="D615" i="1"/>
  <c r="E615" i="1"/>
  <c r="F615" i="1"/>
  <c r="A616" i="1"/>
  <c r="B616" i="1"/>
  <c r="C616" i="1"/>
  <c r="D616" i="1"/>
  <c r="E616" i="1"/>
  <c r="F616" i="1"/>
  <c r="A617" i="1"/>
  <c r="B617" i="1"/>
  <c r="C617" i="1"/>
  <c r="D617" i="1"/>
  <c r="E617" i="1"/>
  <c r="F617" i="1"/>
  <c r="A619" i="1"/>
  <c r="B619" i="1"/>
  <c r="C619" i="1"/>
  <c r="D619" i="1"/>
  <c r="E619" i="1"/>
  <c r="F619" i="1"/>
  <c r="A620" i="1"/>
  <c r="B620" i="1"/>
  <c r="C620" i="1"/>
  <c r="D620" i="1"/>
  <c r="E620" i="1"/>
  <c r="F620" i="1"/>
  <c r="A621" i="1"/>
  <c r="B621" i="1"/>
  <c r="C621" i="1"/>
  <c r="D621" i="1"/>
  <c r="E621" i="1"/>
  <c r="F621" i="1"/>
  <c r="A622" i="1"/>
  <c r="B622" i="1"/>
  <c r="C622" i="1"/>
  <c r="D622" i="1"/>
  <c r="E622" i="1"/>
  <c r="F622" i="1"/>
  <c r="A623" i="1"/>
  <c r="B623" i="1"/>
  <c r="C623" i="1"/>
  <c r="D623" i="1"/>
  <c r="E623" i="1"/>
  <c r="F623" i="1"/>
  <c r="A624" i="1"/>
  <c r="B624" i="1"/>
  <c r="C624" i="1"/>
  <c r="D624" i="1"/>
  <c r="E624" i="1"/>
  <c r="F624" i="1"/>
  <c r="A626" i="1"/>
  <c r="B626" i="1"/>
  <c r="C626" i="1"/>
  <c r="D626" i="1"/>
  <c r="A627" i="1"/>
  <c r="B627" i="1"/>
  <c r="C627" i="1"/>
  <c r="D627" i="1"/>
  <c r="E627" i="1"/>
  <c r="F627" i="1"/>
  <c r="A629" i="1"/>
  <c r="B629" i="1"/>
  <c r="C629" i="1"/>
  <c r="D629" i="1"/>
  <c r="E629" i="1"/>
  <c r="F629" i="1"/>
  <c r="A630" i="1"/>
  <c r="B630" i="1"/>
  <c r="C630" i="1"/>
  <c r="D630" i="1"/>
  <c r="E630" i="1"/>
  <c r="F630" i="1"/>
  <c r="A631" i="1"/>
  <c r="B631" i="1"/>
  <c r="C631" i="1"/>
  <c r="D631" i="1"/>
  <c r="E631" i="1"/>
  <c r="F631" i="1"/>
  <c r="A632" i="1"/>
  <c r="B632" i="1"/>
  <c r="C632" i="1"/>
  <c r="D632" i="1"/>
  <c r="E632" i="1"/>
  <c r="F632" i="1"/>
  <c r="A633" i="1"/>
  <c r="B633" i="1"/>
  <c r="C633" i="1"/>
  <c r="D633" i="1"/>
  <c r="E633" i="1"/>
  <c r="F633" i="1"/>
  <c r="A634" i="1"/>
  <c r="B634" i="1"/>
  <c r="C634" i="1"/>
  <c r="D634" i="1"/>
  <c r="E634" i="1"/>
  <c r="F634" i="1"/>
  <c r="A635" i="1"/>
  <c r="B635" i="1"/>
  <c r="C635" i="1"/>
  <c r="D635" i="1"/>
  <c r="E635" i="1"/>
  <c r="F635" i="1"/>
  <c r="A637" i="1"/>
  <c r="B637" i="1"/>
  <c r="C637" i="1"/>
  <c r="D637" i="1"/>
  <c r="E637" i="1"/>
  <c r="F637" i="1"/>
  <c r="A638" i="1"/>
  <c r="B638" i="1"/>
  <c r="C638" i="1"/>
  <c r="D638" i="1"/>
  <c r="E638" i="1"/>
  <c r="F638" i="1"/>
  <c r="A639" i="1"/>
  <c r="B639" i="1"/>
  <c r="C639" i="1"/>
  <c r="D639" i="1"/>
  <c r="E639" i="1"/>
  <c r="F639" i="1"/>
  <c r="A640" i="1"/>
  <c r="B640" i="1"/>
  <c r="C640" i="1"/>
  <c r="D640" i="1"/>
  <c r="E640" i="1"/>
  <c r="F640" i="1"/>
  <c r="A642" i="1"/>
  <c r="B642" i="1"/>
  <c r="C642" i="1"/>
  <c r="D642" i="1"/>
  <c r="E642" i="1"/>
  <c r="F642" i="1"/>
  <c r="A643" i="1"/>
  <c r="B643" i="1"/>
  <c r="C643" i="1"/>
  <c r="D643" i="1"/>
  <c r="E643" i="1"/>
  <c r="F643" i="1"/>
  <c r="A644" i="1"/>
  <c r="B644" i="1"/>
  <c r="C644" i="1"/>
  <c r="D644" i="1"/>
  <c r="E644" i="1"/>
  <c r="F644" i="1"/>
  <c r="A645" i="1"/>
  <c r="B645" i="1"/>
  <c r="C645" i="1"/>
  <c r="D645" i="1"/>
  <c r="E645" i="1"/>
  <c r="F645" i="1"/>
  <c r="A646" i="1"/>
  <c r="B646" i="1"/>
  <c r="C646" i="1"/>
  <c r="D646" i="1"/>
  <c r="E646" i="1"/>
  <c r="F646" i="1"/>
  <c r="A647" i="1"/>
  <c r="B647" i="1"/>
  <c r="C647" i="1"/>
  <c r="D647" i="1"/>
  <c r="E647" i="1"/>
  <c r="F647" i="1"/>
  <c r="A648" i="1"/>
  <c r="B648" i="1"/>
  <c r="C648" i="1"/>
  <c r="D648" i="1"/>
  <c r="E648" i="1"/>
  <c r="F648" i="1"/>
  <c r="A649" i="1"/>
  <c r="B649" i="1"/>
  <c r="C649" i="1"/>
  <c r="D649" i="1"/>
  <c r="E649" i="1"/>
  <c r="F649" i="1"/>
  <c r="A650" i="1"/>
  <c r="B650" i="1"/>
  <c r="C650" i="1"/>
  <c r="D650" i="1"/>
  <c r="E650" i="1"/>
  <c r="F650" i="1"/>
  <c r="A651" i="1"/>
  <c r="B651" i="1"/>
  <c r="C651" i="1"/>
  <c r="D651" i="1"/>
  <c r="E651" i="1"/>
  <c r="F651" i="1"/>
  <c r="A652" i="1"/>
  <c r="B652" i="1"/>
  <c r="C652" i="1"/>
  <c r="D652" i="1"/>
  <c r="E652" i="1"/>
  <c r="F652" i="1"/>
  <c r="A653" i="1"/>
  <c r="B653" i="1"/>
  <c r="C653" i="1"/>
  <c r="D653" i="1"/>
  <c r="E653" i="1"/>
  <c r="F653" i="1"/>
  <c r="A654" i="1"/>
  <c r="B654" i="1"/>
  <c r="C654" i="1"/>
  <c r="D654" i="1"/>
  <c r="E654" i="1"/>
  <c r="F654" i="1"/>
  <c r="A655" i="1"/>
  <c r="B655" i="1"/>
  <c r="C655" i="1"/>
  <c r="D655" i="1"/>
  <c r="E655" i="1"/>
  <c r="F655" i="1"/>
  <c r="A656" i="1"/>
  <c r="B656" i="1"/>
  <c r="C656" i="1"/>
  <c r="D656" i="1"/>
  <c r="E656" i="1"/>
  <c r="F656" i="1"/>
  <c r="A657" i="1"/>
  <c r="B657" i="1"/>
  <c r="C657" i="1"/>
  <c r="D657" i="1"/>
  <c r="E657" i="1"/>
  <c r="F657" i="1"/>
  <c r="A658" i="1"/>
  <c r="B658" i="1"/>
  <c r="C658" i="1"/>
  <c r="D658" i="1"/>
  <c r="E658" i="1"/>
  <c r="F658" i="1"/>
  <c r="A659" i="1"/>
  <c r="B659" i="1"/>
  <c r="C659" i="1"/>
  <c r="D659" i="1"/>
  <c r="E659" i="1"/>
  <c r="F659" i="1"/>
  <c r="A660" i="1"/>
  <c r="B660" i="1"/>
  <c r="C660" i="1"/>
  <c r="D660" i="1"/>
  <c r="E660" i="1"/>
  <c r="F660" i="1"/>
  <c r="A661" i="1"/>
  <c r="B661" i="1"/>
  <c r="C661" i="1"/>
  <c r="D661" i="1"/>
  <c r="E661" i="1"/>
  <c r="F661" i="1"/>
  <c r="A662" i="1"/>
  <c r="B662" i="1"/>
  <c r="C662" i="1"/>
  <c r="D662" i="1"/>
  <c r="E662" i="1"/>
  <c r="F662" i="1"/>
  <c r="A663" i="1"/>
  <c r="B663" i="1"/>
  <c r="C663" i="1"/>
  <c r="D663" i="1"/>
  <c r="E663" i="1"/>
  <c r="F663" i="1"/>
  <c r="A664" i="1"/>
  <c r="B664" i="1"/>
  <c r="C664" i="1"/>
  <c r="D664" i="1"/>
  <c r="E664" i="1"/>
  <c r="F664" i="1"/>
  <c r="A665" i="1"/>
  <c r="B665" i="1"/>
  <c r="C665" i="1"/>
  <c r="D665" i="1"/>
  <c r="E665" i="1"/>
  <c r="F665" i="1"/>
  <c r="A666" i="1"/>
  <c r="B666" i="1"/>
  <c r="C666" i="1"/>
  <c r="D666" i="1"/>
  <c r="E666" i="1"/>
  <c r="F666" i="1"/>
  <c r="A667" i="1"/>
  <c r="B667" i="1"/>
  <c r="C667" i="1"/>
  <c r="D667" i="1"/>
  <c r="E667" i="1"/>
  <c r="F667" i="1"/>
  <c r="A668" i="1"/>
  <c r="B668" i="1"/>
  <c r="C668" i="1"/>
  <c r="D668" i="1"/>
  <c r="E668" i="1"/>
  <c r="F668" i="1"/>
  <c r="A669" i="1"/>
  <c r="B669" i="1"/>
  <c r="C669" i="1"/>
  <c r="D669" i="1"/>
  <c r="E669" i="1"/>
  <c r="F669" i="1"/>
  <c r="A670" i="1"/>
  <c r="B670" i="1"/>
  <c r="C670" i="1"/>
  <c r="D670" i="1"/>
  <c r="E670" i="1"/>
  <c r="F670" i="1"/>
  <c r="A671" i="1"/>
  <c r="B671" i="1"/>
  <c r="C671" i="1"/>
  <c r="D671" i="1"/>
  <c r="E671" i="1"/>
  <c r="F671" i="1"/>
  <c r="A672" i="1"/>
  <c r="B672" i="1"/>
  <c r="C672" i="1"/>
  <c r="D672" i="1"/>
  <c r="E672" i="1"/>
  <c r="F672" i="1"/>
  <c r="A673" i="1"/>
  <c r="B673" i="1"/>
  <c r="C673" i="1"/>
  <c r="D673" i="1"/>
  <c r="E673" i="1"/>
  <c r="F673" i="1"/>
  <c r="A674" i="1"/>
  <c r="B674" i="1"/>
  <c r="C674" i="1"/>
  <c r="D674" i="1"/>
  <c r="E674" i="1"/>
  <c r="F674" i="1"/>
  <c r="A675" i="1"/>
  <c r="B675" i="1"/>
  <c r="C675" i="1"/>
  <c r="D675" i="1"/>
  <c r="E675" i="1"/>
  <c r="F675" i="1"/>
  <c r="A676" i="1"/>
  <c r="B676" i="1"/>
  <c r="C676" i="1"/>
  <c r="D676" i="1"/>
  <c r="E676" i="1"/>
  <c r="F676" i="1"/>
  <c r="A677" i="1"/>
  <c r="B677" i="1"/>
  <c r="C677" i="1"/>
  <c r="D677" i="1"/>
  <c r="E677" i="1"/>
  <c r="F677" i="1"/>
  <c r="A678" i="1"/>
  <c r="B678" i="1"/>
  <c r="C678" i="1"/>
  <c r="D678" i="1"/>
  <c r="E678" i="1"/>
  <c r="F678" i="1"/>
  <c r="A679" i="1"/>
  <c r="B679" i="1"/>
  <c r="C679" i="1"/>
  <c r="D679" i="1"/>
  <c r="E679" i="1"/>
  <c r="F679" i="1"/>
  <c r="A680" i="1"/>
  <c r="B680" i="1"/>
  <c r="C680" i="1"/>
  <c r="D680" i="1"/>
  <c r="E680" i="1"/>
  <c r="F680" i="1"/>
  <c r="A681" i="1"/>
  <c r="B681" i="1"/>
  <c r="C681" i="1"/>
  <c r="D681" i="1"/>
  <c r="E681" i="1"/>
  <c r="F681" i="1"/>
  <c r="A682" i="1"/>
  <c r="B682" i="1"/>
  <c r="C682" i="1"/>
  <c r="D682" i="1"/>
  <c r="E682" i="1"/>
  <c r="F682" i="1"/>
  <c r="A683" i="1"/>
  <c r="B683" i="1"/>
  <c r="C683" i="1"/>
  <c r="D683" i="1"/>
  <c r="E683" i="1"/>
  <c r="F683" i="1"/>
  <c r="A684" i="1"/>
  <c r="B684" i="1"/>
  <c r="C684" i="1"/>
  <c r="D684" i="1"/>
  <c r="E684" i="1"/>
  <c r="F684" i="1"/>
  <c r="A685" i="1"/>
  <c r="B685" i="1"/>
  <c r="C685" i="1"/>
  <c r="D685" i="1"/>
  <c r="E685" i="1"/>
  <c r="F685" i="1"/>
  <c r="A686" i="1"/>
  <c r="B686" i="1"/>
  <c r="C686" i="1"/>
  <c r="D686" i="1"/>
  <c r="E686" i="1"/>
  <c r="F686" i="1"/>
  <c r="A687" i="1"/>
  <c r="B687" i="1"/>
  <c r="C687" i="1"/>
  <c r="D687" i="1"/>
  <c r="E687" i="1"/>
  <c r="F687" i="1"/>
  <c r="A688" i="1"/>
  <c r="B688" i="1"/>
  <c r="C688" i="1"/>
  <c r="D688" i="1"/>
  <c r="E688" i="1"/>
  <c r="F688" i="1"/>
  <c r="A689" i="1"/>
  <c r="B689" i="1"/>
  <c r="C689" i="1"/>
  <c r="D689" i="1"/>
  <c r="E689" i="1"/>
  <c r="F689" i="1"/>
  <c r="A690" i="1"/>
  <c r="B690" i="1"/>
  <c r="C690" i="1"/>
  <c r="D690" i="1"/>
  <c r="E690" i="1"/>
  <c r="F690" i="1"/>
  <c r="A691" i="1"/>
  <c r="B691" i="1"/>
  <c r="C691" i="1"/>
  <c r="D691" i="1"/>
  <c r="E691" i="1"/>
  <c r="F691" i="1"/>
  <c r="A692" i="1"/>
  <c r="B692" i="1"/>
  <c r="C692" i="1"/>
  <c r="D692" i="1"/>
  <c r="E692" i="1"/>
  <c r="F692" i="1"/>
  <c r="A693" i="1"/>
  <c r="B693" i="1"/>
  <c r="C693" i="1"/>
  <c r="D693" i="1"/>
  <c r="E693" i="1"/>
  <c r="F693" i="1"/>
  <c r="A694" i="1"/>
  <c r="B694" i="1"/>
  <c r="C694" i="1"/>
  <c r="D694" i="1"/>
  <c r="E694" i="1"/>
  <c r="F694" i="1"/>
  <c r="A695" i="1"/>
  <c r="B695" i="1"/>
  <c r="C695" i="1"/>
  <c r="D695" i="1"/>
  <c r="E695" i="1"/>
  <c r="F695" i="1"/>
  <c r="A696" i="1"/>
  <c r="B696" i="1"/>
  <c r="C696" i="1"/>
  <c r="D696" i="1"/>
  <c r="E696" i="1"/>
  <c r="F696" i="1"/>
  <c r="A697" i="1"/>
  <c r="B697" i="1"/>
  <c r="C697" i="1"/>
  <c r="D697" i="1"/>
  <c r="E697" i="1"/>
  <c r="F697" i="1"/>
  <c r="A698" i="1"/>
  <c r="B698" i="1"/>
  <c r="C698" i="1"/>
  <c r="D698" i="1"/>
  <c r="E698" i="1"/>
  <c r="F698" i="1"/>
  <c r="A699" i="1"/>
  <c r="B699" i="1"/>
  <c r="C699" i="1"/>
  <c r="D699" i="1"/>
  <c r="E699" i="1"/>
  <c r="F699" i="1"/>
  <c r="A700" i="1"/>
  <c r="B700" i="1"/>
  <c r="C700" i="1"/>
  <c r="D700" i="1"/>
  <c r="E700" i="1"/>
  <c r="F700" i="1"/>
  <c r="A701" i="1"/>
  <c r="B701" i="1"/>
  <c r="C701" i="1"/>
  <c r="D701" i="1"/>
  <c r="E701" i="1"/>
  <c r="F701" i="1"/>
  <c r="A702" i="1"/>
  <c r="B702" i="1"/>
  <c r="C702" i="1"/>
  <c r="D702" i="1"/>
  <c r="E702" i="1"/>
  <c r="F702" i="1"/>
  <c r="A703" i="1"/>
  <c r="B703" i="1"/>
  <c r="C703" i="1"/>
  <c r="D703" i="1"/>
  <c r="E703" i="1"/>
  <c r="F703" i="1"/>
  <c r="A704" i="1"/>
  <c r="B704" i="1"/>
  <c r="C704" i="1"/>
  <c r="D704" i="1"/>
  <c r="E704" i="1"/>
  <c r="F704" i="1"/>
  <c r="A705" i="1"/>
  <c r="B705" i="1"/>
  <c r="C705" i="1"/>
  <c r="D705" i="1"/>
  <c r="E705" i="1"/>
  <c r="F705" i="1"/>
  <c r="A706" i="1"/>
  <c r="B706" i="1"/>
  <c r="C706" i="1"/>
  <c r="D706" i="1"/>
  <c r="E706" i="1"/>
  <c r="F706" i="1"/>
  <c r="A707" i="1"/>
  <c r="B707" i="1"/>
  <c r="C707" i="1"/>
  <c r="D707" i="1"/>
  <c r="E707" i="1"/>
  <c r="F707" i="1"/>
  <c r="A708" i="1"/>
  <c r="B708" i="1"/>
  <c r="C708" i="1"/>
  <c r="D708" i="1"/>
  <c r="E708" i="1"/>
  <c r="F708" i="1"/>
  <c r="A709" i="1"/>
  <c r="B709" i="1"/>
  <c r="C709" i="1"/>
  <c r="D709" i="1"/>
  <c r="E709" i="1"/>
  <c r="F709" i="1"/>
  <c r="A710" i="1"/>
  <c r="B710" i="1"/>
  <c r="C710" i="1"/>
  <c r="D710" i="1"/>
  <c r="E710" i="1"/>
  <c r="F710" i="1"/>
  <c r="A711" i="1"/>
  <c r="B711" i="1"/>
  <c r="C711" i="1"/>
  <c r="D711" i="1"/>
  <c r="E711" i="1"/>
  <c r="F711" i="1"/>
  <c r="A712" i="1"/>
  <c r="B712" i="1"/>
  <c r="C712" i="1"/>
  <c r="D712" i="1"/>
  <c r="E712" i="1"/>
  <c r="F712" i="1"/>
  <c r="A713" i="1"/>
  <c r="B713" i="1"/>
  <c r="C713" i="1"/>
  <c r="D713" i="1"/>
  <c r="E713" i="1"/>
  <c r="F713" i="1"/>
  <c r="A714" i="1"/>
  <c r="B714" i="1"/>
  <c r="C714" i="1"/>
  <c r="D714" i="1"/>
  <c r="E714" i="1"/>
  <c r="F714" i="1"/>
  <c r="A715" i="1"/>
  <c r="B715" i="1"/>
  <c r="C715" i="1"/>
  <c r="D715" i="1"/>
  <c r="E715" i="1"/>
  <c r="F715" i="1"/>
  <c r="A716" i="1"/>
  <c r="B716" i="1"/>
  <c r="C716" i="1"/>
  <c r="D716" i="1"/>
  <c r="E716" i="1"/>
  <c r="F716" i="1"/>
  <c r="A717" i="1"/>
  <c r="B717" i="1"/>
  <c r="C717" i="1"/>
  <c r="D717" i="1"/>
  <c r="E717" i="1"/>
  <c r="F717" i="1"/>
  <c r="A718" i="1"/>
  <c r="B718" i="1"/>
  <c r="C718" i="1"/>
  <c r="D718" i="1"/>
  <c r="E718" i="1"/>
  <c r="F718" i="1"/>
  <c r="A719" i="1"/>
  <c r="B719" i="1"/>
  <c r="C719" i="1"/>
  <c r="D719" i="1"/>
  <c r="E719" i="1"/>
  <c r="F719" i="1"/>
  <c r="A720" i="1"/>
  <c r="B720" i="1"/>
  <c r="C720" i="1"/>
  <c r="D720" i="1"/>
  <c r="E720" i="1"/>
  <c r="F720" i="1"/>
  <c r="A721" i="1"/>
  <c r="B721" i="1"/>
  <c r="C721" i="1"/>
  <c r="D721" i="1"/>
  <c r="E721" i="1"/>
  <c r="F721" i="1"/>
  <c r="A722" i="1"/>
  <c r="B722" i="1"/>
  <c r="C722" i="1"/>
  <c r="D722" i="1"/>
  <c r="E722" i="1"/>
  <c r="F722" i="1"/>
  <c r="A723" i="1"/>
  <c r="B723" i="1"/>
  <c r="C723" i="1"/>
  <c r="D723" i="1"/>
  <c r="E723" i="1"/>
  <c r="F723" i="1"/>
  <c r="A724" i="1"/>
  <c r="B724" i="1"/>
  <c r="C724" i="1"/>
  <c r="D724" i="1"/>
  <c r="E724" i="1"/>
  <c r="F724" i="1"/>
  <c r="A725" i="1"/>
  <c r="B725" i="1"/>
  <c r="C725" i="1"/>
  <c r="D725" i="1"/>
  <c r="E725" i="1"/>
  <c r="F725" i="1"/>
  <c r="A726" i="1"/>
  <c r="B726" i="1"/>
  <c r="C726" i="1"/>
  <c r="D726" i="1"/>
  <c r="E726" i="1"/>
  <c r="F726" i="1"/>
  <c r="A727" i="1"/>
  <c r="B727" i="1"/>
  <c r="C727" i="1"/>
  <c r="D727" i="1"/>
  <c r="E727" i="1"/>
  <c r="F727" i="1"/>
  <c r="A728" i="1"/>
  <c r="B728" i="1"/>
  <c r="C728" i="1"/>
  <c r="D728" i="1"/>
  <c r="E728" i="1"/>
  <c r="F728" i="1"/>
  <c r="A729" i="1"/>
  <c r="B729" i="1"/>
  <c r="C729" i="1"/>
  <c r="D729" i="1"/>
  <c r="E729" i="1"/>
  <c r="F729" i="1"/>
  <c r="A730" i="1"/>
  <c r="B730" i="1"/>
  <c r="C730" i="1"/>
  <c r="D730" i="1"/>
  <c r="E730" i="1"/>
  <c r="F730" i="1"/>
  <c r="A731" i="1"/>
  <c r="B731" i="1"/>
  <c r="C731" i="1"/>
  <c r="D731" i="1"/>
  <c r="E731" i="1"/>
  <c r="F731" i="1"/>
  <c r="A732" i="1"/>
  <c r="B732" i="1"/>
  <c r="C732" i="1"/>
  <c r="D732" i="1"/>
  <c r="E732" i="1"/>
  <c r="F732" i="1"/>
  <c r="A733" i="1"/>
  <c r="B733" i="1"/>
  <c r="C733" i="1"/>
  <c r="D733" i="1"/>
  <c r="E733" i="1"/>
  <c r="F733" i="1"/>
  <c r="A734" i="1"/>
  <c r="B734" i="1"/>
  <c r="C734" i="1"/>
  <c r="D734" i="1"/>
  <c r="E734" i="1"/>
  <c r="F734" i="1"/>
  <c r="A735" i="1"/>
  <c r="B735" i="1"/>
  <c r="C735" i="1"/>
  <c r="D735" i="1"/>
  <c r="E735" i="1"/>
  <c r="F735" i="1"/>
  <c r="A736" i="1"/>
  <c r="B736" i="1"/>
  <c r="C736" i="1"/>
  <c r="D736" i="1"/>
  <c r="E736" i="1"/>
  <c r="F736" i="1"/>
  <c r="A737" i="1"/>
  <c r="B737" i="1"/>
  <c r="C737" i="1"/>
  <c r="D737" i="1"/>
  <c r="E737" i="1"/>
  <c r="F737" i="1"/>
  <c r="A738" i="1"/>
  <c r="B738" i="1"/>
  <c r="C738" i="1"/>
  <c r="D738" i="1"/>
  <c r="E738" i="1"/>
  <c r="F738" i="1"/>
  <c r="A739" i="1"/>
  <c r="B739" i="1"/>
  <c r="C739" i="1"/>
  <c r="D739" i="1"/>
  <c r="E739" i="1"/>
  <c r="F739" i="1"/>
  <c r="A740" i="1"/>
  <c r="B740" i="1"/>
  <c r="C740" i="1"/>
  <c r="D740" i="1"/>
  <c r="E740" i="1"/>
  <c r="F740" i="1"/>
  <c r="A741" i="1"/>
  <c r="B741" i="1"/>
  <c r="C741" i="1"/>
  <c r="D741" i="1"/>
  <c r="E741" i="1"/>
  <c r="F741" i="1"/>
  <c r="A742" i="1"/>
  <c r="B742" i="1"/>
  <c r="C742" i="1"/>
  <c r="D742" i="1"/>
  <c r="E742" i="1"/>
  <c r="F742" i="1"/>
  <c r="A743" i="1"/>
  <c r="B743" i="1"/>
  <c r="C743" i="1"/>
  <c r="D743" i="1"/>
  <c r="E743" i="1"/>
  <c r="F743" i="1"/>
  <c r="A744" i="1"/>
  <c r="B744" i="1"/>
  <c r="C744" i="1"/>
  <c r="D744" i="1"/>
  <c r="E744" i="1"/>
  <c r="F744" i="1"/>
  <c r="A745" i="1"/>
  <c r="B745" i="1"/>
  <c r="C745" i="1"/>
  <c r="D745" i="1"/>
  <c r="E745" i="1"/>
  <c r="F745" i="1"/>
  <c r="A746" i="1"/>
  <c r="B746" i="1"/>
  <c r="C746" i="1"/>
  <c r="D746" i="1"/>
  <c r="E746" i="1"/>
  <c r="F746" i="1"/>
  <c r="A747" i="1"/>
  <c r="B747" i="1"/>
  <c r="C747" i="1"/>
  <c r="D747" i="1"/>
  <c r="E747" i="1"/>
  <c r="F747" i="1"/>
  <c r="A748" i="1"/>
  <c r="B748" i="1"/>
  <c r="C748" i="1"/>
  <c r="D748" i="1"/>
  <c r="E748" i="1"/>
  <c r="F748" i="1"/>
  <c r="A749" i="1"/>
  <c r="B749" i="1"/>
  <c r="C749" i="1"/>
  <c r="D749" i="1"/>
  <c r="E749" i="1"/>
  <c r="F749" i="1"/>
  <c r="A750" i="1"/>
  <c r="B750" i="1"/>
  <c r="C750" i="1"/>
  <c r="D750" i="1"/>
  <c r="E750" i="1"/>
  <c r="F750" i="1"/>
  <c r="A751" i="1"/>
  <c r="B751" i="1"/>
  <c r="C751" i="1"/>
  <c r="D751" i="1"/>
  <c r="E751" i="1"/>
  <c r="F751" i="1"/>
  <c r="A752" i="1"/>
  <c r="B752" i="1"/>
  <c r="C752" i="1"/>
  <c r="D752" i="1"/>
  <c r="E752" i="1"/>
  <c r="F752" i="1"/>
  <c r="A753" i="1"/>
  <c r="B753" i="1"/>
  <c r="C753" i="1"/>
  <c r="D753" i="1"/>
  <c r="E753" i="1"/>
  <c r="F753" i="1"/>
  <c r="A754" i="1"/>
  <c r="B754" i="1"/>
  <c r="C754" i="1"/>
  <c r="D754" i="1"/>
  <c r="E754" i="1"/>
  <c r="F754" i="1"/>
  <c r="A755" i="1"/>
  <c r="B755" i="1"/>
  <c r="C755" i="1"/>
  <c r="D755" i="1"/>
  <c r="E755" i="1"/>
  <c r="F755" i="1"/>
  <c r="A756" i="1"/>
  <c r="B756" i="1"/>
  <c r="C756" i="1"/>
  <c r="D756" i="1"/>
  <c r="E756" i="1"/>
  <c r="F756" i="1"/>
  <c r="A757" i="1"/>
  <c r="B757" i="1"/>
  <c r="C757" i="1"/>
  <c r="D757" i="1"/>
  <c r="E757" i="1"/>
  <c r="F757" i="1"/>
  <c r="A758" i="1"/>
  <c r="B758" i="1"/>
  <c r="C758" i="1"/>
  <c r="D758" i="1"/>
  <c r="E758" i="1"/>
  <c r="F758" i="1"/>
  <c r="A759" i="1"/>
  <c r="B759" i="1"/>
  <c r="C759" i="1"/>
  <c r="D759" i="1"/>
  <c r="E759" i="1"/>
  <c r="F759" i="1"/>
  <c r="A760" i="1"/>
  <c r="B760" i="1"/>
  <c r="C760" i="1"/>
  <c r="D760" i="1"/>
  <c r="E760" i="1"/>
  <c r="F760" i="1"/>
  <c r="A761" i="1"/>
  <c r="B761" i="1"/>
  <c r="C761" i="1"/>
  <c r="D761" i="1"/>
  <c r="E761" i="1"/>
  <c r="F761" i="1"/>
  <c r="A762" i="1"/>
  <c r="B762" i="1"/>
  <c r="C762" i="1"/>
  <c r="D762" i="1"/>
  <c r="E762" i="1"/>
  <c r="F762" i="1"/>
  <c r="A763" i="1"/>
  <c r="B763" i="1"/>
  <c r="C763" i="1"/>
  <c r="D763" i="1"/>
  <c r="E763" i="1"/>
  <c r="F763" i="1"/>
  <c r="A764" i="1"/>
  <c r="B764" i="1"/>
  <c r="C764" i="1"/>
  <c r="D764" i="1"/>
  <c r="E764" i="1"/>
  <c r="F764" i="1"/>
  <c r="A765" i="1"/>
  <c r="B765" i="1"/>
  <c r="C765" i="1"/>
  <c r="D765" i="1"/>
  <c r="E765" i="1"/>
  <c r="F765" i="1"/>
  <c r="A766" i="1"/>
  <c r="B766" i="1"/>
  <c r="C766" i="1"/>
  <c r="D766" i="1"/>
  <c r="E766" i="1"/>
  <c r="F766" i="1"/>
  <c r="A767" i="1"/>
  <c r="B767" i="1"/>
  <c r="C767" i="1"/>
  <c r="D767" i="1"/>
  <c r="E767" i="1"/>
  <c r="F767" i="1"/>
  <c r="A768" i="1"/>
  <c r="B768" i="1"/>
  <c r="C768" i="1"/>
  <c r="D768" i="1"/>
  <c r="E768" i="1"/>
  <c r="F768" i="1"/>
  <c r="A769" i="1"/>
  <c r="B769" i="1"/>
  <c r="C769" i="1"/>
  <c r="D769" i="1"/>
  <c r="E769" i="1"/>
  <c r="F769" i="1"/>
  <c r="A770" i="1"/>
  <c r="B770" i="1"/>
  <c r="C770" i="1"/>
  <c r="D770" i="1"/>
  <c r="E770" i="1"/>
  <c r="F770" i="1"/>
  <c r="A771" i="1"/>
  <c r="B771" i="1"/>
  <c r="C771" i="1"/>
  <c r="D771" i="1"/>
  <c r="E771" i="1"/>
  <c r="F771" i="1"/>
  <c r="A772" i="1"/>
  <c r="B772" i="1"/>
  <c r="C772" i="1"/>
  <c r="D772" i="1"/>
  <c r="E772" i="1"/>
  <c r="F772" i="1"/>
  <c r="A773" i="1"/>
  <c r="B773" i="1"/>
  <c r="C773" i="1"/>
  <c r="D773" i="1"/>
  <c r="E773" i="1"/>
  <c r="F773" i="1"/>
  <c r="A774" i="1"/>
  <c r="B774" i="1"/>
  <c r="C774" i="1"/>
  <c r="D774" i="1"/>
  <c r="E774" i="1"/>
  <c r="F774" i="1"/>
  <c r="A775" i="1"/>
  <c r="B775" i="1"/>
  <c r="C775" i="1"/>
  <c r="D775" i="1"/>
  <c r="E775" i="1"/>
  <c r="F775" i="1"/>
  <c r="A776" i="1"/>
  <c r="B776" i="1"/>
  <c r="C776" i="1"/>
  <c r="D776" i="1"/>
  <c r="E776" i="1"/>
  <c r="F776" i="1"/>
  <c r="A777" i="1"/>
  <c r="B777" i="1"/>
  <c r="C777" i="1"/>
  <c r="D777" i="1"/>
  <c r="E777" i="1"/>
  <c r="F777" i="1"/>
  <c r="A778" i="1"/>
  <c r="B778" i="1"/>
  <c r="C778" i="1"/>
  <c r="D778" i="1"/>
  <c r="E778" i="1"/>
  <c r="F778" i="1"/>
  <c r="A779" i="1"/>
  <c r="B779" i="1"/>
  <c r="C779" i="1"/>
  <c r="D779" i="1"/>
  <c r="E779" i="1"/>
  <c r="F779" i="1"/>
  <c r="A780" i="1"/>
  <c r="B780" i="1"/>
  <c r="C780" i="1"/>
  <c r="D780" i="1"/>
  <c r="E780" i="1"/>
  <c r="F780" i="1"/>
  <c r="A781" i="1"/>
  <c r="B781" i="1"/>
  <c r="C781" i="1"/>
  <c r="D781" i="1"/>
  <c r="E781" i="1"/>
  <c r="F781" i="1"/>
  <c r="A782" i="1"/>
  <c r="B782" i="1"/>
  <c r="C782" i="1"/>
  <c r="D782" i="1"/>
  <c r="E782" i="1"/>
  <c r="F782" i="1"/>
  <c r="A783" i="1"/>
  <c r="B783" i="1"/>
  <c r="C783" i="1"/>
  <c r="D783" i="1"/>
  <c r="E783" i="1"/>
  <c r="F783" i="1"/>
  <c r="A784" i="1"/>
  <c r="B784" i="1"/>
  <c r="C784" i="1"/>
  <c r="D784" i="1"/>
  <c r="E784" i="1"/>
  <c r="F784" i="1"/>
  <c r="A785" i="1"/>
  <c r="B785" i="1"/>
  <c r="C785" i="1"/>
  <c r="D785" i="1"/>
  <c r="E785" i="1"/>
  <c r="F785" i="1"/>
  <c r="A786" i="1"/>
  <c r="B786" i="1"/>
  <c r="C786" i="1"/>
  <c r="D786" i="1"/>
  <c r="E786" i="1"/>
  <c r="F786" i="1"/>
  <c r="A787" i="1"/>
  <c r="B787" i="1"/>
  <c r="C787" i="1"/>
  <c r="D787" i="1"/>
  <c r="E787" i="1"/>
  <c r="F787" i="1"/>
  <c r="A788" i="1"/>
  <c r="B788" i="1"/>
  <c r="C788" i="1"/>
  <c r="D788" i="1"/>
  <c r="E788" i="1"/>
  <c r="F788" i="1"/>
  <c r="A789" i="1"/>
  <c r="B789" i="1"/>
  <c r="C789" i="1"/>
  <c r="D789" i="1"/>
  <c r="E789" i="1"/>
  <c r="F789" i="1"/>
  <c r="A790" i="1"/>
  <c r="B790" i="1"/>
  <c r="C790" i="1"/>
  <c r="D790" i="1"/>
  <c r="E790" i="1"/>
  <c r="F790" i="1"/>
  <c r="A791" i="1"/>
  <c r="B791" i="1"/>
  <c r="C791" i="1"/>
  <c r="D791" i="1"/>
  <c r="E791" i="1"/>
  <c r="F791" i="1"/>
  <c r="A792" i="1"/>
  <c r="B792" i="1"/>
  <c r="C792" i="1"/>
  <c r="D792" i="1"/>
  <c r="E792" i="1"/>
  <c r="F792" i="1"/>
  <c r="A793" i="1"/>
  <c r="B793" i="1"/>
  <c r="C793" i="1"/>
  <c r="D793" i="1"/>
  <c r="E793" i="1"/>
  <c r="F793" i="1"/>
  <c r="A794" i="1"/>
  <c r="B794" i="1"/>
  <c r="C794" i="1"/>
  <c r="D794" i="1"/>
  <c r="E794" i="1"/>
  <c r="F794" i="1"/>
  <c r="A795" i="1"/>
  <c r="B795" i="1"/>
  <c r="C795" i="1"/>
  <c r="D795" i="1"/>
  <c r="E795" i="1"/>
  <c r="F795" i="1"/>
  <c r="A796" i="1"/>
  <c r="B796" i="1"/>
  <c r="C796" i="1"/>
  <c r="D796" i="1"/>
  <c r="E796" i="1"/>
  <c r="F796" i="1"/>
  <c r="A797" i="1"/>
  <c r="B797" i="1"/>
  <c r="C797" i="1"/>
  <c r="D797" i="1"/>
  <c r="E797" i="1"/>
  <c r="F797" i="1"/>
  <c r="A798" i="1"/>
  <c r="B798" i="1"/>
  <c r="C798" i="1"/>
  <c r="D798" i="1"/>
  <c r="E798" i="1"/>
  <c r="F798" i="1"/>
  <c r="A799" i="1"/>
  <c r="B799" i="1"/>
  <c r="C799" i="1"/>
  <c r="D799" i="1"/>
  <c r="E799" i="1"/>
  <c r="F799" i="1"/>
  <c r="A800" i="1"/>
  <c r="B800" i="1"/>
  <c r="C800" i="1"/>
  <c r="D800" i="1"/>
  <c r="E800" i="1"/>
  <c r="F800" i="1"/>
  <c r="A801" i="1"/>
  <c r="B801" i="1"/>
  <c r="C801" i="1"/>
  <c r="D801" i="1"/>
  <c r="E801" i="1"/>
  <c r="F801" i="1"/>
  <c r="A802" i="1"/>
  <c r="B802" i="1"/>
  <c r="C802" i="1"/>
  <c r="D802" i="1"/>
  <c r="E802" i="1"/>
  <c r="F802" i="1"/>
  <c r="A803" i="1"/>
  <c r="B803" i="1"/>
  <c r="C803" i="1"/>
  <c r="D803" i="1"/>
  <c r="E803" i="1"/>
  <c r="F803" i="1"/>
  <c r="A804" i="1"/>
  <c r="B804" i="1"/>
  <c r="C804" i="1"/>
  <c r="D804" i="1"/>
  <c r="E804" i="1"/>
  <c r="F804" i="1"/>
  <c r="A805" i="1"/>
  <c r="B805" i="1"/>
  <c r="C805" i="1"/>
  <c r="D805" i="1"/>
  <c r="E805" i="1"/>
  <c r="F805" i="1"/>
  <c r="A806" i="1"/>
  <c r="B806" i="1"/>
  <c r="C806" i="1"/>
  <c r="D806" i="1"/>
  <c r="E806" i="1"/>
  <c r="F806" i="1"/>
  <c r="A807" i="1"/>
  <c r="B807" i="1"/>
  <c r="C807" i="1"/>
  <c r="D807" i="1"/>
  <c r="E807" i="1"/>
  <c r="F807" i="1"/>
  <c r="A808" i="1"/>
  <c r="B808" i="1"/>
  <c r="C808" i="1"/>
  <c r="D808" i="1"/>
  <c r="E808" i="1"/>
  <c r="F808" i="1"/>
  <c r="A809" i="1"/>
  <c r="B809" i="1"/>
  <c r="C809" i="1"/>
  <c r="D809" i="1"/>
  <c r="E809" i="1"/>
  <c r="F809" i="1"/>
  <c r="A810" i="1"/>
  <c r="B810" i="1"/>
  <c r="C810" i="1"/>
  <c r="D810" i="1"/>
  <c r="E810" i="1"/>
  <c r="F810" i="1"/>
  <c r="A811" i="1"/>
  <c r="B811" i="1"/>
  <c r="C811" i="1"/>
  <c r="D811" i="1"/>
  <c r="E811" i="1"/>
  <c r="F811" i="1"/>
  <c r="A812" i="1"/>
  <c r="B812" i="1"/>
  <c r="C812" i="1"/>
  <c r="D812" i="1"/>
  <c r="E812" i="1"/>
  <c r="F812" i="1"/>
  <c r="A813" i="1"/>
  <c r="B813" i="1"/>
  <c r="C813" i="1"/>
  <c r="D813" i="1"/>
  <c r="E813" i="1"/>
  <c r="F813" i="1"/>
  <c r="A814" i="1"/>
  <c r="B814" i="1"/>
  <c r="C814" i="1"/>
  <c r="D814" i="1"/>
  <c r="E814" i="1"/>
  <c r="F814" i="1"/>
  <c r="A815" i="1"/>
  <c r="B815" i="1"/>
  <c r="C815" i="1"/>
  <c r="D815" i="1"/>
  <c r="E815" i="1"/>
  <c r="F815" i="1"/>
  <c r="A816" i="1"/>
  <c r="B816" i="1"/>
  <c r="C816" i="1"/>
  <c r="D816" i="1"/>
  <c r="E816" i="1"/>
  <c r="F816" i="1"/>
  <c r="A817" i="1"/>
  <c r="B817" i="1"/>
  <c r="C817" i="1"/>
  <c r="D817" i="1"/>
  <c r="E817" i="1"/>
  <c r="F817" i="1"/>
  <c r="A818" i="1"/>
  <c r="B818" i="1"/>
  <c r="C818" i="1"/>
  <c r="D818" i="1"/>
  <c r="E818" i="1"/>
  <c r="F818" i="1"/>
  <c r="A819" i="1"/>
  <c r="B819" i="1"/>
  <c r="C819" i="1"/>
  <c r="D819" i="1"/>
  <c r="E819" i="1"/>
  <c r="F819" i="1"/>
  <c r="A820" i="1"/>
  <c r="B820" i="1"/>
  <c r="C820" i="1"/>
  <c r="D820" i="1"/>
  <c r="E820" i="1"/>
  <c r="F820" i="1"/>
  <c r="A821" i="1"/>
  <c r="B821" i="1"/>
  <c r="C821" i="1"/>
  <c r="D821" i="1"/>
  <c r="E821" i="1"/>
  <c r="F821" i="1"/>
  <c r="A822" i="1"/>
  <c r="B822" i="1"/>
  <c r="C822" i="1"/>
  <c r="D822" i="1"/>
  <c r="E822" i="1"/>
  <c r="F822" i="1"/>
  <c r="A823" i="1"/>
  <c r="B823" i="1"/>
  <c r="C823" i="1"/>
  <c r="D823" i="1"/>
  <c r="E823" i="1"/>
  <c r="F823" i="1"/>
  <c r="A824" i="1"/>
  <c r="B824" i="1"/>
  <c r="C824" i="1"/>
  <c r="D824" i="1"/>
  <c r="E824" i="1"/>
  <c r="F824" i="1"/>
  <c r="A825" i="1"/>
  <c r="B825" i="1"/>
  <c r="C825" i="1"/>
  <c r="D825" i="1"/>
  <c r="E825" i="1"/>
  <c r="F825" i="1"/>
  <c r="A826" i="1"/>
  <c r="B826" i="1"/>
  <c r="C826" i="1"/>
  <c r="D826" i="1"/>
  <c r="E826" i="1"/>
  <c r="F826" i="1"/>
  <c r="A827" i="1"/>
  <c r="B827" i="1"/>
  <c r="C827" i="1"/>
  <c r="D827" i="1"/>
  <c r="E827" i="1"/>
  <c r="F827" i="1"/>
  <c r="A828" i="1"/>
  <c r="B828" i="1"/>
  <c r="C828" i="1"/>
  <c r="D828" i="1"/>
  <c r="E828" i="1"/>
  <c r="F828" i="1"/>
  <c r="A829" i="1"/>
  <c r="B829" i="1"/>
  <c r="C829" i="1"/>
  <c r="D829" i="1"/>
  <c r="E829" i="1"/>
  <c r="F829" i="1"/>
  <c r="A830" i="1"/>
  <c r="B830" i="1"/>
  <c r="C830" i="1"/>
  <c r="D830" i="1"/>
  <c r="E830" i="1"/>
  <c r="F830" i="1"/>
  <c r="A831" i="1"/>
  <c r="B831" i="1"/>
  <c r="C831" i="1"/>
  <c r="D831" i="1"/>
  <c r="E831" i="1"/>
  <c r="F831" i="1"/>
  <c r="A832" i="1"/>
  <c r="B832" i="1"/>
  <c r="C832" i="1"/>
  <c r="D832" i="1"/>
  <c r="E832" i="1"/>
  <c r="F832" i="1"/>
  <c r="A833" i="1"/>
  <c r="B833" i="1"/>
  <c r="C833" i="1"/>
  <c r="D833" i="1"/>
  <c r="E833" i="1"/>
  <c r="F833" i="1"/>
  <c r="A834" i="1"/>
  <c r="B834" i="1"/>
  <c r="C834" i="1"/>
  <c r="D834" i="1"/>
  <c r="E834" i="1"/>
  <c r="F834" i="1"/>
  <c r="A835" i="1"/>
  <c r="B835" i="1"/>
  <c r="C835" i="1"/>
  <c r="D835" i="1"/>
  <c r="E835" i="1"/>
  <c r="F835" i="1"/>
  <c r="A836" i="1"/>
  <c r="B836" i="1"/>
  <c r="C836" i="1"/>
  <c r="D836" i="1"/>
  <c r="E836" i="1"/>
  <c r="F836" i="1"/>
  <c r="A837" i="1"/>
  <c r="B837" i="1"/>
  <c r="C837" i="1"/>
  <c r="D837" i="1"/>
  <c r="E837" i="1"/>
  <c r="F837" i="1"/>
  <c r="A838" i="1"/>
  <c r="B838" i="1"/>
  <c r="C838" i="1"/>
  <c r="D838" i="1"/>
  <c r="E838" i="1"/>
  <c r="F838" i="1"/>
  <c r="A839" i="1"/>
  <c r="B839" i="1"/>
  <c r="C839" i="1"/>
  <c r="D839" i="1"/>
  <c r="E839" i="1"/>
  <c r="F839" i="1"/>
  <c r="A840" i="1"/>
  <c r="B840" i="1"/>
  <c r="C840" i="1"/>
  <c r="D840" i="1"/>
  <c r="E840" i="1"/>
  <c r="F840" i="1"/>
  <c r="A841" i="1"/>
  <c r="B841" i="1"/>
  <c r="C841" i="1"/>
  <c r="D841" i="1"/>
  <c r="E841" i="1"/>
  <c r="F841" i="1"/>
  <c r="A842" i="1"/>
  <c r="B842" i="1"/>
  <c r="C842" i="1"/>
  <c r="D842" i="1"/>
  <c r="E842" i="1"/>
  <c r="F842" i="1"/>
  <c r="A843" i="1"/>
  <c r="B843" i="1"/>
  <c r="C843" i="1"/>
  <c r="D843" i="1"/>
  <c r="E843" i="1"/>
  <c r="F843" i="1"/>
  <c r="A844" i="1"/>
  <c r="B844" i="1"/>
  <c r="C844" i="1"/>
  <c r="D844" i="1"/>
  <c r="E844" i="1"/>
  <c r="F844" i="1"/>
  <c r="A845" i="1"/>
  <c r="B845" i="1"/>
  <c r="C845" i="1"/>
  <c r="D845" i="1"/>
  <c r="E845" i="1"/>
  <c r="F845" i="1"/>
  <c r="A846" i="1"/>
  <c r="B846" i="1"/>
  <c r="C846" i="1"/>
  <c r="D846" i="1"/>
  <c r="E846" i="1"/>
  <c r="F846" i="1"/>
  <c r="A847" i="1"/>
  <c r="B847" i="1"/>
  <c r="C847" i="1"/>
  <c r="D847" i="1"/>
  <c r="E847" i="1"/>
  <c r="F847" i="1"/>
  <c r="A848" i="1"/>
  <c r="B848" i="1"/>
  <c r="C848" i="1"/>
  <c r="D848" i="1"/>
  <c r="E848" i="1"/>
  <c r="F848" i="1"/>
  <c r="A849" i="1"/>
  <c r="B849" i="1"/>
  <c r="C849" i="1"/>
  <c r="D849" i="1"/>
  <c r="E849" i="1"/>
  <c r="F849" i="1"/>
  <c r="A850" i="1"/>
  <c r="B850" i="1"/>
  <c r="C850" i="1"/>
  <c r="D850" i="1"/>
  <c r="E850" i="1"/>
  <c r="F850" i="1"/>
  <c r="A851" i="1"/>
  <c r="B851" i="1"/>
  <c r="C851" i="1"/>
  <c r="D851" i="1"/>
  <c r="E851" i="1"/>
  <c r="F851" i="1"/>
  <c r="A852" i="1"/>
  <c r="B852" i="1"/>
  <c r="C852" i="1"/>
  <c r="D852" i="1"/>
  <c r="E852" i="1"/>
  <c r="F852" i="1"/>
  <c r="A853" i="1"/>
  <c r="B853" i="1"/>
  <c r="C853" i="1"/>
  <c r="D853" i="1"/>
  <c r="E853" i="1"/>
  <c r="F853" i="1"/>
  <c r="A854" i="1"/>
  <c r="B854" i="1"/>
  <c r="C854" i="1"/>
  <c r="D854" i="1"/>
  <c r="E854" i="1"/>
  <c r="F854" i="1"/>
  <c r="A855" i="1"/>
  <c r="B855" i="1"/>
  <c r="C855" i="1"/>
  <c r="D855" i="1"/>
  <c r="E855" i="1"/>
  <c r="F855" i="1"/>
  <c r="A856" i="1"/>
  <c r="B856" i="1"/>
  <c r="C856" i="1"/>
  <c r="D856" i="1"/>
  <c r="E856" i="1"/>
  <c r="F856" i="1"/>
  <c r="A857" i="1"/>
  <c r="B857" i="1"/>
  <c r="C857" i="1"/>
  <c r="D857" i="1"/>
  <c r="E857" i="1"/>
  <c r="F857" i="1"/>
  <c r="A858" i="1"/>
  <c r="B858" i="1"/>
  <c r="C858" i="1"/>
  <c r="D858" i="1"/>
  <c r="E858" i="1"/>
  <c r="F858" i="1"/>
  <c r="A859" i="1"/>
  <c r="B859" i="1"/>
  <c r="C859" i="1"/>
  <c r="D859" i="1"/>
  <c r="E859" i="1"/>
  <c r="F859" i="1"/>
  <c r="A860" i="1"/>
  <c r="B860" i="1"/>
  <c r="C860" i="1"/>
  <c r="D860" i="1"/>
  <c r="E860" i="1"/>
  <c r="F860" i="1"/>
  <c r="A861" i="1"/>
  <c r="B861" i="1"/>
  <c r="C861" i="1"/>
  <c r="D861" i="1"/>
  <c r="E861" i="1"/>
  <c r="F861" i="1"/>
  <c r="A862" i="1"/>
  <c r="B862" i="1"/>
  <c r="C862" i="1"/>
  <c r="D862" i="1"/>
  <c r="E862" i="1"/>
  <c r="F862" i="1"/>
  <c r="A863" i="1"/>
  <c r="B863" i="1"/>
  <c r="C863" i="1"/>
  <c r="D863" i="1"/>
  <c r="E863" i="1"/>
  <c r="F863" i="1"/>
  <c r="A864" i="1"/>
  <c r="B864" i="1"/>
  <c r="C864" i="1"/>
  <c r="D864" i="1"/>
  <c r="E864" i="1"/>
  <c r="F864" i="1"/>
  <c r="A865" i="1"/>
  <c r="B865" i="1"/>
  <c r="C865" i="1"/>
  <c r="D865" i="1"/>
  <c r="E865" i="1"/>
  <c r="F865" i="1"/>
  <c r="A866" i="1"/>
  <c r="B866" i="1"/>
  <c r="C866" i="1"/>
  <c r="D866" i="1"/>
  <c r="E866" i="1"/>
  <c r="F866" i="1"/>
  <c r="A867" i="1"/>
  <c r="B867" i="1"/>
  <c r="C867" i="1"/>
  <c r="D867" i="1"/>
  <c r="E867" i="1"/>
  <c r="F867" i="1"/>
  <c r="A868" i="1"/>
  <c r="B868" i="1"/>
  <c r="C868" i="1"/>
  <c r="D868" i="1"/>
  <c r="E868" i="1"/>
  <c r="F868" i="1"/>
  <c r="A869" i="1"/>
  <c r="B869" i="1"/>
  <c r="C869" i="1"/>
  <c r="D869" i="1"/>
  <c r="E869" i="1"/>
  <c r="F869" i="1"/>
  <c r="A870" i="1"/>
  <c r="B870" i="1"/>
  <c r="C870" i="1"/>
  <c r="D870" i="1"/>
  <c r="E870" i="1"/>
  <c r="F870" i="1"/>
  <c r="A871" i="1"/>
  <c r="B871" i="1"/>
  <c r="C871" i="1"/>
  <c r="D871" i="1"/>
  <c r="E871" i="1"/>
  <c r="F871" i="1"/>
  <c r="A872" i="1"/>
  <c r="B872" i="1"/>
  <c r="C872" i="1"/>
  <c r="D872" i="1"/>
  <c r="E872" i="1"/>
  <c r="F872" i="1"/>
  <c r="A873" i="1"/>
  <c r="B873" i="1"/>
  <c r="C873" i="1"/>
  <c r="D873" i="1"/>
  <c r="E873" i="1"/>
  <c r="F873" i="1"/>
  <c r="A874" i="1"/>
  <c r="B874" i="1"/>
  <c r="C874" i="1"/>
  <c r="D874" i="1"/>
  <c r="E874" i="1"/>
  <c r="F874" i="1"/>
  <c r="A875" i="1"/>
  <c r="B875" i="1"/>
  <c r="C875" i="1"/>
  <c r="D875" i="1"/>
  <c r="E875" i="1"/>
  <c r="F875" i="1"/>
  <c r="A876" i="1"/>
  <c r="B876" i="1"/>
  <c r="C876" i="1"/>
  <c r="D876" i="1"/>
  <c r="E876" i="1"/>
  <c r="F876" i="1"/>
  <c r="A877" i="1"/>
  <c r="B877" i="1"/>
  <c r="C877" i="1"/>
  <c r="D877" i="1"/>
  <c r="E877" i="1"/>
  <c r="F877" i="1"/>
  <c r="A878" i="1"/>
  <c r="B878" i="1"/>
  <c r="C878" i="1"/>
  <c r="D878" i="1"/>
  <c r="E878" i="1"/>
  <c r="F878" i="1"/>
  <c r="A879" i="1"/>
  <c r="B879" i="1"/>
  <c r="C879" i="1"/>
  <c r="D879" i="1"/>
  <c r="E879" i="1"/>
  <c r="F879" i="1"/>
  <c r="A880" i="1"/>
  <c r="B880" i="1"/>
  <c r="C880" i="1"/>
  <c r="D880" i="1"/>
  <c r="E880" i="1"/>
  <c r="F880" i="1"/>
  <c r="A881" i="1"/>
  <c r="B881" i="1"/>
  <c r="C881" i="1"/>
  <c r="D881" i="1"/>
  <c r="E881" i="1"/>
  <c r="F881" i="1"/>
  <c r="A882" i="1"/>
  <c r="B882" i="1"/>
  <c r="C882" i="1"/>
  <c r="D882" i="1"/>
  <c r="E882" i="1"/>
  <c r="F882" i="1"/>
  <c r="A883" i="1"/>
  <c r="B883" i="1"/>
  <c r="C883" i="1"/>
  <c r="D883" i="1"/>
  <c r="E883" i="1"/>
  <c r="F883" i="1"/>
  <c r="A884" i="1"/>
  <c r="B884" i="1"/>
  <c r="C884" i="1"/>
  <c r="D884" i="1"/>
  <c r="E884" i="1"/>
  <c r="F884" i="1"/>
  <c r="A885" i="1"/>
  <c r="B885" i="1"/>
  <c r="C885" i="1"/>
  <c r="D885" i="1"/>
  <c r="E885" i="1"/>
  <c r="F885" i="1"/>
  <c r="A886" i="1"/>
  <c r="B886" i="1"/>
  <c r="C886" i="1"/>
  <c r="D886" i="1"/>
  <c r="E886" i="1"/>
  <c r="F886" i="1"/>
  <c r="A887" i="1"/>
  <c r="B887" i="1"/>
  <c r="C887" i="1"/>
  <c r="D887" i="1"/>
  <c r="E887" i="1"/>
  <c r="F887" i="1"/>
  <c r="A888" i="1"/>
  <c r="B888" i="1"/>
  <c r="C888" i="1"/>
  <c r="D888" i="1"/>
  <c r="E888" i="1"/>
  <c r="F888" i="1"/>
  <c r="A889" i="1"/>
  <c r="B889" i="1"/>
  <c r="C889" i="1"/>
  <c r="D889" i="1"/>
  <c r="E889" i="1"/>
  <c r="F889" i="1"/>
  <c r="A890" i="1"/>
  <c r="B890" i="1"/>
  <c r="C890" i="1"/>
  <c r="D890" i="1"/>
  <c r="E890" i="1"/>
  <c r="F890" i="1"/>
  <c r="A891" i="1"/>
  <c r="B891" i="1"/>
  <c r="C891" i="1"/>
  <c r="D891" i="1"/>
  <c r="E891" i="1"/>
  <c r="F891" i="1"/>
  <c r="A892" i="1"/>
  <c r="B892" i="1"/>
  <c r="C892" i="1"/>
  <c r="D892" i="1"/>
  <c r="E892" i="1"/>
  <c r="F892" i="1"/>
  <c r="A893" i="1"/>
  <c r="B893" i="1"/>
  <c r="C893" i="1"/>
  <c r="D893" i="1"/>
  <c r="E893" i="1"/>
  <c r="F893" i="1"/>
  <c r="A894" i="1"/>
  <c r="B894" i="1"/>
  <c r="C894" i="1"/>
  <c r="D894" i="1"/>
  <c r="E894" i="1"/>
  <c r="F894" i="1"/>
  <c r="A895" i="1"/>
  <c r="B895" i="1"/>
  <c r="C895" i="1"/>
  <c r="D895" i="1"/>
  <c r="E895" i="1"/>
  <c r="F895" i="1"/>
  <c r="A896" i="1"/>
  <c r="B896" i="1"/>
  <c r="C896" i="1"/>
  <c r="D896" i="1"/>
  <c r="E896" i="1"/>
  <c r="F896" i="1"/>
  <c r="A897" i="1"/>
  <c r="B897" i="1"/>
  <c r="C897" i="1"/>
  <c r="D897" i="1"/>
  <c r="E897" i="1"/>
  <c r="F897" i="1"/>
  <c r="A898" i="1"/>
  <c r="B898" i="1"/>
  <c r="C898" i="1"/>
  <c r="D898" i="1"/>
  <c r="E898" i="1"/>
  <c r="F898" i="1"/>
  <c r="A899" i="1"/>
  <c r="B899" i="1"/>
  <c r="C899" i="1"/>
  <c r="D899" i="1"/>
  <c r="E899" i="1"/>
  <c r="F899" i="1"/>
  <c r="A900" i="1"/>
  <c r="B900" i="1"/>
  <c r="C900" i="1"/>
  <c r="D900" i="1"/>
  <c r="E900" i="1"/>
  <c r="F900" i="1"/>
  <c r="A901" i="1"/>
  <c r="B901" i="1"/>
  <c r="C901" i="1"/>
  <c r="D901" i="1"/>
  <c r="E901" i="1"/>
  <c r="F901" i="1"/>
  <c r="A902" i="1"/>
  <c r="B902" i="1"/>
  <c r="C902" i="1"/>
  <c r="D902" i="1"/>
  <c r="E902" i="1"/>
  <c r="F902" i="1"/>
  <c r="A903" i="1"/>
  <c r="B903" i="1"/>
  <c r="C903" i="1"/>
  <c r="D903" i="1"/>
  <c r="E903" i="1"/>
  <c r="F903" i="1"/>
  <c r="A904" i="1"/>
  <c r="B904" i="1"/>
  <c r="C904" i="1"/>
  <c r="D904" i="1"/>
  <c r="E904" i="1"/>
  <c r="F904" i="1"/>
  <c r="A905" i="1"/>
  <c r="B905" i="1"/>
  <c r="C905" i="1"/>
  <c r="D905" i="1"/>
  <c r="E905" i="1"/>
  <c r="F905" i="1"/>
  <c r="A906" i="1"/>
  <c r="B906" i="1"/>
  <c r="C906" i="1"/>
  <c r="D906" i="1"/>
  <c r="E906" i="1"/>
  <c r="F906" i="1"/>
  <c r="A907" i="1"/>
  <c r="B907" i="1"/>
  <c r="C907" i="1"/>
  <c r="D907" i="1"/>
  <c r="E907" i="1"/>
  <c r="F907" i="1"/>
  <c r="A908" i="1"/>
  <c r="B908" i="1"/>
  <c r="C908" i="1"/>
  <c r="D908" i="1"/>
  <c r="E908" i="1"/>
  <c r="F908" i="1"/>
  <c r="A909" i="1"/>
  <c r="B909" i="1"/>
  <c r="C909" i="1"/>
  <c r="D909" i="1"/>
  <c r="E909" i="1"/>
  <c r="F909" i="1"/>
  <c r="A910" i="1"/>
  <c r="B910" i="1"/>
  <c r="C910" i="1"/>
  <c r="D910" i="1"/>
  <c r="E910" i="1"/>
  <c r="F910" i="1"/>
  <c r="A911" i="1"/>
  <c r="B911" i="1"/>
  <c r="C911" i="1"/>
  <c r="D911" i="1"/>
  <c r="E911" i="1"/>
  <c r="F911" i="1"/>
  <c r="A912" i="1"/>
  <c r="B912" i="1"/>
  <c r="C912" i="1"/>
  <c r="D912" i="1"/>
  <c r="E912" i="1"/>
  <c r="F912" i="1"/>
  <c r="A913" i="1"/>
  <c r="B913" i="1"/>
  <c r="C913" i="1"/>
  <c r="D913" i="1"/>
  <c r="E913" i="1"/>
  <c r="F913" i="1"/>
  <c r="A914" i="1"/>
  <c r="B914" i="1"/>
  <c r="C914" i="1"/>
  <c r="D914" i="1"/>
  <c r="E914" i="1"/>
  <c r="F914" i="1"/>
  <c r="A915" i="1"/>
  <c r="B915" i="1"/>
  <c r="C915" i="1"/>
  <c r="D915" i="1"/>
  <c r="E915" i="1"/>
  <c r="F915" i="1"/>
  <c r="A916" i="1"/>
  <c r="B916" i="1"/>
  <c r="C916" i="1"/>
  <c r="D916" i="1"/>
  <c r="E916" i="1"/>
  <c r="F916" i="1"/>
  <c r="A917" i="1"/>
  <c r="B917" i="1"/>
  <c r="C917" i="1"/>
  <c r="D917" i="1"/>
  <c r="E917" i="1"/>
  <c r="F917" i="1"/>
  <c r="A918" i="1"/>
  <c r="B918" i="1"/>
  <c r="C918" i="1"/>
  <c r="D918" i="1"/>
  <c r="E918" i="1"/>
  <c r="F918" i="1"/>
  <c r="A919" i="1"/>
  <c r="B919" i="1"/>
  <c r="C919" i="1"/>
  <c r="D919" i="1"/>
  <c r="E919" i="1"/>
  <c r="F919" i="1"/>
  <c r="A920" i="1"/>
  <c r="B920" i="1"/>
  <c r="C920" i="1"/>
  <c r="D920" i="1"/>
  <c r="E920" i="1"/>
  <c r="F920" i="1"/>
  <c r="A921" i="1"/>
  <c r="B921" i="1"/>
  <c r="C921" i="1"/>
  <c r="D921" i="1"/>
  <c r="E921" i="1"/>
  <c r="F921" i="1"/>
  <c r="A922" i="1"/>
  <c r="B922" i="1"/>
  <c r="C922" i="1"/>
  <c r="D922" i="1"/>
  <c r="E922" i="1"/>
  <c r="F922" i="1"/>
  <c r="A923" i="1"/>
  <c r="B923" i="1"/>
  <c r="C923" i="1"/>
  <c r="D923" i="1"/>
  <c r="E923" i="1"/>
  <c r="F923" i="1"/>
  <c r="A924" i="1"/>
  <c r="B924" i="1"/>
  <c r="C924" i="1"/>
  <c r="D924" i="1"/>
  <c r="E924" i="1"/>
  <c r="F924" i="1"/>
  <c r="A925" i="1"/>
  <c r="B925" i="1"/>
  <c r="C925" i="1"/>
  <c r="D925" i="1"/>
  <c r="E925" i="1"/>
  <c r="F925" i="1"/>
  <c r="A926" i="1"/>
  <c r="B926" i="1"/>
  <c r="C926" i="1"/>
  <c r="D926" i="1"/>
  <c r="E926" i="1"/>
  <c r="F926" i="1"/>
  <c r="A927" i="1"/>
  <c r="B927" i="1"/>
  <c r="C927" i="1"/>
  <c r="D927" i="1"/>
  <c r="E927" i="1"/>
  <c r="F927" i="1"/>
  <c r="A928" i="1"/>
  <c r="B928" i="1"/>
  <c r="C928" i="1"/>
  <c r="D928" i="1"/>
  <c r="E928" i="1"/>
  <c r="F928" i="1"/>
  <c r="A929" i="1"/>
  <c r="B929" i="1"/>
  <c r="C929" i="1"/>
  <c r="D929" i="1"/>
  <c r="E929" i="1"/>
  <c r="F929" i="1"/>
  <c r="A930" i="1"/>
  <c r="B930" i="1"/>
  <c r="C930" i="1"/>
  <c r="D930" i="1"/>
  <c r="E930" i="1"/>
  <c r="F930" i="1"/>
  <c r="A931" i="1"/>
  <c r="B931" i="1"/>
  <c r="C931" i="1"/>
  <c r="D931" i="1"/>
  <c r="E931" i="1"/>
  <c r="F931" i="1"/>
  <c r="A932" i="1"/>
  <c r="B932" i="1"/>
  <c r="C932" i="1"/>
  <c r="D932" i="1"/>
  <c r="E932" i="1"/>
  <c r="F932" i="1"/>
  <c r="A933" i="1"/>
  <c r="B933" i="1"/>
  <c r="C933" i="1"/>
  <c r="D933" i="1"/>
  <c r="E933" i="1"/>
  <c r="F933" i="1"/>
  <c r="A934" i="1"/>
  <c r="B934" i="1"/>
  <c r="C934" i="1"/>
  <c r="D934" i="1"/>
  <c r="E934" i="1"/>
  <c r="F934" i="1"/>
  <c r="A935" i="1"/>
  <c r="B935" i="1"/>
  <c r="C935" i="1"/>
  <c r="D935" i="1"/>
  <c r="E935" i="1"/>
  <c r="F935" i="1"/>
  <c r="A936" i="1"/>
  <c r="B936" i="1"/>
  <c r="C936" i="1"/>
  <c r="D936" i="1"/>
  <c r="E936" i="1"/>
  <c r="F936" i="1"/>
  <c r="A937" i="1"/>
  <c r="B937" i="1"/>
  <c r="C937" i="1"/>
  <c r="D937" i="1"/>
  <c r="E937" i="1"/>
  <c r="F937" i="1"/>
  <c r="A938" i="1"/>
  <c r="B938" i="1"/>
  <c r="C938" i="1"/>
  <c r="D938" i="1"/>
  <c r="E938" i="1"/>
  <c r="F938" i="1"/>
  <c r="A939" i="1"/>
  <c r="B939" i="1"/>
  <c r="C939" i="1"/>
  <c r="D939" i="1"/>
  <c r="E939" i="1"/>
  <c r="F939" i="1"/>
  <c r="A940" i="1"/>
  <c r="B940" i="1"/>
  <c r="C940" i="1"/>
  <c r="D940" i="1"/>
  <c r="E940" i="1"/>
  <c r="F940" i="1"/>
  <c r="A941" i="1"/>
  <c r="B941" i="1"/>
  <c r="C941" i="1"/>
  <c r="D941" i="1"/>
  <c r="E941" i="1"/>
  <c r="F941" i="1"/>
  <c r="A942" i="1"/>
  <c r="B942" i="1"/>
  <c r="C942" i="1"/>
  <c r="D942" i="1"/>
  <c r="E942" i="1"/>
  <c r="F942" i="1"/>
  <c r="A943" i="1"/>
  <c r="B943" i="1"/>
  <c r="C943" i="1"/>
  <c r="D943" i="1"/>
  <c r="E943" i="1"/>
  <c r="F943" i="1"/>
  <c r="A944" i="1"/>
  <c r="B944" i="1"/>
  <c r="C944" i="1"/>
  <c r="D944" i="1"/>
  <c r="E944" i="1"/>
  <c r="F944" i="1"/>
  <c r="A945" i="1"/>
  <c r="B945" i="1"/>
  <c r="C945" i="1"/>
  <c r="D945" i="1"/>
  <c r="E945" i="1"/>
  <c r="F945" i="1"/>
  <c r="A946" i="1"/>
  <c r="B946" i="1"/>
  <c r="C946" i="1"/>
  <c r="D946" i="1"/>
  <c r="E946" i="1"/>
  <c r="F946" i="1"/>
  <c r="A947" i="1"/>
  <c r="B947" i="1"/>
  <c r="C947" i="1"/>
  <c r="D947" i="1"/>
  <c r="E947" i="1"/>
  <c r="F947" i="1"/>
  <c r="A948" i="1"/>
  <c r="B948" i="1"/>
  <c r="C948" i="1"/>
  <c r="D948" i="1"/>
  <c r="E948" i="1"/>
  <c r="F948" i="1"/>
  <c r="A949" i="1"/>
  <c r="B949" i="1"/>
  <c r="C949" i="1"/>
  <c r="D949" i="1"/>
  <c r="E949" i="1"/>
  <c r="F949" i="1"/>
  <c r="A950" i="1"/>
  <c r="B950" i="1"/>
  <c r="C950" i="1"/>
  <c r="D950" i="1"/>
  <c r="E950" i="1"/>
  <c r="F950" i="1"/>
  <c r="A951" i="1"/>
  <c r="B951" i="1"/>
  <c r="C951" i="1"/>
  <c r="D951" i="1"/>
  <c r="E951" i="1"/>
  <c r="F951" i="1"/>
  <c r="A952" i="1"/>
  <c r="B952" i="1"/>
  <c r="C952" i="1"/>
  <c r="D952" i="1"/>
  <c r="E952" i="1"/>
  <c r="F952" i="1"/>
  <c r="A953" i="1"/>
  <c r="B953" i="1"/>
  <c r="C953" i="1"/>
  <c r="D953" i="1"/>
  <c r="E953" i="1"/>
  <c r="F953" i="1"/>
  <c r="A954" i="1"/>
  <c r="B954" i="1"/>
  <c r="C954" i="1"/>
  <c r="D954" i="1"/>
  <c r="E954" i="1"/>
  <c r="F954" i="1"/>
  <c r="A955" i="1"/>
  <c r="B955" i="1"/>
  <c r="C955" i="1"/>
  <c r="D955" i="1"/>
  <c r="E955" i="1"/>
  <c r="F955" i="1"/>
  <c r="A956" i="1"/>
  <c r="B956" i="1"/>
  <c r="C956" i="1"/>
  <c r="D956" i="1"/>
  <c r="E956" i="1"/>
  <c r="F956" i="1"/>
  <c r="A957" i="1"/>
  <c r="B957" i="1"/>
  <c r="C957" i="1"/>
  <c r="D957" i="1"/>
  <c r="E957" i="1"/>
  <c r="F957" i="1"/>
  <c r="A958" i="1"/>
  <c r="B958" i="1"/>
  <c r="C958" i="1"/>
  <c r="D958" i="1"/>
  <c r="E958" i="1"/>
  <c r="F958" i="1"/>
  <c r="A959" i="1"/>
  <c r="B959" i="1"/>
  <c r="C959" i="1"/>
  <c r="D959" i="1"/>
  <c r="E959" i="1"/>
  <c r="F959" i="1"/>
  <c r="A960" i="1"/>
  <c r="B960" i="1"/>
  <c r="C960" i="1"/>
  <c r="D960" i="1"/>
  <c r="E960" i="1"/>
  <c r="F960" i="1"/>
  <c r="A961" i="1"/>
  <c r="B961" i="1"/>
  <c r="C961" i="1"/>
  <c r="D961" i="1"/>
  <c r="E961" i="1"/>
  <c r="F961" i="1"/>
  <c r="A962" i="1"/>
  <c r="B962" i="1"/>
  <c r="C962" i="1"/>
  <c r="D962" i="1"/>
  <c r="E962" i="1"/>
  <c r="F962" i="1"/>
  <c r="A963" i="1"/>
  <c r="B963" i="1"/>
  <c r="C963" i="1"/>
  <c r="D963" i="1"/>
  <c r="E963" i="1"/>
  <c r="F963" i="1"/>
  <c r="A964" i="1"/>
  <c r="B964" i="1"/>
  <c r="C964" i="1"/>
  <c r="D964" i="1"/>
  <c r="E964" i="1"/>
  <c r="F964" i="1"/>
  <c r="A965" i="1"/>
  <c r="B965" i="1"/>
  <c r="C965" i="1"/>
  <c r="D965" i="1"/>
  <c r="E965" i="1"/>
  <c r="F965" i="1"/>
  <c r="A966" i="1"/>
  <c r="B966" i="1"/>
  <c r="C966" i="1"/>
  <c r="D966" i="1"/>
  <c r="E966" i="1"/>
  <c r="F966" i="1"/>
  <c r="A967" i="1"/>
  <c r="B967" i="1"/>
  <c r="C967" i="1"/>
  <c r="D967" i="1"/>
  <c r="E967" i="1"/>
  <c r="F967" i="1"/>
  <c r="A968" i="1"/>
  <c r="B968" i="1"/>
  <c r="C968" i="1"/>
  <c r="D968" i="1"/>
  <c r="E968" i="1"/>
  <c r="F968" i="1"/>
  <c r="A969" i="1"/>
  <c r="B969" i="1"/>
  <c r="C969" i="1"/>
  <c r="D969" i="1"/>
  <c r="E969" i="1"/>
  <c r="F969" i="1"/>
  <c r="A970" i="1"/>
  <c r="B970" i="1"/>
  <c r="C970" i="1"/>
  <c r="D970" i="1"/>
  <c r="E970" i="1"/>
  <c r="F970" i="1"/>
  <c r="A971" i="1"/>
  <c r="B971" i="1"/>
  <c r="C971" i="1"/>
  <c r="D971" i="1"/>
  <c r="E971" i="1"/>
  <c r="F971" i="1"/>
  <c r="A972" i="1"/>
  <c r="B972" i="1"/>
  <c r="C972" i="1"/>
  <c r="D972" i="1"/>
  <c r="E972" i="1"/>
  <c r="F972" i="1"/>
  <c r="A973" i="1"/>
  <c r="B973" i="1"/>
  <c r="C973" i="1"/>
  <c r="D973" i="1"/>
  <c r="E973" i="1"/>
  <c r="F973" i="1"/>
  <c r="A974" i="1"/>
  <c r="B974" i="1"/>
  <c r="C974" i="1"/>
  <c r="D974" i="1"/>
  <c r="E974" i="1"/>
  <c r="F974" i="1"/>
  <c r="A975" i="1"/>
  <c r="B975" i="1"/>
  <c r="C975" i="1"/>
  <c r="D975" i="1"/>
  <c r="E975" i="1"/>
  <c r="F975" i="1"/>
  <c r="A976" i="1"/>
  <c r="B976" i="1"/>
  <c r="C976" i="1"/>
  <c r="D976" i="1"/>
  <c r="E976" i="1"/>
  <c r="F976" i="1"/>
  <c r="A977" i="1"/>
  <c r="B977" i="1"/>
  <c r="C977" i="1"/>
  <c r="D977" i="1"/>
  <c r="E977" i="1"/>
  <c r="F977" i="1"/>
  <c r="A978" i="1"/>
  <c r="B978" i="1"/>
  <c r="C978" i="1"/>
  <c r="D978" i="1"/>
  <c r="E978" i="1"/>
  <c r="F978" i="1"/>
  <c r="A979" i="1"/>
  <c r="B979" i="1"/>
  <c r="C979" i="1"/>
  <c r="D979" i="1"/>
  <c r="E979" i="1"/>
  <c r="F979" i="1"/>
  <c r="A980" i="1"/>
  <c r="B980" i="1"/>
  <c r="C980" i="1"/>
  <c r="D980" i="1"/>
  <c r="E980" i="1"/>
  <c r="F980" i="1"/>
  <c r="A981" i="1"/>
  <c r="B981" i="1"/>
  <c r="C981" i="1"/>
  <c r="D981" i="1"/>
  <c r="E981" i="1"/>
  <c r="F981" i="1"/>
  <c r="A982" i="1"/>
  <c r="B982" i="1"/>
  <c r="C982" i="1"/>
  <c r="D982" i="1"/>
  <c r="E982" i="1"/>
  <c r="F982" i="1"/>
  <c r="A983" i="1"/>
  <c r="B983" i="1"/>
  <c r="C983" i="1"/>
  <c r="D983" i="1"/>
  <c r="E983" i="1"/>
  <c r="F983" i="1"/>
  <c r="A984" i="1"/>
  <c r="B984" i="1"/>
  <c r="C984" i="1"/>
  <c r="D984" i="1"/>
  <c r="E984" i="1"/>
  <c r="F984" i="1"/>
  <c r="A985" i="1"/>
  <c r="B985" i="1"/>
  <c r="C985" i="1"/>
  <c r="D985" i="1"/>
  <c r="E985" i="1"/>
  <c r="F985" i="1"/>
  <c r="A988" i="1"/>
  <c r="B988" i="1"/>
  <c r="C988" i="1"/>
  <c r="D988" i="1"/>
  <c r="E988" i="1"/>
  <c r="F988" i="1"/>
  <c r="A989" i="1"/>
  <c r="B989" i="1"/>
  <c r="C989" i="1"/>
  <c r="D989" i="1"/>
  <c r="E989" i="1"/>
  <c r="F989" i="1"/>
  <c r="A990" i="1"/>
  <c r="B990" i="1"/>
  <c r="C990" i="1"/>
  <c r="D990" i="1"/>
  <c r="E990" i="1"/>
  <c r="F990" i="1"/>
  <c r="A991" i="1"/>
  <c r="B991" i="1"/>
  <c r="C991" i="1"/>
  <c r="D991" i="1"/>
  <c r="E991" i="1"/>
  <c r="F991" i="1"/>
  <c r="A992" i="1"/>
  <c r="B992" i="1"/>
  <c r="C992" i="1"/>
  <c r="D992" i="1"/>
  <c r="E992" i="1"/>
  <c r="F992" i="1"/>
  <c r="A993" i="1"/>
  <c r="B993" i="1"/>
  <c r="C993" i="1"/>
  <c r="D993" i="1"/>
  <c r="E993" i="1"/>
  <c r="F993" i="1"/>
  <c r="A994" i="1"/>
  <c r="B994" i="1"/>
  <c r="C994" i="1"/>
  <c r="D994" i="1"/>
  <c r="E994" i="1"/>
  <c r="F994" i="1"/>
  <c r="A995" i="1"/>
  <c r="B995" i="1"/>
  <c r="C995" i="1"/>
  <c r="D995" i="1"/>
  <c r="E995" i="1"/>
  <c r="F995" i="1"/>
  <c r="A996" i="1"/>
  <c r="B996" i="1"/>
  <c r="C996" i="1"/>
  <c r="D996" i="1"/>
  <c r="E996" i="1"/>
  <c r="F996" i="1"/>
  <c r="A997" i="1"/>
  <c r="B997" i="1"/>
  <c r="C997" i="1"/>
  <c r="D997" i="1"/>
  <c r="E997" i="1"/>
  <c r="F997" i="1"/>
  <c r="A998" i="1"/>
  <c r="B998" i="1"/>
  <c r="C998" i="1"/>
  <c r="D998" i="1"/>
  <c r="E998" i="1"/>
  <c r="F998" i="1"/>
  <c r="A999" i="1"/>
  <c r="B999" i="1"/>
  <c r="C999" i="1"/>
  <c r="D999" i="1"/>
  <c r="E999" i="1"/>
  <c r="F999" i="1"/>
  <c r="A1000" i="1"/>
  <c r="B1000" i="1"/>
  <c r="C1000" i="1"/>
  <c r="D1000" i="1"/>
  <c r="E1000" i="1"/>
  <c r="F1000" i="1"/>
  <c r="A1001" i="1"/>
  <c r="B1001" i="1"/>
  <c r="C1001" i="1"/>
  <c r="D1001" i="1"/>
  <c r="E1001" i="1"/>
  <c r="F1001" i="1"/>
  <c r="A1002" i="1"/>
  <c r="B1002" i="1"/>
  <c r="C1002" i="1"/>
  <c r="D1002" i="1"/>
  <c r="E1002" i="1"/>
  <c r="F1002" i="1"/>
  <c r="A1003" i="1"/>
  <c r="B1003" i="1"/>
  <c r="C1003" i="1"/>
  <c r="D1003" i="1"/>
  <c r="E1003" i="1"/>
  <c r="F1003" i="1"/>
  <c r="A1004" i="1"/>
  <c r="B1004" i="1"/>
  <c r="C1004" i="1"/>
  <c r="D1004" i="1"/>
  <c r="E1004" i="1"/>
  <c r="F1004" i="1"/>
  <c r="A1005" i="1"/>
  <c r="B1005" i="1"/>
  <c r="C1005" i="1"/>
  <c r="D1005" i="1"/>
  <c r="E1005" i="1"/>
  <c r="F1005" i="1"/>
  <c r="A1006" i="1"/>
  <c r="B1006" i="1"/>
  <c r="C1006" i="1"/>
  <c r="D1006" i="1"/>
  <c r="E1006" i="1"/>
  <c r="F1006" i="1"/>
  <c r="A1007" i="1"/>
  <c r="B1007" i="1"/>
  <c r="C1007" i="1"/>
  <c r="D1007" i="1"/>
  <c r="E1007" i="1"/>
  <c r="F1007" i="1"/>
  <c r="A1008" i="1"/>
  <c r="B1008" i="1"/>
  <c r="C1008" i="1"/>
  <c r="D1008" i="1"/>
  <c r="E1008" i="1"/>
  <c r="F1008" i="1"/>
  <c r="A1009" i="1"/>
  <c r="B1009" i="1"/>
  <c r="C1009" i="1"/>
  <c r="D1009" i="1"/>
  <c r="E1009" i="1"/>
  <c r="F1009" i="1"/>
  <c r="A1010" i="1"/>
  <c r="B1010" i="1"/>
  <c r="C1010" i="1"/>
  <c r="D1010" i="1"/>
  <c r="E1010" i="1"/>
  <c r="F1010" i="1"/>
  <c r="A1011" i="1"/>
  <c r="B1011" i="1"/>
  <c r="C1011" i="1"/>
  <c r="D1011" i="1"/>
  <c r="E1011" i="1"/>
  <c r="F1011" i="1"/>
  <c r="A1012" i="1"/>
  <c r="B1012" i="1"/>
  <c r="C1012" i="1"/>
  <c r="D1012" i="1"/>
  <c r="E1012" i="1"/>
  <c r="F1012" i="1"/>
  <c r="A1013" i="1"/>
  <c r="B1013" i="1"/>
  <c r="C1013" i="1"/>
  <c r="D1013" i="1"/>
  <c r="E1013" i="1"/>
  <c r="F1013" i="1"/>
  <c r="A1014" i="1"/>
  <c r="B1014" i="1"/>
  <c r="C1014" i="1"/>
  <c r="D1014" i="1"/>
  <c r="E1014" i="1"/>
  <c r="F1014" i="1"/>
  <c r="A1015" i="1"/>
  <c r="B1015" i="1"/>
  <c r="C1015" i="1"/>
  <c r="D1015" i="1"/>
  <c r="E1015" i="1"/>
  <c r="F1015" i="1"/>
  <c r="A1016" i="1"/>
  <c r="B1016" i="1"/>
  <c r="C1016" i="1"/>
  <c r="D1016" i="1"/>
  <c r="E1016" i="1"/>
  <c r="F1016" i="1"/>
  <c r="A1017" i="1"/>
  <c r="B1017" i="1"/>
  <c r="C1017" i="1"/>
  <c r="D1017" i="1"/>
  <c r="E1017" i="1"/>
  <c r="F1017" i="1"/>
  <c r="A1018" i="1"/>
  <c r="B1018" i="1"/>
  <c r="C1018" i="1"/>
  <c r="D1018" i="1"/>
  <c r="E1018" i="1"/>
  <c r="F1018" i="1"/>
  <c r="A1019" i="1"/>
  <c r="B1019" i="1"/>
  <c r="C1019" i="1"/>
  <c r="D1019" i="1"/>
  <c r="E1019" i="1"/>
  <c r="F1019" i="1"/>
  <c r="A1020" i="1"/>
  <c r="B1020" i="1"/>
  <c r="C1020" i="1"/>
  <c r="D1020" i="1"/>
  <c r="E1020" i="1"/>
  <c r="F1020" i="1"/>
  <c r="A1021" i="1"/>
  <c r="B1021" i="1"/>
  <c r="C1021" i="1"/>
  <c r="D1021" i="1"/>
  <c r="E1021" i="1"/>
  <c r="F1021" i="1"/>
  <c r="A1022" i="1"/>
  <c r="B1022" i="1"/>
  <c r="C1022" i="1"/>
  <c r="D1022" i="1"/>
  <c r="E1022" i="1"/>
  <c r="F1022" i="1"/>
  <c r="A1023" i="1"/>
  <c r="B1023" i="1"/>
  <c r="C1023" i="1"/>
  <c r="D1023" i="1"/>
  <c r="E1023" i="1"/>
  <c r="F1023" i="1"/>
  <c r="A1024" i="1"/>
  <c r="B1024" i="1"/>
  <c r="C1024" i="1"/>
  <c r="D1024" i="1"/>
  <c r="E1024" i="1"/>
  <c r="F1024" i="1"/>
  <c r="A1025" i="1"/>
  <c r="B1025" i="1"/>
  <c r="C1025" i="1"/>
  <c r="D1025" i="1"/>
  <c r="E1025" i="1"/>
  <c r="F1025" i="1"/>
  <c r="A1026" i="1"/>
  <c r="B1026" i="1"/>
  <c r="C1026" i="1"/>
  <c r="D1026" i="1"/>
  <c r="E1026" i="1"/>
  <c r="F1026" i="1"/>
  <c r="A1027" i="1"/>
  <c r="B1027" i="1"/>
  <c r="C1027" i="1"/>
  <c r="D1027" i="1"/>
  <c r="E1027" i="1"/>
  <c r="F1027" i="1"/>
  <c r="A1028" i="1"/>
  <c r="B1028" i="1"/>
  <c r="C1028" i="1"/>
  <c r="D1028" i="1"/>
  <c r="E1028" i="1"/>
  <c r="F1028" i="1"/>
  <c r="A1029" i="1"/>
  <c r="B1029" i="1"/>
  <c r="C1029" i="1"/>
  <c r="D1029" i="1"/>
  <c r="E1029" i="1"/>
  <c r="F1029" i="1"/>
  <c r="A1030" i="1"/>
  <c r="B1030" i="1"/>
  <c r="C1030" i="1"/>
  <c r="D1030" i="1"/>
  <c r="E1030" i="1"/>
  <c r="F1030" i="1"/>
  <c r="A1031" i="1"/>
  <c r="B1031" i="1"/>
  <c r="C1031" i="1"/>
  <c r="D1031" i="1"/>
  <c r="E1031" i="1"/>
  <c r="F1031" i="1"/>
  <c r="A1032" i="1"/>
  <c r="B1032" i="1"/>
  <c r="C1032" i="1"/>
  <c r="D1032" i="1"/>
  <c r="E1032" i="1"/>
  <c r="F1032" i="1"/>
  <c r="A1033" i="1"/>
  <c r="B1033" i="1"/>
  <c r="C1033" i="1"/>
  <c r="D1033" i="1"/>
  <c r="E1033" i="1"/>
  <c r="F1033" i="1"/>
  <c r="A1034" i="1"/>
  <c r="B1034" i="1"/>
  <c r="C1034" i="1"/>
  <c r="D1034" i="1"/>
  <c r="E1034" i="1"/>
  <c r="F1034" i="1"/>
  <c r="A1035" i="1"/>
  <c r="B1035" i="1"/>
  <c r="C1035" i="1"/>
  <c r="D1035" i="1"/>
  <c r="E1035" i="1"/>
  <c r="F1035" i="1"/>
  <c r="A1036" i="1"/>
  <c r="B1036" i="1"/>
  <c r="C1036" i="1"/>
  <c r="D1036" i="1"/>
  <c r="E1036" i="1"/>
  <c r="F1036" i="1"/>
  <c r="A1037" i="1"/>
  <c r="B1037" i="1"/>
  <c r="C1037" i="1"/>
  <c r="D1037" i="1"/>
  <c r="E1037" i="1"/>
  <c r="F1037" i="1"/>
  <c r="A1038" i="1"/>
  <c r="B1038" i="1"/>
  <c r="C1038" i="1"/>
  <c r="D1038" i="1"/>
  <c r="E1038" i="1"/>
  <c r="F1038" i="1"/>
  <c r="A1039" i="1"/>
  <c r="B1039" i="1"/>
  <c r="C1039" i="1"/>
  <c r="D1039" i="1"/>
  <c r="E1039" i="1"/>
  <c r="F1039" i="1"/>
  <c r="A1040" i="1"/>
  <c r="B1040" i="1"/>
  <c r="C1040" i="1"/>
  <c r="D1040" i="1"/>
  <c r="E1040" i="1"/>
  <c r="F1040" i="1"/>
  <c r="A1041" i="1"/>
  <c r="B1041" i="1"/>
  <c r="C1041" i="1"/>
  <c r="D1041" i="1"/>
  <c r="E1041" i="1"/>
  <c r="F1041" i="1"/>
  <c r="A1042" i="1"/>
  <c r="B1042" i="1"/>
  <c r="C1042" i="1"/>
  <c r="D1042" i="1"/>
  <c r="E1042" i="1"/>
  <c r="F1042" i="1"/>
  <c r="A1043" i="1"/>
  <c r="B1043" i="1"/>
  <c r="C1043" i="1"/>
  <c r="D1043" i="1"/>
  <c r="E1043" i="1"/>
  <c r="F1043" i="1"/>
  <c r="A1044" i="1"/>
  <c r="B1044" i="1"/>
  <c r="C1044" i="1"/>
  <c r="D1044" i="1"/>
  <c r="E1044" i="1"/>
  <c r="F1044" i="1"/>
  <c r="A1045" i="1"/>
  <c r="B1045" i="1"/>
  <c r="C1045" i="1"/>
  <c r="D1045" i="1"/>
  <c r="E1045" i="1"/>
  <c r="F1045" i="1"/>
  <c r="A1046" i="1"/>
  <c r="B1046" i="1"/>
  <c r="C1046" i="1"/>
  <c r="D1046" i="1"/>
  <c r="E1046" i="1"/>
  <c r="F1046" i="1"/>
  <c r="A1047" i="1"/>
  <c r="B1047" i="1"/>
  <c r="C1047" i="1"/>
  <c r="D1047" i="1"/>
  <c r="E1047" i="1"/>
  <c r="F1047" i="1"/>
  <c r="A1048" i="1"/>
  <c r="B1048" i="1"/>
  <c r="C1048" i="1"/>
  <c r="D1048" i="1"/>
  <c r="E1048" i="1"/>
  <c r="F1048" i="1"/>
  <c r="A1049" i="1"/>
  <c r="B1049" i="1"/>
  <c r="C1049" i="1"/>
  <c r="D1049" i="1"/>
  <c r="E1049" i="1"/>
  <c r="F1049" i="1"/>
  <c r="A1050" i="1"/>
  <c r="B1050" i="1"/>
  <c r="C1050" i="1"/>
  <c r="D1050" i="1"/>
  <c r="E1050" i="1"/>
  <c r="F1050" i="1"/>
  <c r="A1051" i="1"/>
  <c r="B1051" i="1"/>
  <c r="C1051" i="1"/>
  <c r="D1051" i="1"/>
  <c r="E1051" i="1"/>
  <c r="F1051" i="1"/>
  <c r="A1052" i="1"/>
  <c r="B1052" i="1"/>
  <c r="C1052" i="1"/>
  <c r="D1052" i="1"/>
  <c r="E1052" i="1"/>
  <c r="F1052" i="1"/>
  <c r="A1053" i="1"/>
  <c r="B1053" i="1"/>
  <c r="C1053" i="1"/>
  <c r="D1053" i="1"/>
  <c r="E1053" i="1"/>
  <c r="F1053" i="1"/>
  <c r="A1054" i="1"/>
  <c r="B1054" i="1"/>
  <c r="C1054" i="1"/>
  <c r="D1054" i="1"/>
  <c r="E1054" i="1"/>
  <c r="F1054" i="1"/>
  <c r="A1055" i="1"/>
  <c r="B1055" i="1"/>
  <c r="C1055" i="1"/>
  <c r="D1055" i="1"/>
  <c r="E1055" i="1"/>
  <c r="F1055" i="1"/>
  <c r="A1056" i="1"/>
  <c r="B1056" i="1"/>
  <c r="C1056" i="1"/>
  <c r="D1056" i="1"/>
  <c r="E1056" i="1"/>
  <c r="F1056" i="1"/>
  <c r="A1057" i="1"/>
  <c r="B1057" i="1"/>
  <c r="C1057" i="1"/>
  <c r="D1057" i="1"/>
  <c r="E1057" i="1"/>
  <c r="F1057" i="1"/>
  <c r="A1058" i="1"/>
  <c r="B1058" i="1"/>
  <c r="C1058" i="1"/>
  <c r="D1058" i="1"/>
  <c r="E1058" i="1"/>
  <c r="F1058" i="1"/>
  <c r="A1059" i="1"/>
  <c r="B1059" i="1"/>
  <c r="C1059" i="1"/>
  <c r="D1059" i="1"/>
  <c r="E1059" i="1"/>
  <c r="F1059" i="1"/>
  <c r="A1060" i="1"/>
  <c r="B1060" i="1"/>
  <c r="C1060" i="1"/>
  <c r="D1060" i="1"/>
  <c r="E1060" i="1"/>
  <c r="F1060" i="1"/>
  <c r="A1061" i="1"/>
  <c r="B1061" i="1"/>
  <c r="C1061" i="1"/>
  <c r="D1061" i="1"/>
  <c r="E1061" i="1"/>
  <c r="F1061" i="1"/>
  <c r="A1062" i="1"/>
  <c r="B1062" i="1"/>
  <c r="C1062" i="1"/>
  <c r="D1062" i="1"/>
  <c r="E1062" i="1"/>
  <c r="F1062" i="1"/>
  <c r="A1063" i="1"/>
  <c r="B1063" i="1"/>
  <c r="C1063" i="1"/>
  <c r="D1063" i="1"/>
  <c r="E1063" i="1"/>
  <c r="F1063" i="1"/>
  <c r="A1064" i="1"/>
  <c r="B1064" i="1"/>
  <c r="C1064" i="1"/>
  <c r="D1064" i="1"/>
  <c r="E1064" i="1"/>
  <c r="F1064" i="1"/>
  <c r="A1065" i="1"/>
  <c r="B1065" i="1"/>
  <c r="C1065" i="1"/>
  <c r="D1065" i="1"/>
  <c r="E1065" i="1"/>
  <c r="F1065" i="1"/>
  <c r="A1066" i="1"/>
  <c r="B1066" i="1"/>
  <c r="C1066" i="1"/>
  <c r="D1066" i="1"/>
  <c r="E1066" i="1"/>
  <c r="F1066" i="1"/>
  <c r="A1067" i="1"/>
  <c r="B1067" i="1"/>
  <c r="C1067" i="1"/>
  <c r="D1067" i="1"/>
  <c r="E1067" i="1"/>
  <c r="F1067" i="1"/>
  <c r="A1068" i="1"/>
  <c r="B1068" i="1"/>
  <c r="C1068" i="1"/>
  <c r="D1068" i="1"/>
  <c r="E1068" i="1"/>
  <c r="F1068" i="1"/>
  <c r="A1069" i="1"/>
  <c r="B1069" i="1"/>
  <c r="C1069" i="1"/>
  <c r="D1069" i="1"/>
  <c r="E1069" i="1"/>
  <c r="F1069" i="1"/>
  <c r="A1070" i="1"/>
  <c r="B1070" i="1"/>
  <c r="C1070" i="1"/>
  <c r="D1070" i="1"/>
  <c r="E1070" i="1"/>
  <c r="F1070" i="1"/>
  <c r="A1071" i="1"/>
  <c r="B1071" i="1"/>
  <c r="C1071" i="1"/>
  <c r="D1071" i="1"/>
  <c r="E1071" i="1"/>
  <c r="F1071" i="1"/>
  <c r="A1072" i="1"/>
  <c r="B1072" i="1"/>
  <c r="C1072" i="1"/>
  <c r="D1072" i="1"/>
  <c r="E1072" i="1"/>
  <c r="F1072" i="1"/>
  <c r="A1073" i="1"/>
  <c r="B1073" i="1"/>
  <c r="C1073" i="1"/>
  <c r="D1073" i="1"/>
  <c r="E1073" i="1"/>
  <c r="F1073" i="1"/>
  <c r="A1074" i="1"/>
  <c r="B1074" i="1"/>
  <c r="C1074" i="1"/>
  <c r="D1074" i="1"/>
  <c r="E1074" i="1"/>
  <c r="F1074" i="1"/>
  <c r="A1075" i="1"/>
  <c r="B1075" i="1"/>
  <c r="C1075" i="1"/>
  <c r="D1075" i="1"/>
  <c r="E1075" i="1"/>
  <c r="F1075" i="1"/>
  <c r="A1076" i="1"/>
  <c r="B1076" i="1"/>
  <c r="C1076" i="1"/>
  <c r="D1076" i="1"/>
  <c r="E1076" i="1"/>
  <c r="F1076" i="1"/>
  <c r="A1077" i="1"/>
  <c r="B1077" i="1"/>
  <c r="C1077" i="1"/>
  <c r="D1077" i="1"/>
  <c r="E1077" i="1"/>
  <c r="F1077" i="1"/>
  <c r="A1078" i="1"/>
  <c r="B1078" i="1"/>
  <c r="C1078" i="1"/>
  <c r="D1078" i="1"/>
  <c r="E1078" i="1"/>
  <c r="F1078" i="1"/>
  <c r="A1079" i="1"/>
  <c r="B1079" i="1"/>
  <c r="C1079" i="1"/>
  <c r="D1079" i="1"/>
  <c r="E1079" i="1"/>
  <c r="F1079" i="1"/>
  <c r="A1080" i="1"/>
  <c r="B1080" i="1"/>
  <c r="C1080" i="1"/>
  <c r="D1080" i="1"/>
  <c r="E1080" i="1"/>
  <c r="F1080" i="1"/>
  <c r="A1082" i="1"/>
  <c r="B1082" i="1"/>
  <c r="C1082" i="1"/>
  <c r="D1082" i="1"/>
  <c r="E1082" i="1"/>
  <c r="F1082" i="1"/>
  <c r="A1083" i="1"/>
  <c r="B1083" i="1"/>
  <c r="C1083" i="1"/>
  <c r="D1083" i="1"/>
  <c r="E1083" i="1"/>
  <c r="F1083" i="1"/>
  <c r="A1084" i="1"/>
  <c r="B1084" i="1"/>
  <c r="C1084" i="1"/>
  <c r="D1084" i="1"/>
  <c r="E1084" i="1"/>
  <c r="F1084" i="1"/>
  <c r="A1085" i="1"/>
  <c r="B1085" i="1"/>
  <c r="C1085" i="1"/>
  <c r="D1085" i="1"/>
  <c r="E1085" i="1"/>
  <c r="F1085" i="1"/>
  <c r="A1086" i="1"/>
  <c r="B1086" i="1"/>
  <c r="C1086" i="1"/>
  <c r="D1086" i="1"/>
  <c r="E1086" i="1"/>
  <c r="F1086" i="1"/>
  <c r="A1087" i="1"/>
  <c r="B1087" i="1"/>
  <c r="C1087" i="1"/>
  <c r="D1087" i="1"/>
  <c r="E1087" i="1"/>
  <c r="F1087" i="1"/>
  <c r="A1088" i="1"/>
  <c r="B1088" i="1"/>
  <c r="C1088" i="1"/>
  <c r="D1088" i="1"/>
  <c r="E1088" i="1"/>
  <c r="F1088" i="1"/>
  <c r="A1089" i="1"/>
  <c r="B1089" i="1"/>
  <c r="C1089" i="1"/>
  <c r="D1089" i="1"/>
  <c r="E1089" i="1"/>
  <c r="F1089" i="1"/>
  <c r="A1090" i="1"/>
  <c r="B1090" i="1"/>
  <c r="C1090" i="1"/>
  <c r="D1090" i="1"/>
  <c r="E1090" i="1"/>
  <c r="F1090" i="1"/>
  <c r="A1091" i="1"/>
  <c r="B1091" i="1"/>
  <c r="C1091" i="1"/>
  <c r="D1091" i="1"/>
  <c r="E1091" i="1"/>
  <c r="F1091" i="1"/>
  <c r="A1092" i="1"/>
  <c r="B1092" i="1"/>
  <c r="C1092" i="1"/>
  <c r="D1092" i="1"/>
  <c r="E1092" i="1"/>
  <c r="F1092" i="1"/>
  <c r="A1093" i="1"/>
  <c r="B1093" i="1"/>
  <c r="C1093" i="1"/>
  <c r="D1093" i="1"/>
  <c r="E1093" i="1"/>
  <c r="F1093" i="1"/>
  <c r="A1094" i="1"/>
  <c r="B1094" i="1"/>
  <c r="C1094" i="1"/>
  <c r="D1094" i="1"/>
  <c r="E1094" i="1"/>
  <c r="F1094" i="1"/>
  <c r="A1095" i="1"/>
  <c r="B1095" i="1"/>
  <c r="C1095" i="1"/>
  <c r="D1095" i="1"/>
  <c r="E1095" i="1"/>
  <c r="F1095" i="1"/>
  <c r="A1096" i="1"/>
  <c r="B1096" i="1"/>
  <c r="C1096" i="1"/>
  <c r="D1096" i="1"/>
  <c r="E1096" i="1"/>
  <c r="F1096" i="1"/>
  <c r="A1097" i="1"/>
  <c r="B1097" i="1"/>
  <c r="C1097" i="1"/>
  <c r="D1097" i="1"/>
  <c r="E1097" i="1"/>
  <c r="F1097" i="1"/>
  <c r="A1098" i="1"/>
  <c r="B1098" i="1"/>
  <c r="C1098" i="1"/>
  <c r="D1098" i="1"/>
  <c r="E1098" i="1"/>
  <c r="F1098" i="1"/>
  <c r="A1099" i="1"/>
  <c r="B1099" i="1"/>
  <c r="C1099" i="1"/>
  <c r="D1099" i="1"/>
  <c r="E1099" i="1"/>
  <c r="F1099" i="1"/>
  <c r="A1100" i="1"/>
  <c r="B1100" i="1"/>
  <c r="C1100" i="1"/>
  <c r="D1100" i="1"/>
  <c r="E1100" i="1"/>
  <c r="F1100" i="1"/>
  <c r="A1101" i="1"/>
  <c r="B1101" i="1"/>
  <c r="C1101" i="1"/>
  <c r="D1101" i="1"/>
  <c r="E1101" i="1"/>
  <c r="F1101" i="1"/>
  <c r="A1102" i="1"/>
  <c r="B1102" i="1"/>
  <c r="C1102" i="1"/>
  <c r="D1102" i="1"/>
  <c r="E1102" i="1"/>
  <c r="F1102" i="1"/>
  <c r="A1103" i="1"/>
  <c r="B1103" i="1"/>
  <c r="C1103" i="1"/>
  <c r="D1103" i="1"/>
  <c r="E1103" i="1"/>
  <c r="F1103" i="1"/>
  <c r="A1104" i="1"/>
  <c r="B1104" i="1"/>
  <c r="C1104" i="1"/>
  <c r="D1104" i="1"/>
  <c r="E1104" i="1"/>
  <c r="F1104" i="1"/>
  <c r="A1105" i="1"/>
  <c r="B1105" i="1"/>
  <c r="C1105" i="1"/>
  <c r="D1105" i="1"/>
  <c r="E1105" i="1"/>
  <c r="F1105" i="1"/>
  <c r="A1106" i="1"/>
  <c r="B1106" i="1"/>
  <c r="C1106" i="1"/>
  <c r="D1106" i="1"/>
  <c r="E1106" i="1"/>
  <c r="F1106" i="1"/>
  <c r="A1107" i="1"/>
  <c r="B1107" i="1"/>
  <c r="C1107" i="1"/>
  <c r="D1107" i="1"/>
  <c r="E1107" i="1"/>
  <c r="F1107" i="1"/>
  <c r="A1108" i="1"/>
  <c r="B1108" i="1"/>
  <c r="C1108" i="1"/>
  <c r="D1108" i="1"/>
  <c r="E1108" i="1"/>
  <c r="F1108" i="1"/>
  <c r="A1109" i="1"/>
  <c r="B1109" i="1"/>
  <c r="C1109" i="1"/>
  <c r="D1109" i="1"/>
  <c r="E1109" i="1"/>
  <c r="F1109" i="1"/>
  <c r="A1110" i="1"/>
  <c r="B1110" i="1"/>
  <c r="C1110" i="1"/>
  <c r="D1110" i="1"/>
  <c r="E1110" i="1"/>
  <c r="F1110" i="1"/>
  <c r="A1111" i="1"/>
  <c r="B1111" i="1"/>
  <c r="C1111" i="1"/>
  <c r="D1111" i="1"/>
  <c r="E1111" i="1"/>
  <c r="F1111" i="1"/>
  <c r="A1112" i="1"/>
  <c r="B1112" i="1"/>
  <c r="C1112" i="1"/>
  <c r="D1112" i="1"/>
  <c r="E1112" i="1"/>
  <c r="F1112" i="1"/>
  <c r="A1113" i="1"/>
  <c r="B1113" i="1"/>
  <c r="C1113" i="1"/>
  <c r="D1113" i="1"/>
  <c r="E1113" i="1"/>
  <c r="F1113" i="1"/>
  <c r="A1114" i="1"/>
  <c r="B1114" i="1"/>
  <c r="C1114" i="1"/>
  <c r="D1114" i="1"/>
  <c r="E1114" i="1"/>
  <c r="F1114" i="1"/>
  <c r="A1115" i="1"/>
  <c r="B1115" i="1"/>
  <c r="C1115" i="1"/>
  <c r="D1115" i="1"/>
  <c r="E1115" i="1"/>
  <c r="F1115" i="1"/>
  <c r="A1116" i="1"/>
  <c r="B1116" i="1"/>
  <c r="C1116" i="1"/>
  <c r="D1116" i="1"/>
  <c r="E1116" i="1"/>
  <c r="F1116" i="1"/>
  <c r="A1117" i="1"/>
  <c r="B1117" i="1"/>
  <c r="C1117" i="1"/>
  <c r="D1117" i="1"/>
  <c r="E1117" i="1"/>
  <c r="F1117" i="1"/>
  <c r="A1118" i="1"/>
  <c r="B1118" i="1"/>
  <c r="C1118" i="1"/>
  <c r="D1118" i="1"/>
  <c r="E1118" i="1"/>
  <c r="F1118" i="1"/>
  <c r="A1119" i="1"/>
  <c r="B1119" i="1"/>
  <c r="C1119" i="1"/>
  <c r="D1119" i="1"/>
  <c r="E1119" i="1"/>
  <c r="F1119" i="1"/>
  <c r="A1120" i="1"/>
  <c r="B1120" i="1"/>
  <c r="C1120" i="1"/>
  <c r="D1120" i="1"/>
  <c r="E1120" i="1"/>
  <c r="F1120" i="1"/>
  <c r="A1121" i="1"/>
  <c r="B1121" i="1"/>
  <c r="C1121" i="1"/>
  <c r="D1121" i="1"/>
  <c r="E1121" i="1"/>
  <c r="F1121" i="1"/>
  <c r="A1122" i="1"/>
  <c r="B1122" i="1"/>
  <c r="C1122" i="1"/>
  <c r="D1122" i="1"/>
  <c r="E1122" i="1"/>
  <c r="F1122" i="1"/>
  <c r="A1123" i="1"/>
  <c r="B1123" i="1"/>
  <c r="C1123" i="1"/>
  <c r="D1123" i="1"/>
  <c r="E1123" i="1"/>
  <c r="F1123" i="1"/>
  <c r="A1124" i="1"/>
  <c r="B1124" i="1"/>
  <c r="C1124" i="1"/>
  <c r="D1124" i="1"/>
  <c r="E1124" i="1"/>
  <c r="F1124" i="1"/>
  <c r="A1125" i="1"/>
  <c r="B1125" i="1"/>
  <c r="C1125" i="1"/>
  <c r="D1125" i="1"/>
  <c r="E1125" i="1"/>
  <c r="F1125" i="1"/>
  <c r="A1126" i="1"/>
  <c r="B1126" i="1"/>
  <c r="C1126" i="1"/>
  <c r="D1126" i="1"/>
  <c r="E1126" i="1"/>
  <c r="F1126" i="1"/>
  <c r="A1127" i="1"/>
  <c r="B1127" i="1"/>
  <c r="C1127" i="1"/>
  <c r="D1127" i="1"/>
  <c r="E1127" i="1"/>
  <c r="F1127" i="1"/>
  <c r="A1128" i="1"/>
  <c r="B1128" i="1"/>
  <c r="C1128" i="1"/>
  <c r="D1128" i="1"/>
  <c r="E1128" i="1"/>
  <c r="F1128" i="1"/>
  <c r="A1129" i="1"/>
  <c r="B1129" i="1"/>
  <c r="C1129" i="1"/>
  <c r="D1129" i="1"/>
  <c r="E1129" i="1"/>
  <c r="F1129" i="1"/>
  <c r="A1130" i="1"/>
  <c r="B1130" i="1"/>
  <c r="C1130" i="1"/>
  <c r="D1130" i="1"/>
  <c r="E1130" i="1"/>
  <c r="F1130" i="1"/>
  <c r="A1131" i="1"/>
  <c r="B1131" i="1"/>
  <c r="C1131" i="1"/>
  <c r="D1131" i="1"/>
  <c r="E1131" i="1"/>
  <c r="F1131" i="1"/>
  <c r="A1132" i="1"/>
  <c r="B1132" i="1"/>
  <c r="C1132" i="1"/>
  <c r="D1132" i="1"/>
  <c r="E1132" i="1"/>
  <c r="F1132" i="1"/>
  <c r="A1133" i="1"/>
  <c r="B1133" i="1"/>
  <c r="C1133" i="1"/>
  <c r="D1133" i="1"/>
  <c r="E1133" i="1"/>
  <c r="F1133" i="1"/>
  <c r="A1134" i="1"/>
  <c r="B1134" i="1"/>
  <c r="C1134" i="1"/>
  <c r="D1134" i="1"/>
  <c r="E1134" i="1"/>
  <c r="F1134" i="1"/>
  <c r="A1135" i="1"/>
  <c r="B1135" i="1"/>
  <c r="C1135" i="1"/>
  <c r="D1135" i="1"/>
  <c r="E1135" i="1"/>
  <c r="F1135" i="1"/>
  <c r="A1136" i="1"/>
  <c r="B1136" i="1"/>
  <c r="C1136" i="1"/>
  <c r="D1136" i="1"/>
  <c r="E1136" i="1"/>
  <c r="F1136" i="1"/>
  <c r="A1137" i="1"/>
  <c r="B1137" i="1"/>
  <c r="C1137" i="1"/>
  <c r="D1137" i="1"/>
  <c r="E1137" i="1"/>
  <c r="F1137" i="1"/>
  <c r="A1138" i="1"/>
  <c r="B1138" i="1"/>
  <c r="C1138" i="1"/>
  <c r="D1138" i="1"/>
  <c r="E1138" i="1"/>
  <c r="F1138" i="1"/>
  <c r="A1139" i="1"/>
  <c r="B1139" i="1"/>
  <c r="C1139" i="1"/>
  <c r="D1139" i="1"/>
  <c r="E1139" i="1"/>
  <c r="F1139" i="1"/>
  <c r="A1140" i="1"/>
  <c r="B1140" i="1"/>
  <c r="C1140" i="1"/>
  <c r="D1140" i="1"/>
  <c r="E1140" i="1"/>
  <c r="F1140" i="1"/>
  <c r="A1141" i="1"/>
  <c r="B1141" i="1"/>
  <c r="C1141" i="1"/>
  <c r="D1141" i="1"/>
  <c r="E1141" i="1"/>
  <c r="F1141" i="1"/>
  <c r="A1142" i="1"/>
  <c r="B1142" i="1"/>
  <c r="C1142" i="1"/>
  <c r="D1142" i="1"/>
  <c r="E1142" i="1"/>
  <c r="F1142" i="1"/>
  <c r="A1143" i="1"/>
  <c r="B1143" i="1"/>
  <c r="C1143" i="1"/>
  <c r="D1143" i="1"/>
  <c r="E1143" i="1"/>
  <c r="F1143" i="1"/>
  <c r="A1144" i="1"/>
  <c r="B1144" i="1"/>
  <c r="C1144" i="1"/>
  <c r="D1144" i="1"/>
  <c r="E1144" i="1"/>
  <c r="F1144" i="1"/>
  <c r="A1145" i="1"/>
  <c r="B1145" i="1"/>
  <c r="C1145" i="1"/>
  <c r="D1145" i="1"/>
  <c r="E1145" i="1"/>
  <c r="F1145" i="1"/>
  <c r="A1146" i="1"/>
  <c r="B1146" i="1"/>
  <c r="C1146" i="1"/>
  <c r="D1146" i="1"/>
  <c r="E1146" i="1"/>
  <c r="F1146" i="1"/>
  <c r="A1147" i="1"/>
  <c r="B1147" i="1"/>
  <c r="C1147" i="1"/>
  <c r="D1147" i="1"/>
  <c r="E1147" i="1"/>
  <c r="F1147" i="1"/>
  <c r="A1148" i="1"/>
  <c r="B1148" i="1"/>
  <c r="C1148" i="1"/>
  <c r="D1148" i="1"/>
  <c r="E1148" i="1"/>
  <c r="F1148" i="1"/>
  <c r="A1149" i="1"/>
  <c r="B1149" i="1"/>
  <c r="C1149" i="1"/>
  <c r="D1149" i="1"/>
  <c r="E1149" i="1"/>
  <c r="F1149" i="1"/>
  <c r="A1150" i="1"/>
  <c r="B1150" i="1"/>
  <c r="C1150" i="1"/>
  <c r="D1150" i="1"/>
  <c r="E1150" i="1"/>
  <c r="F1150" i="1"/>
  <c r="A1151" i="1"/>
  <c r="B1151" i="1"/>
  <c r="C1151" i="1"/>
  <c r="D1151" i="1"/>
  <c r="E1151" i="1"/>
  <c r="F1151" i="1"/>
  <c r="A1152" i="1"/>
  <c r="B1152" i="1"/>
  <c r="C1152" i="1"/>
  <c r="D1152" i="1"/>
  <c r="E1152" i="1"/>
  <c r="F1152" i="1"/>
  <c r="A1153" i="1"/>
  <c r="B1153" i="1"/>
  <c r="C1153" i="1"/>
  <c r="D1153" i="1"/>
  <c r="E1153" i="1"/>
  <c r="F1153" i="1"/>
  <c r="A1154" i="1"/>
  <c r="B1154" i="1"/>
  <c r="C1154" i="1"/>
  <c r="D1154" i="1"/>
  <c r="E1154" i="1"/>
  <c r="F1154" i="1"/>
  <c r="A1155" i="1"/>
  <c r="B1155" i="1"/>
  <c r="C1155" i="1"/>
  <c r="D1155" i="1"/>
  <c r="E1155" i="1"/>
  <c r="F1155" i="1"/>
  <c r="A1156" i="1"/>
  <c r="B1156" i="1"/>
  <c r="C1156" i="1"/>
  <c r="D1156" i="1"/>
  <c r="E1156" i="1"/>
  <c r="F1156" i="1"/>
  <c r="A1157" i="1"/>
  <c r="B1157" i="1"/>
  <c r="C1157" i="1"/>
  <c r="D1157" i="1"/>
  <c r="E1157" i="1"/>
  <c r="F1157" i="1"/>
  <c r="A1158" i="1"/>
  <c r="B1158" i="1"/>
  <c r="C1158" i="1"/>
  <c r="D1158" i="1"/>
  <c r="E1158" i="1"/>
  <c r="F1158" i="1"/>
  <c r="A1159" i="1"/>
  <c r="B1159" i="1"/>
  <c r="C1159" i="1"/>
  <c r="D1159" i="1"/>
  <c r="E1159" i="1"/>
  <c r="F1159" i="1"/>
  <c r="A1160" i="1"/>
  <c r="B1160" i="1"/>
  <c r="C1160" i="1"/>
  <c r="D1160" i="1"/>
  <c r="E1160" i="1"/>
  <c r="F1160" i="1"/>
  <c r="A1161" i="1"/>
  <c r="B1161" i="1"/>
  <c r="C1161" i="1"/>
  <c r="D1161" i="1"/>
  <c r="E1161" i="1"/>
  <c r="F1161" i="1"/>
  <c r="A1162" i="1"/>
  <c r="B1162" i="1"/>
  <c r="C1162" i="1"/>
  <c r="D1162" i="1"/>
  <c r="E1162" i="1"/>
  <c r="F1162" i="1"/>
  <c r="A1163" i="1"/>
  <c r="B1163" i="1"/>
  <c r="C1163" i="1"/>
  <c r="D1163" i="1"/>
  <c r="E1163" i="1"/>
  <c r="F1163" i="1"/>
  <c r="A1164" i="1"/>
  <c r="B1164" i="1"/>
  <c r="C1164" i="1"/>
  <c r="D1164" i="1"/>
  <c r="E1164" i="1"/>
  <c r="F1164" i="1"/>
  <c r="A1165" i="1"/>
  <c r="B1165" i="1"/>
  <c r="C1165" i="1"/>
  <c r="D1165" i="1"/>
  <c r="E1165" i="1"/>
  <c r="F1165" i="1"/>
  <c r="A1166" i="1"/>
  <c r="B1166" i="1"/>
  <c r="C1166" i="1"/>
  <c r="D1166" i="1"/>
  <c r="E1166" i="1"/>
  <c r="F1166" i="1"/>
  <c r="A1167" i="1"/>
  <c r="B1167" i="1"/>
  <c r="C1167" i="1"/>
  <c r="D1167" i="1"/>
  <c r="E1167" i="1"/>
  <c r="F1167" i="1"/>
  <c r="A1168" i="1"/>
  <c r="B1168" i="1"/>
  <c r="C1168" i="1"/>
  <c r="D1168" i="1"/>
  <c r="E1168" i="1"/>
  <c r="F1168" i="1"/>
  <c r="A1169" i="1"/>
  <c r="B1169" i="1"/>
  <c r="C1169" i="1"/>
  <c r="D1169" i="1"/>
  <c r="E1169" i="1"/>
  <c r="F1169" i="1"/>
  <c r="A1170" i="1"/>
  <c r="B1170" i="1"/>
  <c r="C1170" i="1"/>
  <c r="D1170" i="1"/>
  <c r="E1170" i="1"/>
  <c r="F1170" i="1"/>
  <c r="A1171" i="1"/>
  <c r="B1171" i="1"/>
  <c r="C1171" i="1"/>
  <c r="D1171" i="1"/>
  <c r="E1171" i="1"/>
  <c r="F1171" i="1"/>
  <c r="A1172" i="1"/>
  <c r="B1172" i="1"/>
  <c r="C1172" i="1"/>
  <c r="D1172" i="1"/>
  <c r="E1172" i="1"/>
  <c r="F1172" i="1"/>
  <c r="A1173" i="1"/>
  <c r="B1173" i="1"/>
  <c r="C1173" i="1"/>
  <c r="D1173" i="1"/>
  <c r="E1173" i="1"/>
  <c r="F1173" i="1"/>
  <c r="A1174" i="1"/>
  <c r="B1174" i="1"/>
  <c r="C1174" i="1"/>
  <c r="D1174" i="1"/>
  <c r="E1174" i="1"/>
  <c r="F1174" i="1"/>
  <c r="A1175" i="1"/>
  <c r="B1175" i="1"/>
  <c r="C1175" i="1"/>
  <c r="D1175" i="1"/>
  <c r="E1175" i="1"/>
  <c r="F1175" i="1"/>
  <c r="A1176" i="1"/>
  <c r="B1176" i="1"/>
  <c r="C1176" i="1"/>
  <c r="D1176" i="1"/>
  <c r="E1176" i="1"/>
  <c r="F1176" i="1"/>
  <c r="A1177" i="1"/>
  <c r="B1177" i="1"/>
  <c r="C1177" i="1"/>
  <c r="D1177" i="1"/>
  <c r="E1177" i="1"/>
  <c r="F1177" i="1"/>
  <c r="A1178" i="1"/>
  <c r="B1178" i="1"/>
  <c r="C1178" i="1"/>
  <c r="D1178" i="1"/>
  <c r="E1178" i="1"/>
  <c r="F1178" i="1"/>
  <c r="A1179" i="1"/>
  <c r="B1179" i="1"/>
  <c r="C1179" i="1"/>
  <c r="D1179" i="1"/>
  <c r="E1179" i="1"/>
  <c r="F1179" i="1"/>
  <c r="A1180" i="1"/>
  <c r="B1180" i="1"/>
  <c r="C1180" i="1"/>
  <c r="D1180" i="1"/>
  <c r="E1180" i="1"/>
  <c r="F1180" i="1"/>
  <c r="A1181" i="1"/>
  <c r="B1181" i="1"/>
  <c r="C1181" i="1"/>
  <c r="D1181" i="1"/>
  <c r="E1181" i="1"/>
  <c r="F1181" i="1"/>
  <c r="A1182" i="1"/>
  <c r="B1182" i="1"/>
  <c r="C1182" i="1"/>
  <c r="D1182" i="1"/>
  <c r="E1182" i="1"/>
  <c r="F1182" i="1"/>
  <c r="A1183" i="1"/>
  <c r="B1183" i="1"/>
  <c r="C1183" i="1"/>
  <c r="D1183" i="1"/>
  <c r="E1183" i="1"/>
  <c r="F1183" i="1"/>
  <c r="A1184" i="1"/>
  <c r="B1184" i="1"/>
  <c r="C1184" i="1"/>
  <c r="D1184" i="1"/>
  <c r="E1184" i="1"/>
  <c r="F1184" i="1"/>
  <c r="A1185" i="1"/>
  <c r="B1185" i="1"/>
  <c r="C1185" i="1"/>
  <c r="D1185" i="1"/>
  <c r="E1185" i="1"/>
  <c r="F1185" i="1"/>
  <c r="A1186" i="1"/>
  <c r="B1186" i="1"/>
  <c r="C1186" i="1"/>
  <c r="D1186" i="1"/>
  <c r="E1186" i="1"/>
  <c r="F1186" i="1"/>
  <c r="A1187" i="1"/>
  <c r="B1187" i="1"/>
  <c r="C1187" i="1"/>
  <c r="D1187" i="1"/>
  <c r="E1187" i="1"/>
  <c r="F1187" i="1"/>
  <c r="A1188" i="1"/>
  <c r="B1188" i="1"/>
  <c r="C1188" i="1"/>
  <c r="D1188" i="1"/>
  <c r="E1188" i="1"/>
  <c r="F1188" i="1"/>
  <c r="A1189" i="1"/>
  <c r="B1189" i="1"/>
  <c r="C1189" i="1"/>
  <c r="D1189" i="1"/>
  <c r="E1189" i="1"/>
  <c r="F1189" i="1"/>
  <c r="A1190" i="1"/>
  <c r="B1190" i="1"/>
  <c r="C1190" i="1"/>
  <c r="D1190" i="1"/>
  <c r="E1190" i="1"/>
  <c r="F1190" i="1"/>
  <c r="A1191" i="1"/>
  <c r="B1191" i="1"/>
  <c r="C1191" i="1"/>
  <c r="D1191" i="1"/>
  <c r="E1191" i="1"/>
  <c r="F1191" i="1"/>
  <c r="A1192" i="1"/>
  <c r="B1192" i="1"/>
  <c r="C1192" i="1"/>
  <c r="D1192" i="1"/>
  <c r="E1192" i="1"/>
  <c r="F1192" i="1"/>
  <c r="A1193" i="1"/>
  <c r="B1193" i="1"/>
  <c r="C1193" i="1"/>
  <c r="D1193" i="1"/>
  <c r="E1193" i="1"/>
  <c r="F1193" i="1"/>
  <c r="A1194" i="1"/>
  <c r="B1194" i="1"/>
  <c r="C1194" i="1"/>
  <c r="D1194" i="1"/>
  <c r="E1194" i="1"/>
  <c r="F1194" i="1"/>
  <c r="A1195" i="1"/>
  <c r="B1195" i="1"/>
  <c r="C1195" i="1"/>
  <c r="D1195" i="1"/>
  <c r="E1195" i="1"/>
  <c r="F1195" i="1"/>
  <c r="A1196" i="1"/>
  <c r="B1196" i="1"/>
  <c r="C1196" i="1"/>
  <c r="D1196" i="1"/>
  <c r="E1196" i="1"/>
  <c r="F1196" i="1"/>
  <c r="A1197" i="1"/>
  <c r="B1197" i="1"/>
  <c r="C1197" i="1"/>
  <c r="D1197" i="1"/>
  <c r="E1197" i="1"/>
  <c r="F1197" i="1"/>
  <c r="A1198" i="1"/>
  <c r="B1198" i="1"/>
  <c r="C1198" i="1"/>
  <c r="D1198" i="1"/>
  <c r="E1198" i="1"/>
  <c r="F1198" i="1"/>
  <c r="A1199" i="1"/>
  <c r="B1199" i="1"/>
  <c r="C1199" i="1"/>
  <c r="D1199" i="1"/>
  <c r="E1199" i="1"/>
  <c r="F1199" i="1"/>
  <c r="A1200" i="1"/>
  <c r="B1200" i="1"/>
  <c r="C1200" i="1"/>
  <c r="D1200" i="1"/>
  <c r="E1200" i="1"/>
  <c r="F1200" i="1"/>
  <c r="A1201" i="1"/>
  <c r="B1201" i="1"/>
  <c r="C1201" i="1"/>
  <c r="D1201" i="1"/>
  <c r="E1201" i="1"/>
  <c r="F1201" i="1"/>
  <c r="A1202" i="1"/>
  <c r="B1202" i="1"/>
  <c r="C1202" i="1"/>
  <c r="D1202" i="1"/>
  <c r="E1202" i="1"/>
  <c r="F1202" i="1"/>
  <c r="A1203" i="1"/>
  <c r="B1203" i="1"/>
  <c r="C1203" i="1"/>
  <c r="D1203" i="1"/>
  <c r="E1203" i="1"/>
  <c r="F1203" i="1"/>
  <c r="A1204" i="1"/>
  <c r="B1204" i="1"/>
  <c r="C1204" i="1"/>
  <c r="D1204" i="1"/>
  <c r="E1204" i="1"/>
  <c r="F1204" i="1"/>
  <c r="A1205" i="1"/>
  <c r="B1205" i="1"/>
  <c r="C1205" i="1"/>
  <c r="D1205" i="1"/>
  <c r="E1205" i="1"/>
  <c r="F1205" i="1"/>
  <c r="A1206" i="1"/>
  <c r="B1206" i="1"/>
  <c r="C1206" i="1"/>
  <c r="D1206" i="1"/>
  <c r="E1206" i="1"/>
  <c r="F1206" i="1"/>
  <c r="A1207" i="1"/>
  <c r="B1207" i="1"/>
  <c r="C1207" i="1"/>
  <c r="D1207" i="1"/>
  <c r="E1207" i="1"/>
  <c r="F1207" i="1"/>
  <c r="A1208" i="1"/>
  <c r="B1208" i="1"/>
  <c r="C1208" i="1"/>
  <c r="D1208" i="1"/>
  <c r="E1208" i="1"/>
  <c r="F1208" i="1"/>
  <c r="A1209" i="1"/>
  <c r="B1209" i="1"/>
  <c r="C1209" i="1"/>
  <c r="D1209" i="1"/>
  <c r="E1209" i="1"/>
  <c r="F1209" i="1"/>
  <c r="A1210" i="1"/>
  <c r="B1210" i="1"/>
  <c r="C1210" i="1"/>
  <c r="D1210" i="1"/>
  <c r="E1210" i="1"/>
  <c r="F1210" i="1"/>
  <c r="A1211" i="1"/>
  <c r="B1211" i="1"/>
  <c r="C1211" i="1"/>
  <c r="D1211" i="1"/>
  <c r="E1211" i="1"/>
  <c r="F1211" i="1"/>
  <c r="A1212" i="1"/>
  <c r="B1212" i="1"/>
  <c r="C1212" i="1"/>
  <c r="D1212" i="1"/>
  <c r="E1212" i="1"/>
  <c r="F1212" i="1"/>
  <c r="A1213" i="1"/>
  <c r="B1213" i="1"/>
  <c r="C1213" i="1"/>
  <c r="D1213" i="1"/>
  <c r="E1213" i="1"/>
  <c r="F1213" i="1"/>
  <c r="A1214" i="1"/>
  <c r="B1214" i="1"/>
  <c r="C1214" i="1"/>
  <c r="D1214" i="1"/>
  <c r="E1214" i="1"/>
  <c r="F1214" i="1"/>
  <c r="A1215" i="1"/>
  <c r="B1215" i="1"/>
  <c r="C1215" i="1"/>
  <c r="D1215" i="1"/>
  <c r="E1215" i="1"/>
  <c r="F1215" i="1"/>
  <c r="A1216" i="1"/>
  <c r="B1216" i="1"/>
  <c r="C1216" i="1"/>
  <c r="D1216" i="1"/>
  <c r="E1216" i="1"/>
  <c r="F1216" i="1"/>
  <c r="A1217" i="1"/>
  <c r="B1217" i="1"/>
  <c r="C1217" i="1"/>
  <c r="D1217" i="1"/>
  <c r="E1217" i="1"/>
  <c r="F1217" i="1"/>
  <c r="A1218" i="1"/>
  <c r="B1218" i="1"/>
  <c r="C1218" i="1"/>
  <c r="D1218" i="1"/>
  <c r="E1218" i="1"/>
  <c r="F1218" i="1"/>
  <c r="A1219" i="1"/>
  <c r="B1219" i="1"/>
  <c r="C1219" i="1"/>
  <c r="D1219" i="1"/>
  <c r="E1219" i="1"/>
  <c r="F1219" i="1"/>
  <c r="A1220" i="1"/>
  <c r="B1220" i="1"/>
  <c r="C1220" i="1"/>
  <c r="D1220" i="1"/>
  <c r="E1220" i="1"/>
  <c r="F1220" i="1"/>
  <c r="A1221" i="1"/>
  <c r="B1221" i="1"/>
  <c r="C1221" i="1"/>
  <c r="D1221" i="1"/>
  <c r="E1221" i="1"/>
  <c r="F1221" i="1"/>
  <c r="A1222" i="1"/>
  <c r="B1222" i="1"/>
  <c r="C1222" i="1"/>
  <c r="D1222" i="1"/>
  <c r="E1222" i="1"/>
  <c r="F1222" i="1"/>
  <c r="A1223" i="1"/>
  <c r="B1223" i="1"/>
  <c r="C1223" i="1"/>
  <c r="D1223" i="1"/>
  <c r="E1223" i="1"/>
  <c r="F1223" i="1"/>
  <c r="A1224" i="1"/>
  <c r="B1224" i="1"/>
  <c r="C1224" i="1"/>
  <c r="D1224" i="1"/>
  <c r="E1224" i="1"/>
  <c r="F1224" i="1"/>
  <c r="A1225" i="1"/>
  <c r="B1225" i="1"/>
  <c r="C1225" i="1"/>
  <c r="D1225" i="1"/>
  <c r="E1225" i="1"/>
  <c r="F1225" i="1"/>
  <c r="A1226" i="1"/>
  <c r="B1226" i="1"/>
  <c r="C1226" i="1"/>
  <c r="D1226" i="1"/>
  <c r="E1226" i="1"/>
  <c r="F1226" i="1"/>
  <c r="A1227" i="1"/>
  <c r="B1227" i="1"/>
  <c r="C1227" i="1"/>
  <c r="D1227" i="1"/>
  <c r="E1227" i="1"/>
  <c r="F1227" i="1"/>
  <c r="A1228" i="1"/>
  <c r="B1228" i="1"/>
  <c r="C1228" i="1"/>
  <c r="D1228" i="1"/>
  <c r="E1228" i="1"/>
  <c r="F1228" i="1"/>
  <c r="A1229" i="1"/>
  <c r="B1229" i="1"/>
  <c r="C1229" i="1"/>
  <c r="D1229" i="1"/>
  <c r="E1229" i="1"/>
  <c r="F1229" i="1"/>
  <c r="A1230" i="1"/>
  <c r="B1230" i="1"/>
  <c r="C1230" i="1"/>
  <c r="D1230" i="1"/>
  <c r="E1230" i="1"/>
  <c r="F1230" i="1"/>
  <c r="A1231" i="1"/>
  <c r="B1231" i="1"/>
  <c r="C1231" i="1"/>
  <c r="D1231" i="1"/>
  <c r="E1231" i="1"/>
  <c r="F1231" i="1"/>
  <c r="A1232" i="1"/>
  <c r="B1232" i="1"/>
  <c r="C1232" i="1"/>
  <c r="D1232" i="1"/>
  <c r="E1232" i="1"/>
  <c r="F1232" i="1"/>
  <c r="A1233" i="1"/>
  <c r="B1233" i="1"/>
  <c r="C1233" i="1"/>
  <c r="D1233" i="1"/>
  <c r="E1233" i="1"/>
  <c r="F1233" i="1"/>
  <c r="A1234" i="1"/>
  <c r="B1234" i="1"/>
  <c r="C1234" i="1"/>
  <c r="D1234" i="1"/>
  <c r="E1234" i="1"/>
  <c r="F1234" i="1"/>
  <c r="A1235" i="1"/>
  <c r="B1235" i="1"/>
  <c r="C1235" i="1"/>
  <c r="D1235" i="1"/>
  <c r="E1235" i="1"/>
  <c r="F1235" i="1"/>
  <c r="A1236" i="1"/>
  <c r="B1236" i="1"/>
  <c r="C1236" i="1"/>
  <c r="D1236" i="1"/>
  <c r="E1236" i="1"/>
  <c r="F1236" i="1"/>
  <c r="A1237" i="1"/>
  <c r="B1237" i="1"/>
  <c r="C1237" i="1"/>
  <c r="D1237" i="1"/>
  <c r="E1237" i="1"/>
  <c r="F1237" i="1"/>
  <c r="A1238" i="1"/>
  <c r="B1238" i="1"/>
  <c r="C1238" i="1"/>
  <c r="D1238" i="1"/>
  <c r="E1238" i="1"/>
  <c r="F1238" i="1"/>
  <c r="A1239" i="1"/>
  <c r="B1239" i="1"/>
  <c r="C1239" i="1"/>
  <c r="D1239" i="1"/>
  <c r="E1239" i="1"/>
  <c r="F1239" i="1"/>
  <c r="A1240" i="1"/>
  <c r="B1240" i="1"/>
  <c r="C1240" i="1"/>
  <c r="D1240" i="1"/>
  <c r="E1240" i="1"/>
  <c r="F1240" i="1"/>
  <c r="A1241" i="1"/>
  <c r="B1241" i="1"/>
  <c r="C1241" i="1"/>
  <c r="D1241" i="1"/>
  <c r="E1241" i="1"/>
  <c r="F1241" i="1"/>
  <c r="A1242" i="1"/>
  <c r="B1242" i="1"/>
  <c r="C1242" i="1"/>
  <c r="D1242" i="1"/>
  <c r="E1242" i="1"/>
  <c r="F1242" i="1"/>
  <c r="A1243" i="1"/>
  <c r="B1243" i="1"/>
  <c r="C1243" i="1"/>
  <c r="D1243" i="1"/>
  <c r="E1243" i="1"/>
  <c r="F1243" i="1"/>
  <c r="A1244" i="1"/>
  <c r="B1244" i="1"/>
  <c r="C1244" i="1"/>
  <c r="D1244" i="1"/>
  <c r="E1244" i="1"/>
  <c r="F1244" i="1"/>
  <c r="A1245" i="1"/>
  <c r="B1245" i="1"/>
  <c r="C1245" i="1"/>
  <c r="D1245" i="1"/>
  <c r="E1245" i="1"/>
  <c r="F1245" i="1"/>
  <c r="A1246" i="1"/>
  <c r="B1246" i="1"/>
  <c r="C1246" i="1"/>
  <c r="D1246" i="1"/>
  <c r="E1246" i="1"/>
  <c r="F1246" i="1"/>
  <c r="A1247" i="1"/>
  <c r="B1247" i="1"/>
  <c r="C1247" i="1"/>
  <c r="D1247" i="1"/>
  <c r="E1247" i="1"/>
  <c r="F1247" i="1"/>
  <c r="A1248" i="1"/>
  <c r="B1248" i="1"/>
  <c r="C1248" i="1"/>
  <c r="D1248" i="1"/>
  <c r="E1248" i="1"/>
  <c r="F1248" i="1"/>
  <c r="A1249" i="1"/>
  <c r="B1249" i="1"/>
  <c r="C1249" i="1"/>
  <c r="D1249" i="1"/>
  <c r="E1249" i="1"/>
  <c r="F1249" i="1"/>
  <c r="A1250" i="1"/>
  <c r="B1250" i="1"/>
  <c r="C1250" i="1"/>
  <c r="D1250" i="1"/>
  <c r="E1250" i="1"/>
  <c r="F1250" i="1"/>
  <c r="A1251" i="1"/>
  <c r="B1251" i="1"/>
  <c r="C1251" i="1"/>
  <c r="D1251" i="1"/>
  <c r="E1251" i="1"/>
  <c r="F1251" i="1"/>
  <c r="A1252" i="1"/>
  <c r="B1252" i="1"/>
  <c r="C1252" i="1"/>
  <c r="D1252" i="1"/>
  <c r="E1252" i="1"/>
  <c r="F1252" i="1"/>
  <c r="A1255" i="1"/>
  <c r="B1255" i="1"/>
  <c r="C1255" i="1"/>
  <c r="D1255" i="1"/>
  <c r="E1255" i="1"/>
  <c r="F1255" i="1"/>
  <c r="A1256" i="1"/>
  <c r="B1256" i="1"/>
  <c r="C1256" i="1"/>
  <c r="D1256" i="1"/>
  <c r="E1256" i="1"/>
  <c r="F1256" i="1"/>
  <c r="A1257" i="1"/>
  <c r="B1257" i="1"/>
  <c r="C1257" i="1"/>
  <c r="D1257" i="1"/>
  <c r="E1257" i="1"/>
  <c r="F1257" i="1"/>
  <c r="A1258" i="1"/>
  <c r="B1258" i="1"/>
  <c r="C1258" i="1"/>
  <c r="D1258" i="1"/>
  <c r="E1258" i="1"/>
  <c r="F1258" i="1"/>
  <c r="A1259" i="1"/>
  <c r="B1259" i="1"/>
  <c r="C1259" i="1"/>
  <c r="D1259" i="1"/>
  <c r="E1259" i="1"/>
  <c r="F1259" i="1"/>
  <c r="A1260" i="1"/>
  <c r="B1260" i="1"/>
  <c r="C1260" i="1"/>
  <c r="D1260" i="1"/>
  <c r="E1260" i="1"/>
  <c r="F1260" i="1"/>
  <c r="A1261" i="1"/>
  <c r="B1261" i="1"/>
  <c r="C1261" i="1"/>
  <c r="D1261" i="1"/>
  <c r="E1261" i="1"/>
  <c r="F1261" i="1"/>
  <c r="A1262" i="1"/>
  <c r="B1262" i="1"/>
  <c r="C1262" i="1"/>
  <c r="D1262" i="1"/>
  <c r="E1262" i="1"/>
  <c r="F1262" i="1"/>
  <c r="A1263" i="1"/>
  <c r="B1263" i="1"/>
  <c r="C1263" i="1"/>
  <c r="D1263" i="1"/>
  <c r="E1263" i="1"/>
  <c r="F1263" i="1"/>
  <c r="A1264" i="1"/>
  <c r="B1264" i="1"/>
  <c r="C1264" i="1"/>
  <c r="D1264" i="1"/>
  <c r="E1264" i="1"/>
  <c r="F1264" i="1"/>
  <c r="A1265" i="1"/>
  <c r="B1265" i="1"/>
  <c r="C1265" i="1"/>
  <c r="D1265" i="1"/>
  <c r="E1265" i="1"/>
  <c r="F1265" i="1"/>
  <c r="A1266" i="1"/>
  <c r="B1266" i="1"/>
  <c r="C1266" i="1"/>
  <c r="D1266" i="1"/>
  <c r="E1266" i="1"/>
  <c r="F1266" i="1"/>
  <c r="A1267" i="1"/>
  <c r="B1267" i="1"/>
  <c r="C1267" i="1"/>
  <c r="D1267" i="1"/>
  <c r="E1267" i="1"/>
  <c r="F1267" i="1"/>
  <c r="A1268" i="1"/>
  <c r="B1268" i="1"/>
  <c r="C1268" i="1"/>
  <c r="D1268" i="1"/>
  <c r="E1268" i="1"/>
  <c r="F1268" i="1"/>
  <c r="A1269" i="1"/>
  <c r="B1269" i="1"/>
  <c r="C1269" i="1"/>
  <c r="D1269" i="1"/>
  <c r="E1269" i="1"/>
  <c r="F1269" i="1"/>
  <c r="A1271" i="1"/>
  <c r="B1271" i="1"/>
  <c r="C1271" i="1"/>
  <c r="D1271" i="1"/>
  <c r="E1271" i="1"/>
  <c r="F1271" i="1"/>
  <c r="A1272" i="1"/>
  <c r="B1272" i="1"/>
  <c r="C1272" i="1"/>
  <c r="D1272" i="1"/>
  <c r="E1272" i="1"/>
  <c r="F1272" i="1"/>
  <c r="A1273" i="1"/>
  <c r="B1273" i="1"/>
  <c r="C1273" i="1"/>
  <c r="D1273" i="1"/>
  <c r="E1273" i="1"/>
  <c r="F1273" i="1"/>
  <c r="A1276" i="1"/>
  <c r="B1276" i="1"/>
  <c r="C1276" i="1"/>
  <c r="D1276" i="1"/>
  <c r="E1276" i="1"/>
  <c r="F1276" i="1"/>
  <c r="B1278" i="1"/>
  <c r="C1278" i="1"/>
  <c r="D1278" i="1"/>
  <c r="E1278" i="1"/>
  <c r="F1278" i="1"/>
  <c r="B1279" i="1"/>
  <c r="C1279" i="1"/>
  <c r="D1279" i="1"/>
  <c r="E1279" i="1"/>
  <c r="F1279" i="1"/>
  <c r="B1280" i="1"/>
  <c r="C1280" i="1"/>
  <c r="D1280" i="1"/>
  <c r="E1280" i="1"/>
  <c r="F1280" i="1"/>
  <c r="B1281" i="1"/>
  <c r="C1281" i="1"/>
  <c r="D1281" i="1"/>
  <c r="E1281" i="1"/>
  <c r="F1281" i="1"/>
  <c r="B1282" i="1"/>
  <c r="C1282" i="1"/>
  <c r="D1282" i="1"/>
  <c r="E1282" i="1"/>
  <c r="F1282" i="1"/>
  <c r="B1283" i="1"/>
  <c r="C1283" i="1"/>
  <c r="D1283" i="1"/>
  <c r="E1283" i="1"/>
  <c r="F1283" i="1"/>
  <c r="B1284" i="1"/>
  <c r="C1284" i="1"/>
  <c r="D1284" i="1"/>
  <c r="E1284" i="1"/>
  <c r="F1284" i="1"/>
  <c r="B1285" i="1"/>
  <c r="C1285" i="1"/>
  <c r="D1285" i="1"/>
  <c r="E1285" i="1"/>
  <c r="F1285" i="1"/>
  <c r="B1286" i="1"/>
  <c r="C1286" i="1"/>
  <c r="D1286" i="1"/>
  <c r="E1286" i="1"/>
  <c r="F1286" i="1"/>
  <c r="B1287" i="1"/>
  <c r="C1287" i="1"/>
  <c r="D1287" i="1"/>
  <c r="E1287" i="1"/>
  <c r="F1287" i="1"/>
  <c r="B1288" i="1"/>
  <c r="C1288" i="1"/>
  <c r="D1288" i="1"/>
  <c r="E1288" i="1"/>
  <c r="F1288" i="1"/>
  <c r="B1289" i="1"/>
  <c r="C1289" i="1"/>
  <c r="D1289" i="1"/>
  <c r="E1289" i="1"/>
  <c r="F1289" i="1"/>
  <c r="A1290" i="1"/>
  <c r="B1290" i="1"/>
  <c r="C1290" i="1"/>
  <c r="D1290" i="1"/>
  <c r="E1290" i="1"/>
  <c r="F1290" i="1"/>
  <c r="A1291" i="1"/>
  <c r="B1291" i="1"/>
  <c r="C1291" i="1"/>
  <c r="D1291" i="1"/>
  <c r="E1291" i="1"/>
  <c r="F1291" i="1"/>
  <c r="A1292" i="1"/>
  <c r="B1292" i="1"/>
  <c r="C1292" i="1"/>
  <c r="D1292" i="1"/>
  <c r="E1292" i="1"/>
  <c r="F1292" i="1"/>
  <c r="A1293" i="1"/>
  <c r="B1293" i="1"/>
  <c r="C1293" i="1"/>
  <c r="D1293" i="1"/>
  <c r="E1293" i="1"/>
  <c r="F1293" i="1"/>
  <c r="A1294" i="1"/>
  <c r="B1294" i="1"/>
  <c r="C1294" i="1"/>
  <c r="D1294" i="1"/>
  <c r="E1294" i="1"/>
  <c r="F1294" i="1"/>
  <c r="A1295" i="1"/>
  <c r="B1295" i="1"/>
  <c r="C1295" i="1"/>
  <c r="D1295" i="1"/>
  <c r="E1295" i="1"/>
  <c r="F1295" i="1"/>
  <c r="A1296" i="1"/>
  <c r="B1296" i="1"/>
  <c r="C1296" i="1"/>
  <c r="D1296" i="1"/>
  <c r="E1296" i="1"/>
  <c r="F1296" i="1"/>
  <c r="A1297" i="1"/>
  <c r="B1297" i="1"/>
  <c r="C1297" i="1"/>
  <c r="D1297" i="1"/>
  <c r="E1297" i="1"/>
  <c r="F1297" i="1"/>
  <c r="A1298" i="1"/>
  <c r="B1298" i="1"/>
  <c r="C1298" i="1"/>
  <c r="D1298" i="1"/>
  <c r="E1298" i="1"/>
  <c r="F1298" i="1"/>
  <c r="A1299" i="1"/>
  <c r="B1299" i="1"/>
  <c r="C1299" i="1"/>
  <c r="D1299" i="1"/>
  <c r="E1299" i="1"/>
  <c r="F1299" i="1"/>
  <c r="A1300" i="1"/>
  <c r="B1300" i="1"/>
  <c r="C1300" i="1"/>
  <c r="D1300" i="1"/>
  <c r="E1300" i="1"/>
  <c r="F1300" i="1"/>
  <c r="A1301" i="1"/>
  <c r="B1301" i="1"/>
  <c r="C1301" i="1"/>
  <c r="D1301" i="1"/>
  <c r="E1301" i="1"/>
  <c r="F1301" i="1"/>
  <c r="A1302" i="1"/>
  <c r="B1302" i="1"/>
  <c r="C1302" i="1"/>
  <c r="D1302" i="1"/>
  <c r="E1302" i="1"/>
  <c r="F1302" i="1"/>
  <c r="A1303" i="1"/>
  <c r="B1303" i="1"/>
  <c r="C1303" i="1"/>
  <c r="D1303" i="1"/>
  <c r="E1303" i="1"/>
  <c r="F1303" i="1"/>
  <c r="A1304" i="1"/>
  <c r="B1304" i="1"/>
  <c r="C1304" i="1"/>
  <c r="D1304" i="1"/>
  <c r="E1304" i="1"/>
  <c r="F1304" i="1"/>
  <c r="A1305" i="1"/>
  <c r="B1305" i="1"/>
  <c r="C1305" i="1"/>
  <c r="D1305" i="1"/>
  <c r="E1305" i="1"/>
  <c r="F1305" i="1"/>
  <c r="A1306" i="1"/>
  <c r="B1306" i="1"/>
  <c r="C1306" i="1"/>
  <c r="D1306" i="1"/>
  <c r="E1306" i="1"/>
  <c r="F1306" i="1"/>
  <c r="A1307" i="1"/>
  <c r="B1307" i="1"/>
  <c r="C1307" i="1"/>
  <c r="D1307" i="1"/>
  <c r="E1307" i="1"/>
  <c r="F1307" i="1"/>
  <c r="B1309" i="1"/>
  <c r="C1309" i="1"/>
  <c r="D1309" i="1"/>
  <c r="E1309" i="1"/>
  <c r="F1309" i="1"/>
  <c r="B1310" i="1"/>
  <c r="C1310" i="1"/>
  <c r="D1310" i="1"/>
  <c r="E1310" i="1"/>
  <c r="F1310" i="1"/>
  <c r="B1311" i="1"/>
  <c r="C1311" i="1"/>
  <c r="D1311" i="1"/>
  <c r="E1311" i="1"/>
  <c r="F1311" i="1"/>
  <c r="B1312" i="1"/>
  <c r="C1312" i="1"/>
  <c r="D1312" i="1"/>
  <c r="E1312" i="1"/>
  <c r="F1312" i="1"/>
  <c r="B1313" i="1"/>
  <c r="C1313" i="1"/>
  <c r="D1313" i="1"/>
  <c r="E1313" i="1"/>
  <c r="F1313" i="1"/>
  <c r="B1314" i="1"/>
  <c r="C1314" i="1"/>
  <c r="D1314" i="1"/>
  <c r="E1314" i="1"/>
  <c r="F1314" i="1"/>
  <c r="B1315" i="1"/>
  <c r="C1315" i="1"/>
  <c r="D1315" i="1"/>
  <c r="E1315" i="1"/>
  <c r="F1315" i="1"/>
  <c r="B1316" i="1"/>
  <c r="C1316" i="1"/>
  <c r="D1316" i="1"/>
  <c r="E1316" i="1"/>
  <c r="F1316" i="1"/>
  <c r="B1317" i="1"/>
  <c r="C1317" i="1"/>
  <c r="D1317" i="1"/>
  <c r="E1317" i="1"/>
  <c r="F1317" i="1"/>
  <c r="B1318" i="1"/>
  <c r="C1318" i="1"/>
  <c r="D1318" i="1"/>
  <c r="E1318" i="1"/>
  <c r="F1318" i="1"/>
  <c r="B1319" i="1"/>
  <c r="C1319" i="1"/>
  <c r="D1319" i="1"/>
  <c r="E1319" i="1"/>
  <c r="F1319" i="1"/>
  <c r="B1320" i="1"/>
  <c r="C1320" i="1"/>
  <c r="D1320" i="1"/>
  <c r="E1320" i="1"/>
  <c r="F1320" i="1"/>
  <c r="A1321" i="1"/>
  <c r="B1321" i="1"/>
  <c r="C1321" i="1"/>
  <c r="D1321" i="1"/>
  <c r="E1321" i="1"/>
  <c r="F1321" i="1"/>
  <c r="A1322" i="1"/>
  <c r="B1322" i="1"/>
  <c r="C1322" i="1"/>
  <c r="D1322" i="1"/>
  <c r="E1322" i="1"/>
  <c r="F1322" i="1"/>
  <c r="A1323" i="1"/>
  <c r="B1323" i="1"/>
  <c r="C1323" i="1"/>
  <c r="D1323" i="1"/>
  <c r="E1323" i="1"/>
  <c r="F1323" i="1"/>
  <c r="A1324" i="1"/>
  <c r="B1324" i="1"/>
  <c r="C1324" i="1"/>
  <c r="D1324" i="1"/>
  <c r="E1324" i="1"/>
  <c r="F1324" i="1"/>
  <c r="A1325" i="1"/>
  <c r="B1325" i="1"/>
  <c r="C1325" i="1"/>
  <c r="D1325" i="1"/>
  <c r="E1325" i="1"/>
  <c r="F1325" i="1"/>
  <c r="A1326" i="1"/>
  <c r="B1326" i="1"/>
  <c r="C1326" i="1"/>
  <c r="D1326" i="1"/>
  <c r="E1326" i="1"/>
  <c r="F1326" i="1"/>
  <c r="A1327" i="1"/>
  <c r="B1327" i="1"/>
  <c r="C1327" i="1"/>
  <c r="D1327" i="1"/>
  <c r="E1327" i="1"/>
  <c r="F1327" i="1"/>
  <c r="A1328" i="1"/>
  <c r="B1328" i="1"/>
  <c r="C1328" i="1"/>
  <c r="D1328" i="1"/>
  <c r="E1328" i="1"/>
  <c r="F1328" i="1"/>
  <c r="A1329" i="1"/>
  <c r="B1329" i="1"/>
  <c r="C1329" i="1"/>
  <c r="D1329" i="1"/>
  <c r="E1329" i="1"/>
  <c r="F1329" i="1"/>
  <c r="A1330" i="1"/>
  <c r="B1330" i="1"/>
  <c r="C1330" i="1"/>
  <c r="D1330" i="1"/>
  <c r="E1330" i="1"/>
  <c r="F1330" i="1"/>
  <c r="A1331" i="1"/>
  <c r="B1331" i="1"/>
  <c r="C1331" i="1"/>
  <c r="D1331" i="1"/>
  <c r="E1331" i="1"/>
  <c r="F1331" i="1"/>
  <c r="A1332" i="1"/>
  <c r="B1332" i="1"/>
  <c r="C1332" i="1"/>
  <c r="D1332" i="1"/>
  <c r="E1332" i="1"/>
  <c r="F1332" i="1"/>
  <c r="A1333" i="1"/>
  <c r="B1333" i="1"/>
  <c r="C1333" i="1"/>
  <c r="D1333" i="1"/>
  <c r="E1333" i="1"/>
  <c r="F1333" i="1"/>
  <c r="A1334" i="1"/>
  <c r="B1334" i="1"/>
  <c r="C1334" i="1"/>
  <c r="D1334" i="1"/>
  <c r="E1334" i="1"/>
  <c r="F1334" i="1"/>
  <c r="A1335" i="1"/>
  <c r="B1335" i="1"/>
  <c r="C1335" i="1"/>
  <c r="D1335" i="1"/>
  <c r="E1335" i="1"/>
  <c r="F1335" i="1"/>
  <c r="A1336" i="1"/>
  <c r="B1336" i="1"/>
  <c r="C1336" i="1"/>
  <c r="D1336" i="1"/>
  <c r="E1336" i="1"/>
  <c r="F1336" i="1"/>
  <c r="A1337" i="1"/>
  <c r="B1337" i="1"/>
  <c r="C1337" i="1"/>
  <c r="D1337" i="1"/>
  <c r="E1337" i="1"/>
  <c r="F1337" i="1"/>
  <c r="A1338" i="1"/>
  <c r="B1338" i="1"/>
  <c r="C1338" i="1"/>
  <c r="D1338" i="1"/>
  <c r="E1338" i="1"/>
  <c r="F1338" i="1"/>
  <c r="A1339" i="1"/>
  <c r="B1339" i="1"/>
  <c r="C1339" i="1"/>
  <c r="D1339" i="1"/>
  <c r="E1339" i="1"/>
  <c r="F1339" i="1"/>
  <c r="A1340" i="1"/>
  <c r="B1340" i="1"/>
  <c r="C1340" i="1"/>
  <c r="D1340" i="1"/>
  <c r="E1340" i="1"/>
  <c r="F1340" i="1"/>
  <c r="A1341" i="1"/>
  <c r="B1341" i="1"/>
  <c r="C1341" i="1"/>
  <c r="D1341" i="1"/>
  <c r="E1341" i="1"/>
  <c r="F1341" i="1"/>
  <c r="A1342" i="1"/>
  <c r="B1342" i="1"/>
  <c r="C1342" i="1"/>
  <c r="D1342" i="1"/>
  <c r="E1342" i="1"/>
  <c r="F1342" i="1"/>
  <c r="B1344" i="1"/>
  <c r="C1344" i="1"/>
  <c r="D1344" i="1"/>
  <c r="E1344" i="1"/>
  <c r="F1344" i="1"/>
  <c r="B1345" i="1"/>
  <c r="C1345" i="1"/>
  <c r="D1345" i="1"/>
  <c r="E1345" i="1"/>
  <c r="F1345" i="1"/>
  <c r="B1346" i="1"/>
  <c r="C1346" i="1"/>
  <c r="D1346" i="1"/>
  <c r="E1346" i="1"/>
  <c r="F1346" i="1"/>
  <c r="B1347" i="1"/>
  <c r="C1347" i="1"/>
  <c r="D1347" i="1"/>
  <c r="E1347" i="1"/>
  <c r="F1347" i="1"/>
  <c r="B1348" i="1"/>
  <c r="C1348" i="1"/>
  <c r="D1348" i="1"/>
  <c r="E1348" i="1"/>
  <c r="F1348" i="1"/>
  <c r="B1349" i="1"/>
  <c r="C1349" i="1"/>
  <c r="D1349" i="1"/>
  <c r="E1349" i="1"/>
  <c r="F1349" i="1"/>
  <c r="B1350" i="1"/>
  <c r="C1350" i="1"/>
  <c r="D1350" i="1"/>
  <c r="E1350" i="1"/>
  <c r="F1350" i="1"/>
  <c r="B1351" i="1"/>
  <c r="C1351" i="1"/>
  <c r="D1351" i="1"/>
  <c r="E1351" i="1"/>
  <c r="F1351" i="1"/>
  <c r="B1352" i="1"/>
  <c r="C1352" i="1"/>
  <c r="D1352" i="1"/>
  <c r="E1352" i="1"/>
  <c r="F1352" i="1"/>
  <c r="B1353" i="1"/>
  <c r="C1353" i="1"/>
  <c r="D1353" i="1"/>
  <c r="E1353" i="1"/>
  <c r="F1353" i="1"/>
  <c r="B1354" i="1"/>
  <c r="C1354" i="1"/>
  <c r="D1354" i="1"/>
  <c r="E1354" i="1"/>
  <c r="F1354" i="1"/>
  <c r="B1355" i="1"/>
  <c r="C1355" i="1"/>
  <c r="D1355" i="1"/>
  <c r="E1355" i="1"/>
  <c r="F1355" i="1"/>
  <c r="A1356" i="1"/>
  <c r="B1356" i="1"/>
  <c r="C1356" i="1"/>
  <c r="D1356" i="1"/>
  <c r="E1356" i="1"/>
  <c r="F1356" i="1"/>
  <c r="A1357" i="1"/>
  <c r="B1357" i="1"/>
  <c r="C1357" i="1"/>
  <c r="D1357" i="1"/>
  <c r="E1357" i="1"/>
  <c r="F1357" i="1"/>
  <c r="A1358" i="1"/>
  <c r="B1358" i="1"/>
  <c r="C1358" i="1"/>
  <c r="D1358" i="1"/>
  <c r="E1358" i="1"/>
  <c r="F1358" i="1"/>
  <c r="A1359" i="1"/>
  <c r="B1359" i="1"/>
  <c r="C1359" i="1"/>
  <c r="D1359" i="1"/>
  <c r="E1359" i="1"/>
  <c r="F1359" i="1"/>
  <c r="B1361" i="1"/>
  <c r="C1361" i="1"/>
  <c r="D1361" i="1"/>
  <c r="E1361" i="1"/>
  <c r="F1361" i="1"/>
  <c r="B1362" i="1"/>
  <c r="C1362" i="1"/>
  <c r="D1362" i="1"/>
  <c r="E1362" i="1"/>
  <c r="F1362" i="1"/>
  <c r="B1363" i="1"/>
  <c r="C1363" i="1"/>
  <c r="D1363" i="1"/>
  <c r="E1363" i="1"/>
  <c r="F1363" i="1"/>
  <c r="B1364" i="1"/>
  <c r="C1364" i="1"/>
  <c r="D1364" i="1"/>
  <c r="E1364" i="1"/>
  <c r="F1364" i="1"/>
  <c r="B1365" i="1"/>
  <c r="C1365" i="1"/>
  <c r="D1365" i="1"/>
  <c r="E1365" i="1"/>
  <c r="F1365" i="1"/>
  <c r="B1367" i="1"/>
  <c r="C1367" i="1"/>
  <c r="D1367" i="1"/>
  <c r="E1367" i="1"/>
  <c r="F1367" i="1"/>
  <c r="B1368" i="1"/>
  <c r="C1368" i="1"/>
  <c r="D1368" i="1"/>
  <c r="E1368" i="1"/>
  <c r="F1368" i="1"/>
  <c r="B1369" i="1"/>
  <c r="C1369" i="1"/>
  <c r="D1369" i="1"/>
  <c r="E1369" i="1"/>
  <c r="F1369" i="1"/>
  <c r="B1370" i="1"/>
  <c r="C1370" i="1"/>
  <c r="D1370" i="1"/>
  <c r="E1370" i="1"/>
  <c r="F1370" i="1"/>
  <c r="B1371" i="1"/>
  <c r="C1371" i="1"/>
  <c r="D1371" i="1"/>
  <c r="E1371" i="1"/>
  <c r="F1371" i="1"/>
  <c r="B1373" i="1"/>
  <c r="C1373" i="1"/>
  <c r="D1373" i="1"/>
  <c r="E1373" i="1"/>
  <c r="F1373" i="1"/>
  <c r="B1374" i="1"/>
  <c r="C1374" i="1"/>
  <c r="D1374" i="1"/>
  <c r="E1374" i="1"/>
  <c r="F1374" i="1"/>
  <c r="A1375" i="1"/>
  <c r="B1375" i="1"/>
  <c r="C1375" i="1"/>
  <c r="D1375" i="1"/>
  <c r="E1375" i="1"/>
  <c r="F1375" i="1"/>
  <c r="A1376" i="1"/>
  <c r="B1376" i="1"/>
  <c r="C1376" i="1"/>
  <c r="D1376" i="1"/>
  <c r="E1376" i="1"/>
  <c r="F1376" i="1"/>
  <c r="A1377" i="1"/>
  <c r="B1377" i="1"/>
  <c r="C1377" i="1"/>
  <c r="D1377" i="1"/>
  <c r="E1377" i="1"/>
  <c r="F1377" i="1"/>
  <c r="A1379" i="1"/>
  <c r="B1379" i="1"/>
  <c r="C1379" i="1"/>
  <c r="D1379" i="1"/>
  <c r="E1379" i="1"/>
  <c r="F1379" i="1"/>
  <c r="A1380" i="1"/>
  <c r="B1380" i="1"/>
  <c r="C1380" i="1"/>
  <c r="D1380" i="1"/>
  <c r="E1380" i="1"/>
  <c r="F1380" i="1"/>
  <c r="A1381" i="1"/>
  <c r="B1381" i="1"/>
  <c r="C1381" i="1"/>
  <c r="D1381" i="1"/>
  <c r="E1381" i="1"/>
  <c r="F1381" i="1"/>
  <c r="A1382" i="1"/>
  <c r="B1382" i="1"/>
  <c r="C1382" i="1"/>
  <c r="D1382" i="1"/>
  <c r="E1382" i="1"/>
  <c r="F1382" i="1"/>
  <c r="A1383" i="1"/>
  <c r="B1383" i="1"/>
  <c r="C1383" i="1"/>
  <c r="D1383" i="1"/>
  <c r="E1383" i="1"/>
  <c r="F1383" i="1"/>
  <c r="A1384" i="1"/>
  <c r="B1384" i="1"/>
  <c r="C1384" i="1"/>
  <c r="D1384" i="1"/>
  <c r="E1384" i="1"/>
  <c r="F1384" i="1"/>
  <c r="A1385" i="1"/>
  <c r="B1385" i="1"/>
  <c r="C1385" i="1"/>
  <c r="D1385" i="1"/>
  <c r="E1385" i="1"/>
  <c r="F1385" i="1"/>
  <c r="A1386" i="1"/>
  <c r="B1386" i="1"/>
  <c r="C1386" i="1"/>
  <c r="D1386" i="1"/>
  <c r="E1386" i="1"/>
  <c r="F1386" i="1"/>
  <c r="A1387" i="1"/>
  <c r="B1387" i="1"/>
  <c r="C1387" i="1"/>
  <c r="D1387" i="1"/>
  <c r="E1387" i="1"/>
  <c r="F1387" i="1"/>
  <c r="A1388" i="1"/>
  <c r="B1388" i="1"/>
  <c r="C1388" i="1"/>
  <c r="D1388" i="1"/>
  <c r="E1388" i="1"/>
  <c r="F1388" i="1"/>
  <c r="A1389" i="1"/>
  <c r="B1389" i="1"/>
  <c r="C1389" i="1"/>
  <c r="D1389" i="1"/>
  <c r="E1389" i="1"/>
  <c r="F1389" i="1"/>
  <c r="A1390" i="1"/>
  <c r="B1390" i="1"/>
  <c r="C1390" i="1"/>
  <c r="D1390" i="1"/>
  <c r="E1390" i="1"/>
  <c r="F1390" i="1"/>
  <c r="A1391" i="1"/>
  <c r="B1391" i="1"/>
  <c r="C1391" i="1"/>
  <c r="D1391" i="1"/>
  <c r="E1391" i="1"/>
  <c r="F1391" i="1"/>
  <c r="A1392" i="1"/>
  <c r="B1392" i="1"/>
  <c r="C1392" i="1"/>
  <c r="D1392" i="1"/>
  <c r="E1392" i="1"/>
  <c r="F1392" i="1"/>
  <c r="A1393" i="1"/>
  <c r="B1393" i="1"/>
  <c r="C1393" i="1"/>
  <c r="D1393" i="1"/>
  <c r="E1393" i="1"/>
  <c r="F1393" i="1"/>
  <c r="A1394" i="1"/>
  <c r="B1394" i="1"/>
  <c r="C1394" i="1"/>
  <c r="D1394" i="1"/>
  <c r="E1394" i="1"/>
  <c r="F1394" i="1"/>
  <c r="A1395" i="1"/>
  <c r="B1395" i="1"/>
  <c r="C1395" i="1"/>
  <c r="D1395" i="1"/>
  <c r="E1395" i="1"/>
  <c r="F1395" i="1"/>
  <c r="A1396" i="1"/>
  <c r="B1396" i="1"/>
  <c r="C1396" i="1"/>
  <c r="D1396" i="1"/>
  <c r="E1396" i="1"/>
  <c r="F1396" i="1"/>
  <c r="A1397" i="1"/>
  <c r="B1397" i="1"/>
  <c r="C1397" i="1"/>
  <c r="D1397" i="1"/>
  <c r="E1397" i="1"/>
  <c r="F1397" i="1"/>
  <c r="A1398" i="1"/>
  <c r="B1398" i="1"/>
  <c r="C1398" i="1"/>
  <c r="D1398" i="1"/>
  <c r="E1398" i="1"/>
  <c r="F1398" i="1"/>
  <c r="A1399" i="1"/>
  <c r="B1399" i="1"/>
  <c r="C1399" i="1"/>
  <c r="D1399" i="1"/>
  <c r="E1399" i="1"/>
  <c r="F1399" i="1"/>
  <c r="A1400" i="1"/>
  <c r="B1400" i="1"/>
  <c r="C1400" i="1"/>
  <c r="D1400" i="1"/>
  <c r="E1400" i="1"/>
  <c r="F1400" i="1"/>
  <c r="A1401" i="1"/>
  <c r="B1401" i="1"/>
  <c r="C1401" i="1"/>
  <c r="D1401" i="1"/>
  <c r="E1401" i="1"/>
  <c r="F1401" i="1"/>
  <c r="A1402" i="1"/>
  <c r="B1402" i="1"/>
  <c r="C1402" i="1"/>
  <c r="D1402" i="1"/>
  <c r="E1402" i="1"/>
  <c r="F1402" i="1"/>
  <c r="A1403" i="1"/>
  <c r="B1403" i="1"/>
  <c r="C1403" i="1"/>
  <c r="D1403" i="1"/>
  <c r="E1403" i="1"/>
  <c r="F1403" i="1"/>
  <c r="A1404" i="1"/>
  <c r="B1404" i="1"/>
  <c r="C1404" i="1"/>
  <c r="D1404" i="1"/>
  <c r="E1404" i="1"/>
  <c r="F1404" i="1"/>
  <c r="A1405" i="1"/>
  <c r="B1405" i="1"/>
  <c r="C1405" i="1"/>
  <c r="D1405" i="1"/>
  <c r="E1405" i="1"/>
  <c r="F1405" i="1"/>
  <c r="A1406" i="1"/>
  <c r="B1406" i="1"/>
  <c r="C1406" i="1"/>
  <c r="D1406" i="1"/>
  <c r="E1406" i="1"/>
  <c r="F1406" i="1"/>
  <c r="A1407" i="1"/>
  <c r="B1407" i="1"/>
  <c r="C1407" i="1"/>
  <c r="D1407" i="1"/>
  <c r="E1407" i="1"/>
  <c r="F1407" i="1"/>
  <c r="A1408" i="1"/>
  <c r="B1408" i="1"/>
  <c r="C1408" i="1"/>
  <c r="D1408" i="1"/>
  <c r="E1408" i="1"/>
  <c r="F1408" i="1"/>
  <c r="A1409" i="1"/>
  <c r="B1409" i="1"/>
  <c r="C1409" i="1"/>
  <c r="D1409" i="1"/>
  <c r="E1409" i="1"/>
  <c r="F1409" i="1"/>
  <c r="B1411" i="1"/>
  <c r="C1411" i="1"/>
  <c r="D1411" i="1"/>
  <c r="E1411" i="1"/>
  <c r="F1411" i="1"/>
  <c r="B1412" i="1"/>
  <c r="C1412" i="1"/>
  <c r="D1412" i="1"/>
  <c r="E1412" i="1"/>
  <c r="F1412" i="1"/>
  <c r="B1413" i="1"/>
  <c r="C1413" i="1"/>
  <c r="D1413" i="1"/>
  <c r="E1413" i="1"/>
  <c r="F1413" i="1"/>
  <c r="B1414" i="1"/>
  <c r="C1414" i="1"/>
  <c r="D1414" i="1"/>
  <c r="E1414" i="1"/>
  <c r="F1414" i="1"/>
  <c r="B1415" i="1"/>
  <c r="C1415" i="1"/>
  <c r="D1415" i="1"/>
  <c r="E1415" i="1"/>
  <c r="F1415" i="1"/>
  <c r="B1416" i="1"/>
  <c r="C1416" i="1"/>
  <c r="D1416" i="1"/>
  <c r="E1416" i="1"/>
  <c r="F1416" i="1"/>
  <c r="B1417" i="1"/>
  <c r="C1417" i="1"/>
  <c r="D1417" i="1"/>
  <c r="E1417" i="1"/>
  <c r="F1417" i="1"/>
  <c r="B1418" i="1"/>
  <c r="C1418" i="1"/>
  <c r="D1418" i="1"/>
  <c r="E1418" i="1"/>
  <c r="F1418" i="1"/>
  <c r="B1419" i="1"/>
  <c r="C1419" i="1"/>
  <c r="D1419" i="1"/>
  <c r="E1419" i="1"/>
  <c r="F1419" i="1"/>
  <c r="B1420" i="1"/>
  <c r="C1420" i="1"/>
  <c r="D1420" i="1"/>
  <c r="E1420" i="1"/>
  <c r="F1420" i="1"/>
  <c r="B1422" i="1"/>
  <c r="C1422" i="1"/>
  <c r="D1422" i="1"/>
  <c r="E1422" i="1"/>
  <c r="F1422" i="1"/>
  <c r="A10" i="1" l="1"/>
  <c r="B10" i="1"/>
  <c r="C10" i="1"/>
  <c r="D10" i="1"/>
  <c r="A16" i="1" l="1"/>
  <c r="B16" i="1"/>
  <c r="C16" i="1"/>
  <c r="D16" i="1"/>
  <c r="E16" i="1"/>
  <c r="F16" i="1"/>
  <c r="A15" i="1"/>
  <c r="B15" i="1"/>
  <c r="C15" i="1"/>
  <c r="D15" i="1"/>
  <c r="E15" i="1"/>
  <c r="F15" i="1"/>
  <c r="F17" i="1"/>
  <c r="E17" i="1"/>
  <c r="D17" i="1"/>
  <c r="C17" i="1"/>
  <c r="B17" i="1"/>
  <c r="A17" i="1"/>
  <c r="A13" i="1"/>
  <c r="B13" i="1"/>
  <c r="C13" i="1"/>
  <c r="D13" i="1"/>
  <c r="E13" i="1"/>
  <c r="F13" i="1"/>
  <c r="A12" i="1"/>
  <c r="B12" i="1"/>
  <c r="C12" i="1"/>
  <c r="D12" i="1"/>
  <c r="E12" i="1"/>
  <c r="F12" i="1"/>
  <c r="A11" i="1"/>
  <c r="B11" i="1"/>
  <c r="C11" i="1"/>
  <c r="D11" i="1"/>
  <c r="E11" i="1"/>
  <c r="F11" i="1"/>
  <c r="E10" i="1"/>
  <c r="F10" i="1"/>
  <c r="A9" i="1"/>
  <c r="B9" i="1"/>
  <c r="C9" i="1"/>
  <c r="D9" i="1"/>
  <c r="E9" i="1"/>
  <c r="F9" i="1"/>
  <c r="A3" i="1"/>
  <c r="B3" i="1"/>
  <c r="C3" i="1"/>
  <c r="D3" i="1"/>
  <c r="E3" i="1"/>
  <c r="F3" i="1"/>
  <c r="A4" i="1"/>
  <c r="B4" i="1"/>
  <c r="C4" i="1"/>
  <c r="D4" i="1"/>
  <c r="E4" i="1"/>
  <c r="F4" i="1"/>
  <c r="A18" i="1"/>
  <c r="B18" i="1"/>
  <c r="C18" i="1"/>
  <c r="D18" i="1"/>
  <c r="E18" i="1"/>
  <c r="F18" i="1"/>
  <c r="A19" i="1"/>
  <c r="B19" i="1"/>
  <c r="C19" i="1"/>
  <c r="D19" i="1"/>
  <c r="E19" i="1"/>
  <c r="F19" i="1"/>
  <c r="A20" i="1"/>
  <c r="B20" i="1"/>
  <c r="C20" i="1"/>
  <c r="D20" i="1"/>
  <c r="E20" i="1"/>
  <c r="F20" i="1"/>
  <c r="A21" i="1"/>
  <c r="B21" i="1"/>
  <c r="C21" i="1"/>
  <c r="D21" i="1"/>
  <c r="E21" i="1"/>
  <c r="F21" i="1"/>
  <c r="A22" i="1"/>
  <c r="B22" i="1"/>
  <c r="C22" i="1"/>
  <c r="D22" i="1"/>
  <c r="E22" i="1"/>
  <c r="F22" i="1"/>
  <c r="A23" i="1"/>
  <c r="B23" i="1"/>
  <c r="C23" i="1"/>
  <c r="D23" i="1"/>
  <c r="E23" i="1"/>
  <c r="F23" i="1"/>
  <c r="A24" i="1"/>
  <c r="B24" i="1"/>
  <c r="C24" i="1"/>
  <c r="D24" i="1"/>
  <c r="E24" i="1"/>
  <c r="F24" i="1"/>
  <c r="A25" i="1"/>
  <c r="B25" i="1"/>
  <c r="C25" i="1"/>
  <c r="D25" i="1"/>
  <c r="E25" i="1"/>
  <c r="F25" i="1"/>
  <c r="A26" i="1"/>
  <c r="B26" i="1"/>
  <c r="C26" i="1"/>
  <c r="D26" i="1"/>
  <c r="E26" i="1"/>
  <c r="F26" i="1"/>
  <c r="A27" i="1"/>
  <c r="B27" i="1"/>
  <c r="C27" i="1"/>
  <c r="D27" i="1"/>
  <c r="E27" i="1"/>
  <c r="F27" i="1"/>
  <c r="A28" i="1"/>
  <c r="B28" i="1"/>
  <c r="C28" i="1"/>
  <c r="D28" i="1"/>
  <c r="E28" i="1"/>
  <c r="F28" i="1"/>
  <c r="A29" i="1"/>
  <c r="B29" i="1"/>
  <c r="C29" i="1"/>
  <c r="D29" i="1"/>
  <c r="E29" i="1"/>
  <c r="F29" i="1"/>
  <c r="F14" i="1"/>
  <c r="E14" i="1"/>
  <c r="D14" i="1"/>
  <c r="C14" i="1"/>
  <c r="B14" i="1"/>
  <c r="A14" i="1"/>
  <c r="F7" i="1"/>
  <c r="E7" i="1"/>
  <c r="D7" i="1"/>
  <c r="C7" i="1"/>
  <c r="B7" i="1"/>
  <c r="A7" i="1"/>
  <c r="F6" i="1"/>
  <c r="E6" i="1"/>
  <c r="D6" i="1"/>
  <c r="C6" i="1"/>
  <c r="B6" i="1"/>
  <c r="A6" i="1"/>
  <c r="F5" i="1"/>
  <c r="E5" i="1"/>
  <c r="D5" i="1"/>
  <c r="C5" i="1"/>
  <c r="B5" i="1"/>
  <c r="A5" i="1"/>
  <c r="F8" i="1"/>
  <c r="E8" i="1"/>
  <c r="D8" i="1"/>
  <c r="C8" i="1"/>
  <c r="B8" i="1"/>
  <c r="A8" i="1"/>
</calcChain>
</file>

<file path=xl/comments1.xml><?xml version="1.0" encoding="utf-8"?>
<comments xmlns="http://schemas.openxmlformats.org/spreadsheetml/2006/main">
  <authors>
    <author>STN</author>
  </authors>
  <commentList>
    <comment ref="J2" authorId="0" shapeId="0">
      <text>
        <r>
          <rPr>
            <b/>
            <sz val="9"/>
            <color indexed="81"/>
            <rFont val="Tahoma"/>
            <family val="2"/>
          </rPr>
          <t>STN:</t>
        </r>
        <r>
          <rPr>
            <sz val="9"/>
            <color indexed="81"/>
            <rFont val="Tahoma"/>
            <family val="2"/>
          </rPr>
          <t xml:space="preserve">
Conta utilizada por União (U),
Estado (E) e Município (M)</t>
        </r>
      </text>
    </comment>
    <comment ref="K2" authorId="0" shapeId="0">
      <text>
        <r>
          <rPr>
            <b/>
            <sz val="9"/>
            <color indexed="81"/>
            <rFont val="Segoe UI"/>
            <family val="2"/>
          </rPr>
          <t>STN:</t>
        </r>
        <r>
          <rPr>
            <sz val="9"/>
            <color indexed="81"/>
            <rFont val="Segoe UI"/>
            <family val="2"/>
          </rPr>
          <t xml:space="preserve">
I - Incluída
E - Excluída
A - Alterada</t>
        </r>
      </text>
    </comment>
  </commentList>
</comments>
</file>

<file path=xl/sharedStrings.xml><?xml version="1.0" encoding="utf-8"?>
<sst xmlns="http://schemas.openxmlformats.org/spreadsheetml/2006/main" count="4751" uniqueCount="4285">
  <si>
    <t>Origem</t>
  </si>
  <si>
    <t>Espécie</t>
  </si>
  <si>
    <t>Rubrica</t>
  </si>
  <si>
    <t>Alínea</t>
  </si>
  <si>
    <t>Subalínea</t>
  </si>
  <si>
    <t>Especificação</t>
  </si>
  <si>
    <t>Descrição</t>
  </si>
  <si>
    <t>Código</t>
  </si>
  <si>
    <t>Ente que utiliza</t>
  </si>
  <si>
    <t>Status</t>
  </si>
  <si>
    <t>Amparo Legal</t>
  </si>
  <si>
    <t>Cat. Econômica</t>
  </si>
  <si>
    <t>I/E/A</t>
  </si>
  <si>
    <t>1112.01.01</t>
  </si>
  <si>
    <t>1112.02.00</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</si>
  <si>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</si>
  <si>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</si>
  <si>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1110.00.00</t>
  </si>
  <si>
    <t>1111.00.00</t>
  </si>
  <si>
    <t>Impostos sobre o Comércio Exterior</t>
  </si>
  <si>
    <t>Constituição Federal, art. 153, I e II e § 1o.</t>
  </si>
  <si>
    <t>1111.01.00</t>
  </si>
  <si>
    <t>Imposto sobre a Importação</t>
  </si>
  <si>
    <t>Receita do Principal do Imposto sobre a Importação</t>
  </si>
  <si>
    <t>1111.01.01</t>
  </si>
  <si>
    <t>1000.00.00</t>
  </si>
  <si>
    <t>Recursos oriundos da competência de tributar, conforme disposto na Constituição: Impostos, Taxas e Contribuição de Melhoria.</t>
  </si>
  <si>
    <t>1111.01.02</t>
  </si>
  <si>
    <t>Receita de Parcelamentos - Imposto sobre a Importação</t>
  </si>
  <si>
    <t>1111.02.00</t>
  </si>
  <si>
    <t>Imposto sobre a Exportação</t>
  </si>
  <si>
    <t>1111.02.01</t>
  </si>
  <si>
    <t>Receita do Principal do Imposto sobre a Exportação</t>
  </si>
  <si>
    <t>1111.02.02</t>
  </si>
  <si>
    <t>Receita de Parcelamentos - Imposto sobre a Exportação</t>
  </si>
  <si>
    <t>Impostos sobre o Patrimônio e a Renda</t>
  </si>
  <si>
    <t>Este grupo compreende os Impostos sobre a Propriedade Territorial Rural, sobre a Renda e Proventos de Qualquer Natureza e sobre Grandes Fortunas (não regulamentado), de competência da União, e também os Impostos sobre a Propriedade Predial e Territorial Urbana, sobre a Propriedade de Veículos Automotores, sobre Transmissão "Causa Mortis" e Doação de Bens e Direitos e sobre Transmissão "Inter-Vivos" de Bens Imóveis e de Direitos Reais sobre Imóveis, de competência dos Estados, Distrito Federal e Municípios.</t>
  </si>
  <si>
    <t>1112.01.00</t>
  </si>
  <si>
    <t>Imposto sobre a Propriedade Territorial Rural</t>
  </si>
  <si>
    <t>Imposto sobre a Propriedade Territorial Rural - Municípios Conveniados</t>
  </si>
  <si>
    <t>1112.01.02</t>
  </si>
  <si>
    <t>Imposto sobre a Propriedade Territorial Rural - Municípios Não-Conveniados</t>
  </si>
  <si>
    <t>1200.00.00</t>
  </si>
  <si>
    <t>1210.00.00</t>
  </si>
  <si>
    <t>Registra o valor da arrecadação de imposto sobre a exportação, de competência da União, que incide sobre a exportação, para o estrangeiro, de produtos nacionais ou nacionalizados, e tem como fato gerador a saída desses produtos do território nacional.</t>
  </si>
  <si>
    <t>Registra o valor decorrente de parcelamentos do Imposto sobre a Exportação no âmbito do Programa de Recuperação Fiscal - REFIS e do Programa Especial de Parcelamento de Débito – PAES, criados respectivamente por meio das leis nº 9.964/2000 e 10.684/2003.</t>
  </si>
  <si>
    <t>I</t>
  </si>
  <si>
    <t>Suporte Documental</t>
  </si>
  <si>
    <t>U/E/M</t>
  </si>
  <si>
    <t>1112.04.00</t>
  </si>
  <si>
    <t>1112.04.10</t>
  </si>
  <si>
    <t>1112.04.11</t>
  </si>
  <si>
    <t>1112.04.21</t>
  </si>
  <si>
    <t>1112.04.22</t>
  </si>
  <si>
    <t>1112.04.23</t>
  </si>
  <si>
    <t>1112.04.31</t>
  </si>
  <si>
    <t>1112.04.32</t>
  </si>
  <si>
    <t>1112.04.33</t>
  </si>
  <si>
    <t>1112.04.34</t>
  </si>
  <si>
    <t>1112.04.35</t>
  </si>
  <si>
    <t>1112.05.00</t>
  </si>
  <si>
    <t>1112.07.00</t>
  </si>
  <si>
    <t>1112.08.00</t>
  </si>
  <si>
    <t>1113.00.00</t>
  </si>
  <si>
    <t>1113.01.00</t>
  </si>
  <si>
    <t>1113.01.01</t>
  </si>
  <si>
    <t>1113.01.02</t>
  </si>
  <si>
    <t>1113.01.03</t>
  </si>
  <si>
    <t>1113.01.04</t>
  </si>
  <si>
    <t>1113.01.09</t>
  </si>
  <si>
    <t>1113.01.10</t>
  </si>
  <si>
    <t>1113.01.11</t>
  </si>
  <si>
    <t>1113.02.00</t>
  </si>
  <si>
    <t>1113.02.01</t>
  </si>
  <si>
    <t>1113.02.02</t>
  </si>
  <si>
    <t>1113.03.00</t>
  </si>
  <si>
    <t>1113.03.01</t>
  </si>
  <si>
    <t>1113.03.02</t>
  </si>
  <si>
    <t>1113.03.09</t>
  </si>
  <si>
    <t>1113.03.10</t>
  </si>
  <si>
    <t>1113.05.00</t>
  </si>
  <si>
    <t>1113.05.01</t>
  </si>
  <si>
    <t>1113.05.02</t>
  </si>
  <si>
    <t>1115.00.00</t>
  </si>
  <si>
    <t>1120.00.00</t>
  </si>
  <si>
    <t>1121.00.00</t>
  </si>
  <si>
    <t>1121.01.00</t>
  </si>
  <si>
    <t>1121.02.00</t>
  </si>
  <si>
    <t>1121.02.01</t>
  </si>
  <si>
    <t>1121.02.02</t>
  </si>
  <si>
    <t>1121.03.00</t>
  </si>
  <si>
    <t>1121.04.00</t>
  </si>
  <si>
    <t>1121.04.01</t>
  </si>
  <si>
    <t>1121.04.02</t>
  </si>
  <si>
    <t>1121.05.00</t>
  </si>
  <si>
    <t>1121.10.00</t>
  </si>
  <si>
    <t>1121.11.00</t>
  </si>
  <si>
    <t>1121.13.00</t>
  </si>
  <si>
    <t>1121.14.00</t>
  </si>
  <si>
    <t>1121.15.00</t>
  </si>
  <si>
    <t>1121.16.00</t>
  </si>
  <si>
    <t>1121.17.00</t>
  </si>
  <si>
    <t>1121.20.00</t>
  </si>
  <si>
    <t>1121.20.01</t>
  </si>
  <si>
    <t>1121.20.02</t>
  </si>
  <si>
    <t>1121.20.03</t>
  </si>
  <si>
    <t>1121.20.04</t>
  </si>
  <si>
    <t>1121.20.05</t>
  </si>
  <si>
    <t>1121.20.06</t>
  </si>
  <si>
    <t>1121.20.99</t>
  </si>
  <si>
    <t>1121.21.00</t>
  </si>
  <si>
    <t>1121.22.00</t>
  </si>
  <si>
    <t>1121.23.00</t>
  </si>
  <si>
    <t>1121.24.00</t>
  </si>
  <si>
    <t>1121.25.00</t>
  </si>
  <si>
    <t>1121.26.00</t>
  </si>
  <si>
    <t>1121.27.00</t>
  </si>
  <si>
    <t>1121.28.00</t>
  </si>
  <si>
    <t>1121.29.00</t>
  </si>
  <si>
    <t>1121.30.00</t>
  </si>
  <si>
    <t>1121.31.00</t>
  </si>
  <si>
    <t>1121.32.00</t>
  </si>
  <si>
    <t>1121.34.00</t>
  </si>
  <si>
    <t>1121.35.00</t>
  </si>
  <si>
    <t>1121.36.00</t>
  </si>
  <si>
    <t>1121.37.00</t>
  </si>
  <si>
    <t>1121.38.00</t>
  </si>
  <si>
    <t>1121.39.00</t>
  </si>
  <si>
    <t>1121.40.00</t>
  </si>
  <si>
    <t>1121.99.00</t>
  </si>
  <si>
    <t>1122.00.00</t>
  </si>
  <si>
    <t>1122.01.00</t>
  </si>
  <si>
    <t>1122.02.00</t>
  </si>
  <si>
    <t>1122.03.00</t>
  </si>
  <si>
    <t>1122.04.00</t>
  </si>
  <si>
    <t>1122.06.00</t>
  </si>
  <si>
    <t>1122.07.00</t>
  </si>
  <si>
    <t>1122.08.00</t>
  </si>
  <si>
    <t>1122.11.00</t>
  </si>
  <si>
    <t>1122.12.00</t>
  </si>
  <si>
    <t>1122.12.01</t>
  </si>
  <si>
    <t>1122.12.02</t>
  </si>
  <si>
    <t>1122.15.00</t>
  </si>
  <si>
    <t>1122.19.00</t>
  </si>
  <si>
    <t>1122.21.00</t>
  </si>
  <si>
    <t>1122.22.00</t>
  </si>
  <si>
    <t>1122.28.00</t>
  </si>
  <si>
    <t>1122.29.00</t>
  </si>
  <si>
    <t>1122.90.00</t>
  </si>
  <si>
    <t>1122.99.00</t>
  </si>
  <si>
    <t>1130.00.00</t>
  </si>
  <si>
    <t>1130.01.00</t>
  </si>
  <si>
    <t>1130.02.00</t>
  </si>
  <si>
    <t>1130.03.00</t>
  </si>
  <si>
    <t>1130.04.00</t>
  </si>
  <si>
    <t>1130.99.00</t>
  </si>
  <si>
    <t>1131.02.05</t>
  </si>
  <si>
    <t>1210.01.00</t>
  </si>
  <si>
    <t>1210.01.01</t>
  </si>
  <si>
    <t>1210.01.02</t>
  </si>
  <si>
    <t>1210.02.00</t>
  </si>
  <si>
    <t>1210.04.00</t>
  </si>
  <si>
    <t>1210.05.00</t>
  </si>
  <si>
    <t>1210.06.00</t>
  </si>
  <si>
    <t>1210.07.00</t>
  </si>
  <si>
    <t>1210.09.00</t>
  </si>
  <si>
    <t>1210.13.00</t>
  </si>
  <si>
    <t>1210.13.01</t>
  </si>
  <si>
    <t>1210.13.02</t>
  </si>
  <si>
    <t>1210.15.00</t>
  </si>
  <si>
    <t>1210.17.00</t>
  </si>
  <si>
    <t>1210.18.00</t>
  </si>
  <si>
    <t>1210.18.01</t>
  </si>
  <si>
    <t>1210.18.02</t>
  </si>
  <si>
    <t>1210.18.03</t>
  </si>
  <si>
    <t>1210.18.04</t>
  </si>
  <si>
    <t>1210.18.05</t>
  </si>
  <si>
    <t>1210.18.06</t>
  </si>
  <si>
    <t>1210.18.07</t>
  </si>
  <si>
    <t>1210.18.08</t>
  </si>
  <si>
    <t>1210.18.09</t>
  </si>
  <si>
    <t>1210.29.00</t>
  </si>
  <si>
    <t>1210.29.01</t>
  </si>
  <si>
    <t>1210.29.02</t>
  </si>
  <si>
    <t>1210.29.03</t>
  </si>
  <si>
    <t>1210.29.04</t>
  </si>
  <si>
    <t>1210.29.05</t>
  </si>
  <si>
    <t>1210.29.06</t>
  </si>
  <si>
    <t>1210.29.07</t>
  </si>
  <si>
    <t>1210.29.08</t>
  </si>
  <si>
    <t>1210.29.09</t>
  </si>
  <si>
    <t>1210.29.10</t>
  </si>
  <si>
    <t>1210.29.11</t>
  </si>
  <si>
    <t>1210.29.12</t>
  </si>
  <si>
    <t>1210.29.13</t>
  </si>
  <si>
    <t>1210.29.15</t>
  </si>
  <si>
    <t>1210.29.16</t>
  </si>
  <si>
    <t>1210.29.17</t>
  </si>
  <si>
    <t>1210.29.18</t>
  </si>
  <si>
    <t>1210.29.19</t>
  </si>
  <si>
    <t>1210.30.00</t>
  </si>
  <si>
    <t>1210.30.01</t>
  </si>
  <si>
    <t>1210.30.02</t>
  </si>
  <si>
    <t>1210.30.03</t>
  </si>
  <si>
    <t>1210.30.04</t>
  </si>
  <si>
    <t>1210.30.05</t>
  </si>
  <si>
    <t>1210.30.06</t>
  </si>
  <si>
    <t>1210.30.07</t>
  </si>
  <si>
    <t>1210.30.08</t>
  </si>
  <si>
    <t>1210.30.09</t>
  </si>
  <si>
    <t>1210.30.10</t>
  </si>
  <si>
    <t>1210.30.11</t>
  </si>
  <si>
    <t>1210.30.12</t>
  </si>
  <si>
    <t>1210.30.13</t>
  </si>
  <si>
    <t>1210.30.14</t>
  </si>
  <si>
    <t>1210.30.15</t>
  </si>
  <si>
    <t>1210.30.16</t>
  </si>
  <si>
    <t>1210.30.17</t>
  </si>
  <si>
    <t>1210.30.18</t>
  </si>
  <si>
    <t>1210.30.19</t>
  </si>
  <si>
    <t>1210.30.20</t>
  </si>
  <si>
    <t>1210.30.21</t>
  </si>
  <si>
    <t>1210.30.22</t>
  </si>
  <si>
    <t>1210.30.23</t>
  </si>
  <si>
    <t>1210.30.24</t>
  </si>
  <si>
    <t>1210.30.99</t>
  </si>
  <si>
    <t>1210.31.00</t>
  </si>
  <si>
    <t>1210.31.01</t>
  </si>
  <si>
    <t>1210.31.02</t>
  </si>
  <si>
    <t>1210.32.00</t>
  </si>
  <si>
    <t>1210.32.01</t>
  </si>
  <si>
    <t>1210.32.03</t>
  </si>
  <si>
    <t>1210.33.00</t>
  </si>
  <si>
    <t>1210.33.01</t>
  </si>
  <si>
    <t>1210.33.02</t>
  </si>
  <si>
    <t>1210.34.00</t>
  </si>
  <si>
    <t>1210.34.01</t>
  </si>
  <si>
    <t>1210.34.02</t>
  </si>
  <si>
    <t>1210.35.00</t>
  </si>
  <si>
    <t>1210.35.01</t>
  </si>
  <si>
    <t>1210.35.02</t>
  </si>
  <si>
    <t>1210.36.00</t>
  </si>
  <si>
    <t>1210.36.01</t>
  </si>
  <si>
    <t>1210.36.02</t>
  </si>
  <si>
    <t>1210.37.00</t>
  </si>
  <si>
    <t>1210.37.01</t>
  </si>
  <si>
    <t>1210.37.02</t>
  </si>
  <si>
    <t>1210.38.00</t>
  </si>
  <si>
    <t>1210.38.01</t>
  </si>
  <si>
    <t>1210.38.02</t>
  </si>
  <si>
    <t>1210.39.00</t>
  </si>
  <si>
    <t>1210.41.00</t>
  </si>
  <si>
    <t>1210.42.00</t>
  </si>
  <si>
    <t>1210.43.00</t>
  </si>
  <si>
    <t>1210.44.00</t>
  </si>
  <si>
    <t>1210.45.00</t>
  </si>
  <si>
    <t>1210.47.00</t>
  </si>
  <si>
    <t>1210.48.00</t>
  </si>
  <si>
    <t>1210.99.00</t>
  </si>
  <si>
    <t>1220.00.00</t>
  </si>
  <si>
    <t>1220.01.00</t>
  </si>
  <si>
    <t>1220.02.00</t>
  </si>
  <si>
    <t>1220.03.00</t>
  </si>
  <si>
    <t>1220.03.01</t>
  </si>
  <si>
    <t>1220.03.02</t>
  </si>
  <si>
    <t>1220.03.99</t>
  </si>
  <si>
    <t>1220.05.00</t>
  </si>
  <si>
    <t>1220.06.00</t>
  </si>
  <si>
    <t>1220.06.01</t>
  </si>
  <si>
    <t>1220.06.02</t>
  </si>
  <si>
    <t>1220.06.03</t>
  </si>
  <si>
    <t>1220.16.00</t>
  </si>
  <si>
    <t>1220.18.00</t>
  </si>
  <si>
    <t>1220.24.00</t>
  </si>
  <si>
    <t>1220.25.00</t>
  </si>
  <si>
    <t>1220.26.00</t>
  </si>
  <si>
    <t>1220.26.01</t>
  </si>
  <si>
    <t>1220.26.02</t>
  </si>
  <si>
    <t>1220.28.00</t>
  </si>
  <si>
    <t>1220.28.01</t>
  </si>
  <si>
    <t>1220.28.02</t>
  </si>
  <si>
    <t>1220.28.03</t>
  </si>
  <si>
    <t>1220.30.00</t>
  </si>
  <si>
    <t>1220.40.00</t>
  </si>
  <si>
    <t>1220.41.00</t>
  </si>
  <si>
    <t>1220.41.01</t>
  </si>
  <si>
    <t>1220.41.02</t>
  </si>
  <si>
    <t>1220.41.03</t>
  </si>
  <si>
    <t>1220.41.04</t>
  </si>
  <si>
    <t>1220.42.00</t>
  </si>
  <si>
    <t>1220.42.01</t>
  </si>
  <si>
    <t>1220.42.02</t>
  </si>
  <si>
    <t>1220.42.03</t>
  </si>
  <si>
    <t>1220.42.04</t>
  </si>
  <si>
    <t>1220.99.00</t>
  </si>
  <si>
    <t>1220.99.01</t>
  </si>
  <si>
    <t>1220.99.02</t>
  </si>
  <si>
    <t>1230.00.00</t>
  </si>
  <si>
    <t>1300.00.00</t>
  </si>
  <si>
    <t>1310.00.00</t>
  </si>
  <si>
    <t>1311.00.00</t>
  </si>
  <si>
    <t>1312.00.00</t>
  </si>
  <si>
    <t>1313.00.00</t>
  </si>
  <si>
    <t>1314.00.00</t>
  </si>
  <si>
    <t>1315.00.00</t>
  </si>
  <si>
    <t>1315.10.00</t>
  </si>
  <si>
    <t>1315.20.00</t>
  </si>
  <si>
    <t>1315.30.00</t>
  </si>
  <si>
    <t>1319.00.00</t>
  </si>
  <si>
    <t>1320.00.00</t>
  </si>
  <si>
    <t>1321.00.00</t>
  </si>
  <si>
    <t>1322.00.00</t>
  </si>
  <si>
    <t>1322.00.01</t>
  </si>
  <si>
    <t>1322.00.02</t>
  </si>
  <si>
    <t>1322.00.03</t>
  </si>
  <si>
    <t>1325.00.00</t>
  </si>
  <si>
    <t>1326.00.00</t>
  </si>
  <si>
    <t>1327.00.00</t>
  </si>
  <si>
    <t>1328.00.00</t>
  </si>
  <si>
    <t>1328.10.00</t>
  </si>
  <si>
    <t>1328.20.00</t>
  </si>
  <si>
    <t>1328.30.00</t>
  </si>
  <si>
    <t>1329.00.00</t>
  </si>
  <si>
    <t>1330.00.00</t>
  </si>
  <si>
    <t>1331.00.00</t>
  </si>
  <si>
    <t>1331.01.00</t>
  </si>
  <si>
    <t>1331.01.01</t>
  </si>
  <si>
    <t>1331.01.02</t>
  </si>
  <si>
    <t>1331.01.03</t>
  </si>
  <si>
    <t>1331.01.04</t>
  </si>
  <si>
    <t>1331.01.05</t>
  </si>
  <si>
    <t>1331.01.06</t>
  </si>
  <si>
    <t>1331.01.07</t>
  </si>
  <si>
    <t>1331.01.99</t>
  </si>
  <si>
    <t>1331.02.00</t>
  </si>
  <si>
    <t>1331.02.01</t>
  </si>
  <si>
    <t>1331.02.02</t>
  </si>
  <si>
    <t>1331.02.03</t>
  </si>
  <si>
    <t>1331.02.04</t>
  </si>
  <si>
    <t>1331.02.05</t>
  </si>
  <si>
    <t>1331.02.06</t>
  </si>
  <si>
    <t>1331.02.07</t>
  </si>
  <si>
    <t>1331.02.99</t>
  </si>
  <si>
    <t>1331.03.00</t>
  </si>
  <si>
    <t>1331.99.00</t>
  </si>
  <si>
    <t>1332.00.00</t>
  </si>
  <si>
    <t>1332.01.00</t>
  </si>
  <si>
    <t>1332.01.01</t>
  </si>
  <si>
    <t>1332.01.02</t>
  </si>
  <si>
    <t>1332.01.03</t>
  </si>
  <si>
    <t>1332.02.00</t>
  </si>
  <si>
    <t>1332.03.00</t>
  </si>
  <si>
    <t>1332.04.00</t>
  </si>
  <si>
    <t>1332.04.01</t>
  </si>
  <si>
    <t>1332.04.02</t>
  </si>
  <si>
    <t>1332.04.03</t>
  </si>
  <si>
    <t>1332.04.04</t>
  </si>
  <si>
    <t>1332.04.05</t>
  </si>
  <si>
    <t>1332.04.06</t>
  </si>
  <si>
    <t>1332.99.00</t>
  </si>
  <si>
    <t>1333.00.00</t>
  </si>
  <si>
    <t>1333.01.00</t>
  </si>
  <si>
    <t>1333.02.00</t>
  </si>
  <si>
    <t>1333.03.00</t>
  </si>
  <si>
    <t>1333.04.00</t>
  </si>
  <si>
    <t>1333.05.00</t>
  </si>
  <si>
    <t>1333.06.00</t>
  </si>
  <si>
    <t>1333.07.00</t>
  </si>
  <si>
    <t>1333.99.00</t>
  </si>
  <si>
    <t>1339.00.00</t>
  </si>
  <si>
    <t>1340.00.00</t>
  </si>
  <si>
    <t>1340.01.00</t>
  </si>
  <si>
    <t>1340.02.00</t>
  </si>
  <si>
    <t>1340.03.00</t>
  </si>
  <si>
    <t>1340.09.00</t>
  </si>
  <si>
    <t>1340.11.00</t>
  </si>
  <si>
    <t>1341.00.00</t>
  </si>
  <si>
    <t>1341.10.00</t>
  </si>
  <si>
    <t>1341.11.00</t>
  </si>
  <si>
    <t>1341.11.10</t>
  </si>
  <si>
    <t>1341.11.11</t>
  </si>
  <si>
    <t>1341.11.20</t>
  </si>
  <si>
    <t>1341.11.21</t>
  </si>
  <si>
    <t>1341.11.30</t>
  </si>
  <si>
    <t>1341.12.00</t>
  </si>
  <si>
    <t>1341.12.10</t>
  </si>
  <si>
    <t>1341.12.11</t>
  </si>
  <si>
    <t>1341.12.12</t>
  </si>
  <si>
    <t>1341.12.20</t>
  </si>
  <si>
    <t>1341.12.21</t>
  </si>
  <si>
    <t>1341.12.22</t>
  </si>
  <si>
    <t>1341.12.30</t>
  </si>
  <si>
    <t>1341.20.00</t>
  </si>
  <si>
    <t>1341.22.00</t>
  </si>
  <si>
    <t>1341.22.10</t>
  </si>
  <si>
    <t>1341.22.11</t>
  </si>
  <si>
    <t>1341.22.12</t>
  </si>
  <si>
    <t>1341.22.20</t>
  </si>
  <si>
    <t>1341.22.21</t>
  </si>
  <si>
    <t>1341.22.22</t>
  </si>
  <si>
    <t>1341.22.30</t>
  </si>
  <si>
    <t>1342.00.00</t>
  </si>
  <si>
    <t>1342.00.10</t>
  </si>
  <si>
    <t>1342.00.11</t>
  </si>
  <si>
    <t>1342.00.12</t>
  </si>
  <si>
    <t>1344.00.00</t>
  </si>
  <si>
    <t>1344.11.00</t>
  </si>
  <si>
    <t>1344.12.00</t>
  </si>
  <si>
    <t>1344.12.11</t>
  </si>
  <si>
    <t>1344.12.12</t>
  </si>
  <si>
    <t>1344.12.20</t>
  </si>
  <si>
    <t>1344.21.00</t>
  </si>
  <si>
    <t>1344.22.00</t>
  </si>
  <si>
    <t>1344.22.11</t>
  </si>
  <si>
    <t>1344.22.12</t>
  </si>
  <si>
    <t>1344.22.20</t>
  </si>
  <si>
    <t>1344.31.00</t>
  </si>
  <si>
    <t>1344.32.00</t>
  </si>
  <si>
    <t>1344.32.11</t>
  </si>
  <si>
    <t>1344.32.12</t>
  </si>
  <si>
    <t>1344.32.20</t>
  </si>
  <si>
    <t>1350.00.00</t>
  </si>
  <si>
    <t>1351.00.00</t>
  </si>
  <si>
    <t>1351.01.00</t>
  </si>
  <si>
    <t>1351.02.00</t>
  </si>
  <si>
    <t>1351.03.00</t>
  </si>
  <si>
    <t>1351.04.00</t>
  </si>
  <si>
    <t>1352.00.00</t>
  </si>
  <si>
    <t>1360.00.00</t>
  </si>
  <si>
    <t>1361.00.00</t>
  </si>
  <si>
    <t>1361.01.00</t>
  </si>
  <si>
    <t>1361.02.00</t>
  </si>
  <si>
    <t>1361.03.00</t>
  </si>
  <si>
    <t>1390.00.00</t>
  </si>
  <si>
    <t>1400.00.00</t>
  </si>
  <si>
    <t>1410.00.00</t>
  </si>
  <si>
    <t>1420.00.00</t>
  </si>
  <si>
    <t>1490.00.00</t>
  </si>
  <si>
    <t>1500.00.00</t>
  </si>
  <si>
    <t>1510.00.00</t>
  </si>
  <si>
    <t>1520.00.00</t>
  </si>
  <si>
    <t>1520.12.00</t>
  </si>
  <si>
    <t>1520.20.00</t>
  </si>
  <si>
    <t>1520.21.00</t>
  </si>
  <si>
    <t>1520.21.01</t>
  </si>
  <si>
    <t>1520.21.02</t>
  </si>
  <si>
    <t>1520.22.00</t>
  </si>
  <si>
    <t>1520.26.00</t>
  </si>
  <si>
    <t>1520.27.00</t>
  </si>
  <si>
    <t>1520.28.00</t>
  </si>
  <si>
    <t>1520.29.00</t>
  </si>
  <si>
    <t>1520.30.00</t>
  </si>
  <si>
    <t>1520.99.00</t>
  </si>
  <si>
    <t>1530.00.00</t>
  </si>
  <si>
    <t>1590.00.00</t>
  </si>
  <si>
    <t>1600.00.00</t>
  </si>
  <si>
    <t>1600.01.00</t>
  </si>
  <si>
    <t>1600.01.01</t>
  </si>
  <si>
    <t>1600.01.02</t>
  </si>
  <si>
    <t>1600.01.03</t>
  </si>
  <si>
    <t>1600.01.06</t>
  </si>
  <si>
    <t>1600.01.08</t>
  </si>
  <si>
    <t>1600.01.09</t>
  </si>
  <si>
    <t>1600.01.10</t>
  </si>
  <si>
    <t>1600.01.99</t>
  </si>
  <si>
    <t>1600.02.00</t>
  </si>
  <si>
    <t>1600.02.01</t>
  </si>
  <si>
    <t>1600.02.03</t>
  </si>
  <si>
    <t>1600.02.05</t>
  </si>
  <si>
    <t>1600.02.06</t>
  </si>
  <si>
    <t>1600.02.11</t>
  </si>
  <si>
    <t>1600.02.12</t>
  </si>
  <si>
    <t>1600.02.99</t>
  </si>
  <si>
    <t>1600.03.00</t>
  </si>
  <si>
    <t>1600.03.01</t>
  </si>
  <si>
    <t>1600.03.02</t>
  </si>
  <si>
    <t>1600.03.03</t>
  </si>
  <si>
    <t>1600.03.04</t>
  </si>
  <si>
    <t>1600.03.05</t>
  </si>
  <si>
    <t>1600.03.06</t>
  </si>
  <si>
    <t>1600.03.99</t>
  </si>
  <si>
    <t>1600.04.00</t>
  </si>
  <si>
    <t>1600.04.01</t>
  </si>
  <si>
    <t>1600.04.02</t>
  </si>
  <si>
    <t>1600.04.03</t>
  </si>
  <si>
    <t>1600.05.00</t>
  </si>
  <si>
    <t>1600.05.01</t>
  </si>
  <si>
    <t>1600.05.02</t>
  </si>
  <si>
    <t>1600.05.03</t>
  </si>
  <si>
    <t>1600.05.05</t>
  </si>
  <si>
    <t>1600.05.10</t>
  </si>
  <si>
    <t>1600.05.99</t>
  </si>
  <si>
    <t>1600.06.00</t>
  </si>
  <si>
    <t>1600.07.00</t>
  </si>
  <si>
    <t>1600.08.00</t>
  </si>
  <si>
    <t>1600.09.00</t>
  </si>
  <si>
    <t>1600.10.00</t>
  </si>
  <si>
    <t>1600.11.00</t>
  </si>
  <si>
    <t>1600.11.01</t>
  </si>
  <si>
    <t>1600.11.02</t>
  </si>
  <si>
    <t>1600.11.03</t>
  </si>
  <si>
    <t>1600.11.04</t>
  </si>
  <si>
    <t>1600.11.05</t>
  </si>
  <si>
    <t>1600.11.99</t>
  </si>
  <si>
    <t>1600.12.00</t>
  </si>
  <si>
    <t>1600.13.00</t>
  </si>
  <si>
    <t>1600.13.01</t>
  </si>
  <si>
    <t>1600.13.02</t>
  </si>
  <si>
    <t>1600.13.03</t>
  </si>
  <si>
    <t>1600.13.04</t>
  </si>
  <si>
    <t>1600.13.05</t>
  </si>
  <si>
    <t>1600.13.06</t>
  </si>
  <si>
    <t>1600.13.07</t>
  </si>
  <si>
    <t>1600.13.99</t>
  </si>
  <si>
    <t>1600.14.00</t>
  </si>
  <si>
    <t>1600.15.00</t>
  </si>
  <si>
    <t>1600.16.00</t>
  </si>
  <si>
    <t>1600.17.00</t>
  </si>
  <si>
    <t>1600.18.00</t>
  </si>
  <si>
    <t>1600.19.00</t>
  </si>
  <si>
    <t>1600.20.00</t>
  </si>
  <si>
    <t>1600.20.01</t>
  </si>
  <si>
    <t>1600.20.02</t>
  </si>
  <si>
    <t>1600.21.00</t>
  </si>
  <si>
    <t>1600.22.00</t>
  </si>
  <si>
    <t>1600.23.00</t>
  </si>
  <si>
    <t>1600.23.01</t>
  </si>
  <si>
    <t>1600.23.02</t>
  </si>
  <si>
    <t>1600.23.03</t>
  </si>
  <si>
    <t>1600.23.04</t>
  </si>
  <si>
    <t>1600.23.05</t>
  </si>
  <si>
    <t>1600.23.06</t>
  </si>
  <si>
    <t>1600.23.07</t>
  </si>
  <si>
    <t>1600.23.08</t>
  </si>
  <si>
    <t>1600.23.99</t>
  </si>
  <si>
    <t>1600.24.00</t>
  </si>
  <si>
    <t>1600.25.00</t>
  </si>
  <si>
    <t>1600.26.00</t>
  </si>
  <si>
    <t>1600.27.00</t>
  </si>
  <si>
    <t>1600.28.00</t>
  </si>
  <si>
    <t>1600.29.00</t>
  </si>
  <si>
    <t>1600.30.00</t>
  </si>
  <si>
    <t>1600.31.00</t>
  </si>
  <si>
    <t>1600.31.01</t>
  </si>
  <si>
    <t>1600.31.02</t>
  </si>
  <si>
    <t>1600.31.03</t>
  </si>
  <si>
    <t>1600.32.00</t>
  </si>
  <si>
    <t>1600.33.00</t>
  </si>
  <si>
    <t>1600.33.01</t>
  </si>
  <si>
    <t>1600.33.02</t>
  </si>
  <si>
    <t>1600.34.00</t>
  </si>
  <si>
    <t>1600.35.00</t>
  </si>
  <si>
    <t>1600.36.00</t>
  </si>
  <si>
    <t>1600.36.01</t>
  </si>
  <si>
    <t>1600.36.02</t>
  </si>
  <si>
    <t>1600.37.00</t>
  </si>
  <si>
    <t>1600.37.01</t>
  </si>
  <si>
    <t>1600.37.02</t>
  </si>
  <si>
    <t>1600.37.03</t>
  </si>
  <si>
    <t>1600.37.04</t>
  </si>
  <si>
    <t>1600.37.05</t>
  </si>
  <si>
    <t>1600.38.00</t>
  </si>
  <si>
    <t>1600.39.00</t>
  </si>
  <si>
    <t>1600.40.00</t>
  </si>
  <si>
    <t>1600.41.00</t>
  </si>
  <si>
    <t>1600.42.00</t>
  </si>
  <si>
    <t>1600.43.00</t>
  </si>
  <si>
    <t>1600.44.00</t>
  </si>
  <si>
    <t>1600.45.00</t>
  </si>
  <si>
    <t>1600.46.00</t>
  </si>
  <si>
    <t>1600.47.00</t>
  </si>
  <si>
    <t>1600.48.00</t>
  </si>
  <si>
    <t>1600.50.00</t>
  </si>
  <si>
    <t>1600.51.00</t>
  </si>
  <si>
    <t>1600.51.01</t>
  </si>
  <si>
    <t>1600.51.02</t>
  </si>
  <si>
    <t>1600.56.00</t>
  </si>
  <si>
    <t>1600.60.00</t>
  </si>
  <si>
    <t>1600.60.01</t>
  </si>
  <si>
    <t>1600.60.02</t>
  </si>
  <si>
    <t>1600.70.00</t>
  </si>
  <si>
    <t>1600.70.01</t>
  </si>
  <si>
    <t>1600.70.02</t>
  </si>
  <si>
    <t>1600.99.00</t>
  </si>
  <si>
    <t>1700.00.00</t>
  </si>
  <si>
    <t>1720.00.00</t>
  </si>
  <si>
    <t>1721.00.00</t>
  </si>
  <si>
    <t>1721.01.00</t>
  </si>
  <si>
    <t>1721.01.01</t>
  </si>
  <si>
    <t>1721.01.02</t>
  </si>
  <si>
    <t>1721.01.05</t>
  </si>
  <si>
    <t>1721.01.12</t>
  </si>
  <si>
    <t>1721.01.13</t>
  </si>
  <si>
    <t>1721.01.32</t>
  </si>
  <si>
    <t>1721.22.00</t>
  </si>
  <si>
    <t>1721.22.11</t>
  </si>
  <si>
    <t>1721.22.20</t>
  </si>
  <si>
    <t>1721.22.30</t>
  </si>
  <si>
    <t>1721.22.40</t>
  </si>
  <si>
    <t>1721.22.50</t>
  </si>
  <si>
    <t>1721.22.70</t>
  </si>
  <si>
    <t>1721.22.90</t>
  </si>
  <si>
    <t>1721.33.00</t>
  </si>
  <si>
    <t>1721.34.00</t>
  </si>
  <si>
    <t>1721.35.00</t>
  </si>
  <si>
    <t>1721.35.01</t>
  </si>
  <si>
    <t>1721.35.02</t>
  </si>
  <si>
    <t>1721.35.03</t>
  </si>
  <si>
    <t>1721.35.04</t>
  </si>
  <si>
    <t>1721.35.99</t>
  </si>
  <si>
    <t>1721.36.00</t>
  </si>
  <si>
    <t>1721.37.00</t>
  </si>
  <si>
    <t>1721.99.00</t>
  </si>
  <si>
    <t>1722.00.00</t>
  </si>
  <si>
    <t>1722.01.00</t>
  </si>
  <si>
    <t>1722.01.01</t>
  </si>
  <si>
    <t>1722.01.02</t>
  </si>
  <si>
    <t>1722.01.04</t>
  </si>
  <si>
    <t>1722.01.13</t>
  </si>
  <si>
    <t>1722.01.99</t>
  </si>
  <si>
    <t>1722.22.00</t>
  </si>
  <si>
    <t>1722.22.11</t>
  </si>
  <si>
    <t>1722.22.20</t>
  </si>
  <si>
    <t>1722.22.30</t>
  </si>
  <si>
    <t>1722.22.90</t>
  </si>
  <si>
    <t>1722.33.00</t>
  </si>
  <si>
    <t>1722.37.00</t>
  </si>
  <si>
    <t>1722.99.00</t>
  </si>
  <si>
    <t>1723.00.00</t>
  </si>
  <si>
    <t>1723.01.00</t>
  </si>
  <si>
    <t>1723.37.00</t>
  </si>
  <si>
    <t>1723.99.00</t>
  </si>
  <si>
    <t>1724.00.00</t>
  </si>
  <si>
    <t>1724.01.00</t>
  </si>
  <si>
    <t>1724.02.00</t>
  </si>
  <si>
    <t>1724.99.00</t>
  </si>
  <si>
    <t>1730.00.00</t>
  </si>
  <si>
    <t>1740.00.00</t>
  </si>
  <si>
    <t>1750.00.00</t>
  </si>
  <si>
    <t>1760.00.00</t>
  </si>
  <si>
    <t>1761.00.00</t>
  </si>
  <si>
    <t>1761.01.00</t>
  </si>
  <si>
    <t>1761.02.00</t>
  </si>
  <si>
    <t>1761.03.00</t>
  </si>
  <si>
    <t>1761.04.00</t>
  </si>
  <si>
    <t>1761.05.00</t>
  </si>
  <si>
    <t>1761.99.00</t>
  </si>
  <si>
    <t>1762.00.00</t>
  </si>
  <si>
    <t>1762.01.00</t>
  </si>
  <si>
    <t>1762.02.00</t>
  </si>
  <si>
    <t>1762.99.00</t>
  </si>
  <si>
    <t>1763.00.00</t>
  </si>
  <si>
    <t>1763.01.00</t>
  </si>
  <si>
    <t>1763.02.00</t>
  </si>
  <si>
    <t>1763.99.00</t>
  </si>
  <si>
    <t>1764.00.00</t>
  </si>
  <si>
    <t>1765.00.00</t>
  </si>
  <si>
    <t>1770.00.00</t>
  </si>
  <si>
    <t>1771.00.00</t>
  </si>
  <si>
    <t>1772.00.00</t>
  </si>
  <si>
    <t>1773.00.00</t>
  </si>
  <si>
    <t>1774.00.00</t>
  </si>
  <si>
    <t>1900.00.00</t>
  </si>
  <si>
    <t>1910.00.00</t>
  </si>
  <si>
    <t>1911.00.00</t>
  </si>
  <si>
    <t>1911.01.00</t>
  </si>
  <si>
    <t>1911.01.01</t>
  </si>
  <si>
    <t>1911.01.02</t>
  </si>
  <si>
    <t>1911.02.00</t>
  </si>
  <si>
    <t>1911.02.01</t>
  </si>
  <si>
    <t>1911.02.02</t>
  </si>
  <si>
    <t>1911.02.03</t>
  </si>
  <si>
    <t>1911.02.04</t>
  </si>
  <si>
    <t>1911.02.05</t>
  </si>
  <si>
    <t>1911.02.06</t>
  </si>
  <si>
    <t>1911.02.07</t>
  </si>
  <si>
    <t>1911.03.00</t>
  </si>
  <si>
    <t>1911.03.01</t>
  </si>
  <si>
    <t>1911.03.02</t>
  </si>
  <si>
    <t>1911.03.03</t>
  </si>
  <si>
    <t>1911.04.00</t>
  </si>
  <si>
    <t>1911.04.01</t>
  </si>
  <si>
    <t>1911.04.02</t>
  </si>
  <si>
    <t>1911.07.00</t>
  </si>
  <si>
    <t>1911.07.01</t>
  </si>
  <si>
    <t>1911.07.02</t>
  </si>
  <si>
    <t>1911.08.00</t>
  </si>
  <si>
    <t>1911.08.01</t>
  </si>
  <si>
    <t>1911.08.02</t>
  </si>
  <si>
    <t>1911.20.00</t>
  </si>
  <si>
    <t>1911.31.00</t>
  </si>
  <si>
    <t>1911.31.01</t>
  </si>
  <si>
    <t>1911.31.02</t>
  </si>
  <si>
    <t>1911.32.00</t>
  </si>
  <si>
    <t>1911.33.00</t>
  </si>
  <si>
    <t>1911.34.00</t>
  </si>
  <si>
    <t>1911.35.00</t>
  </si>
  <si>
    <t>1911.36.00</t>
  </si>
  <si>
    <t>1911.37.00</t>
  </si>
  <si>
    <t>1911.38.00</t>
  </si>
  <si>
    <t>1911.39.00</t>
  </si>
  <si>
    <t>1911.40.00</t>
  </si>
  <si>
    <t>1911.41.00</t>
  </si>
  <si>
    <t>1911.42.00</t>
  </si>
  <si>
    <t>1911.98.00</t>
  </si>
  <si>
    <t>1911.99.00</t>
  </si>
  <si>
    <t>1911.99.01</t>
  </si>
  <si>
    <t>1911.99.02</t>
  </si>
  <si>
    <t>1912.00.00</t>
  </si>
  <si>
    <t>1912.01.00</t>
  </si>
  <si>
    <t>1912.01.01</t>
  </si>
  <si>
    <t>1912.01.02</t>
  </si>
  <si>
    <t>1912.02.00</t>
  </si>
  <si>
    <t>1912.03.00</t>
  </si>
  <si>
    <t>1912.03.01</t>
  </si>
  <si>
    <t>1912.03.02</t>
  </si>
  <si>
    <t>1912.07.00</t>
  </si>
  <si>
    <t>1912.07.01</t>
  </si>
  <si>
    <t>1912.07.02</t>
  </si>
  <si>
    <t>1912.10.00</t>
  </si>
  <si>
    <t>1912.10.01</t>
  </si>
  <si>
    <t>1912.10.02</t>
  </si>
  <si>
    <t>1912.29.00</t>
  </si>
  <si>
    <t>1912.29.01</t>
  </si>
  <si>
    <t>1912.29.02</t>
  </si>
  <si>
    <t>1912.30.00</t>
  </si>
  <si>
    <t>1912.30.01</t>
  </si>
  <si>
    <t>1912.30.02</t>
  </si>
  <si>
    <t>1912.30.03</t>
  </si>
  <si>
    <t>1912.30.04</t>
  </si>
  <si>
    <t>1912.30.05</t>
  </si>
  <si>
    <t>1912.30.06</t>
  </si>
  <si>
    <t>1912.30.07</t>
  </si>
  <si>
    <t>1912.30.08</t>
  </si>
  <si>
    <t>1912.30.09</t>
  </si>
  <si>
    <t>1912.30.10</t>
  </si>
  <si>
    <t>1912.30.11</t>
  </si>
  <si>
    <t>1912.30.12</t>
  </si>
  <si>
    <t>1912.30.13</t>
  </si>
  <si>
    <t>1912.30.14</t>
  </si>
  <si>
    <t>1912.30.15</t>
  </si>
  <si>
    <t>1912.30.16</t>
  </si>
  <si>
    <t>1912.30.17</t>
  </si>
  <si>
    <t>1912.30.18</t>
  </si>
  <si>
    <t>1912.30.19</t>
  </si>
  <si>
    <t>1912.30.20</t>
  </si>
  <si>
    <t>1912.30.21</t>
  </si>
  <si>
    <t>1912.30.24</t>
  </si>
  <si>
    <t>1912.30.99</t>
  </si>
  <si>
    <t>1912.31.00</t>
  </si>
  <si>
    <t>1912.31.01</t>
  </si>
  <si>
    <t>1912.31.02</t>
  </si>
  <si>
    <t>1912.32.00</t>
  </si>
  <si>
    <t>1912.32.01</t>
  </si>
  <si>
    <t>1912.32.02</t>
  </si>
  <si>
    <t>1912.33.00</t>
  </si>
  <si>
    <t>1912.33.01</t>
  </si>
  <si>
    <t>1912.33.02</t>
  </si>
  <si>
    <t>1912.33.03</t>
  </si>
  <si>
    <t>1912.33.04</t>
  </si>
  <si>
    <t>1912.33.05</t>
  </si>
  <si>
    <t>1912.33.06</t>
  </si>
  <si>
    <t>1912.33.07</t>
  </si>
  <si>
    <t>1912.34.00</t>
  </si>
  <si>
    <t>1912.35.00</t>
  </si>
  <si>
    <t>1912.36.00</t>
  </si>
  <si>
    <t>1912.51.00</t>
  </si>
  <si>
    <t>1912.52.00</t>
  </si>
  <si>
    <t>1912.53.00</t>
  </si>
  <si>
    <t>1912.54.00</t>
  </si>
  <si>
    <t>1912.55.00</t>
  </si>
  <si>
    <t>1912.55.01</t>
  </si>
  <si>
    <t>1912.55.02</t>
  </si>
  <si>
    <t>1912.55.03</t>
  </si>
  <si>
    <t>1912.55.04</t>
  </si>
  <si>
    <t>1912.55.05</t>
  </si>
  <si>
    <t>1912.55.06</t>
  </si>
  <si>
    <t>1912.55.07</t>
  </si>
  <si>
    <t>1912.55.08</t>
  </si>
  <si>
    <t>1912.55.09</t>
  </si>
  <si>
    <t>1912.55.10</t>
  </si>
  <si>
    <t>1912.55.11</t>
  </si>
  <si>
    <t>1912.55.12</t>
  </si>
  <si>
    <t>1912.55.13</t>
  </si>
  <si>
    <t>1912.55.14</t>
  </si>
  <si>
    <t>1912.56.00</t>
  </si>
  <si>
    <t>1912.99.00</t>
  </si>
  <si>
    <t>1912.99.01</t>
  </si>
  <si>
    <t>1912.99.02</t>
  </si>
  <si>
    <t>1913.00.00</t>
  </si>
  <si>
    <t>1913.01.00</t>
  </si>
  <si>
    <t>1913.01.01</t>
  </si>
  <si>
    <t>1913.01.02</t>
  </si>
  <si>
    <t>1913.02.00</t>
  </si>
  <si>
    <t>1913.02.01</t>
  </si>
  <si>
    <t>1913.02.02</t>
  </si>
  <si>
    <t>1913.02.03</t>
  </si>
  <si>
    <t>1913.02.04</t>
  </si>
  <si>
    <t>1913.02.05</t>
  </si>
  <si>
    <t>1913.02.06</t>
  </si>
  <si>
    <t>1913.02.07</t>
  </si>
  <si>
    <t>1913.02.08</t>
  </si>
  <si>
    <t>1913.03.00</t>
  </si>
  <si>
    <t>1913.03.01</t>
  </si>
  <si>
    <t>1913.03.02</t>
  </si>
  <si>
    <t>1913.03.03</t>
  </si>
  <si>
    <t>1913.03.04</t>
  </si>
  <si>
    <t>1913.04.00</t>
  </si>
  <si>
    <t>1913.04.01</t>
  </si>
  <si>
    <t>1913.04.02</t>
  </si>
  <si>
    <t>1913.07.00</t>
  </si>
  <si>
    <t>1913.07.01</t>
  </si>
  <si>
    <t>1913.07.02</t>
  </si>
  <si>
    <t>1913.08.00</t>
  </si>
  <si>
    <t>1913.08.01</t>
  </si>
  <si>
    <t>1913.08.02</t>
  </si>
  <si>
    <t>1913.09.00</t>
  </si>
  <si>
    <t>1913.09.01</t>
  </si>
  <si>
    <t>1913.09.02</t>
  </si>
  <si>
    <t>1913.10.00</t>
  </si>
  <si>
    <t>1913.11.00</t>
  </si>
  <si>
    <t>1913.12.00</t>
  </si>
  <si>
    <t>1913.13.00</t>
  </si>
  <si>
    <t>1913.14.00</t>
  </si>
  <si>
    <t>1913.15.00</t>
  </si>
  <si>
    <t>1913.16.00</t>
  </si>
  <si>
    <t>1913.20.00</t>
  </si>
  <si>
    <t>1913.35.00</t>
  </si>
  <si>
    <t>1913.98.00</t>
  </si>
  <si>
    <t>1913.99.00</t>
  </si>
  <si>
    <t>1914.00.00</t>
  </si>
  <si>
    <t>1914.01.00</t>
  </si>
  <si>
    <t>1914.01.01</t>
  </si>
  <si>
    <t>1914.01.02</t>
  </si>
  <si>
    <t>1914.02.00</t>
  </si>
  <si>
    <t>1914.03.00</t>
  </si>
  <si>
    <t>1914.03.01</t>
  </si>
  <si>
    <t>1914.03.02</t>
  </si>
  <si>
    <t>1914.04.00</t>
  </si>
  <si>
    <t>1914.04.01</t>
  </si>
  <si>
    <t>1914.04.02</t>
  </si>
  <si>
    <t>1914.04.03</t>
  </si>
  <si>
    <t>1914.04.04</t>
  </si>
  <si>
    <t>1914.04.05</t>
  </si>
  <si>
    <t>1914.04.06</t>
  </si>
  <si>
    <t>1914.04.07</t>
  </si>
  <si>
    <t>1914.04.08</t>
  </si>
  <si>
    <t>1914.04.09</t>
  </si>
  <si>
    <t>1914.04.10</t>
  </si>
  <si>
    <t>1914.04.11</t>
  </si>
  <si>
    <t>1914.04.12</t>
  </si>
  <si>
    <t>1914.04.13</t>
  </si>
  <si>
    <t>1914.04.14</t>
  </si>
  <si>
    <t>1914.04.15</t>
  </si>
  <si>
    <t>1914.04.16</t>
  </si>
  <si>
    <t>1914.04.17</t>
  </si>
  <si>
    <t>1914.04.18</t>
  </si>
  <si>
    <t>1914.04.19</t>
  </si>
  <si>
    <t>1914.04.20</t>
  </si>
  <si>
    <t>1914.04.21</t>
  </si>
  <si>
    <t>1914.04.22</t>
  </si>
  <si>
    <t>1914.04.24</t>
  </si>
  <si>
    <t>1914.04.99</t>
  </si>
  <si>
    <t>1914.05.00</t>
  </si>
  <si>
    <t>1914.05.01</t>
  </si>
  <si>
    <t>1914.05.02</t>
  </si>
  <si>
    <t>1914.06.00</t>
  </si>
  <si>
    <t>1914.06.01</t>
  </si>
  <si>
    <t>1914.06.02</t>
  </si>
  <si>
    <t>1914.07.00</t>
  </si>
  <si>
    <t>1914.07.01</t>
  </si>
  <si>
    <t>1914.07.02</t>
  </si>
  <si>
    <t>1914.07.03</t>
  </si>
  <si>
    <t>1914.07.04</t>
  </si>
  <si>
    <t>1914.07.05</t>
  </si>
  <si>
    <t>1914.07.06</t>
  </si>
  <si>
    <t>1914.08.00</t>
  </si>
  <si>
    <t>1914.09.00</t>
  </si>
  <si>
    <t>1914.10.00</t>
  </si>
  <si>
    <t>1914.11.00</t>
  </si>
  <si>
    <t>1914.11.01</t>
  </si>
  <si>
    <t>1914.11.02</t>
  </si>
  <si>
    <t>1914.12.00</t>
  </si>
  <si>
    <t>1914.12.01</t>
  </si>
  <si>
    <t>1914.12.02</t>
  </si>
  <si>
    <t>1914.12.03</t>
  </si>
  <si>
    <t>1914.12.04</t>
  </si>
  <si>
    <t>1914.12.05</t>
  </si>
  <si>
    <t>1914.12.06</t>
  </si>
  <si>
    <t>1914.12.07</t>
  </si>
  <si>
    <t>1914.12.08</t>
  </si>
  <si>
    <t>1914.12.09</t>
  </si>
  <si>
    <t>1914.12.10</t>
  </si>
  <si>
    <t>1914.12.11</t>
  </si>
  <si>
    <t>1914.12.12</t>
  </si>
  <si>
    <t>1914.12.13</t>
  </si>
  <si>
    <t>1914.12.14</t>
  </si>
  <si>
    <t>1914.13.00</t>
  </si>
  <si>
    <t>1914.13.01</t>
  </si>
  <si>
    <t>1914.13.02</t>
  </si>
  <si>
    <t>1914.99.00</t>
  </si>
  <si>
    <t>1914.99.01</t>
  </si>
  <si>
    <t>1914.99.02</t>
  </si>
  <si>
    <t>1915.00.00</t>
  </si>
  <si>
    <t>1915.01.00</t>
  </si>
  <si>
    <t>1915.02.00</t>
  </si>
  <si>
    <t>1915.03.00</t>
  </si>
  <si>
    <t>1915.04.00</t>
  </si>
  <si>
    <t>1915.05.00</t>
  </si>
  <si>
    <t>1915.06.00</t>
  </si>
  <si>
    <t>1915.07.00</t>
  </si>
  <si>
    <t>1915.08.00</t>
  </si>
  <si>
    <t>1915.09.00</t>
  </si>
  <si>
    <t>1915.10.00</t>
  </si>
  <si>
    <t>1915.11.00</t>
  </si>
  <si>
    <t>1915.11.01</t>
  </si>
  <si>
    <t>1915.11.02</t>
  </si>
  <si>
    <t>1915.11.03</t>
  </si>
  <si>
    <t>1915.11.04</t>
  </si>
  <si>
    <t>1915.11.06</t>
  </si>
  <si>
    <t>1915.11.07</t>
  </si>
  <si>
    <t>1915.12.00</t>
  </si>
  <si>
    <t>1915.13.00</t>
  </si>
  <si>
    <t>1915.14.00</t>
  </si>
  <si>
    <t>1915.15.00</t>
  </si>
  <si>
    <t>1915.16.00</t>
  </si>
  <si>
    <t>1915.17.00</t>
  </si>
  <si>
    <t>1915.18.00</t>
  </si>
  <si>
    <t>1915.19.00</t>
  </si>
  <si>
    <t>1915.20.00</t>
  </si>
  <si>
    <t>1915.20.01</t>
  </si>
  <si>
    <t>1915.20.02</t>
  </si>
  <si>
    <t>1915.99.00</t>
  </si>
  <si>
    <t>1915.99.01</t>
  </si>
  <si>
    <t>1915.99.02</t>
  </si>
  <si>
    <t>1918.00.00</t>
  </si>
  <si>
    <t>1918.01.00</t>
  </si>
  <si>
    <t>1918.02.00</t>
  </si>
  <si>
    <t>1918.03.00</t>
  </si>
  <si>
    <t>1918.04.00</t>
  </si>
  <si>
    <t>1918.04.01</t>
  </si>
  <si>
    <t>1918.04.02</t>
  </si>
  <si>
    <t>1918.05.00</t>
  </si>
  <si>
    <t>1918.06.00</t>
  </si>
  <si>
    <t>1918.07.00</t>
  </si>
  <si>
    <t>1918.08.00</t>
  </si>
  <si>
    <t>1918.09.00</t>
  </si>
  <si>
    <t>1918.10.00</t>
  </si>
  <si>
    <t>1918.11.00</t>
  </si>
  <si>
    <t>1918.12.00</t>
  </si>
  <si>
    <t>1918.13.00</t>
  </si>
  <si>
    <t>1918.14.00</t>
  </si>
  <si>
    <t>1918.15.00</t>
  </si>
  <si>
    <t>1918.16.00</t>
  </si>
  <si>
    <t>1918.17.00</t>
  </si>
  <si>
    <t>1918.17.01</t>
  </si>
  <si>
    <t>1918.17.02</t>
  </si>
  <si>
    <t>1918.18.00</t>
  </si>
  <si>
    <t>1918.18.01</t>
  </si>
  <si>
    <t>1918.18.02</t>
  </si>
  <si>
    <t>1918.19.00</t>
  </si>
  <si>
    <t>1918.20.00</t>
  </si>
  <si>
    <t>1918.21.00</t>
  </si>
  <si>
    <t>1918.23.00</t>
  </si>
  <si>
    <t>1918.24.00</t>
  </si>
  <si>
    <t>1918.24.01</t>
  </si>
  <si>
    <t>1918.24.02</t>
  </si>
  <si>
    <t>1918.24.03</t>
  </si>
  <si>
    <t>1918.24.04</t>
  </si>
  <si>
    <t>1918.24.06</t>
  </si>
  <si>
    <t>1918.24.07</t>
  </si>
  <si>
    <t>1918.25.00</t>
  </si>
  <si>
    <t>1918.26.00</t>
  </si>
  <si>
    <t>1918.27.00</t>
  </si>
  <si>
    <t>1918.99.00</t>
  </si>
  <si>
    <t>1919.00.00</t>
  </si>
  <si>
    <t>1919.01.00</t>
  </si>
  <si>
    <t>1919.02.00</t>
  </si>
  <si>
    <t>1919.03.00</t>
  </si>
  <si>
    <t>1919.04.00</t>
  </si>
  <si>
    <t>1919.05.00</t>
  </si>
  <si>
    <t>1919.06.00</t>
  </si>
  <si>
    <t>1919.07.00</t>
  </si>
  <si>
    <t>1919.08.00</t>
  </si>
  <si>
    <t>1919.09.00</t>
  </si>
  <si>
    <t>1919.10.00</t>
  </si>
  <si>
    <t>1919.12.00</t>
  </si>
  <si>
    <t>1919.13.00</t>
  </si>
  <si>
    <t>1919.14.00</t>
  </si>
  <si>
    <t>1919.15.00</t>
  </si>
  <si>
    <t>1919.16.00</t>
  </si>
  <si>
    <t>1919.17.00</t>
  </si>
  <si>
    <t>1919.18.00</t>
  </si>
  <si>
    <t>1919.20.00</t>
  </si>
  <si>
    <t>1919.26.00</t>
  </si>
  <si>
    <t>1919.26.01</t>
  </si>
  <si>
    <t>1919.26.02</t>
  </si>
  <si>
    <t>1919.27.00</t>
  </si>
  <si>
    <t>1919.28.00</t>
  </si>
  <si>
    <t>1919.29.00</t>
  </si>
  <si>
    <t>1919.30.00</t>
  </si>
  <si>
    <t>1919.31.00</t>
  </si>
  <si>
    <t>1919.32.00</t>
  </si>
  <si>
    <t>1919.32.10</t>
  </si>
  <si>
    <t>1919.32.20</t>
  </si>
  <si>
    <t>1919.33.00</t>
  </si>
  <si>
    <t>1919.34.00</t>
  </si>
  <si>
    <t>1919.35.00</t>
  </si>
  <si>
    <t>1919.35.10</t>
  </si>
  <si>
    <t>1919.35.20</t>
  </si>
  <si>
    <t>1919.36.00</t>
  </si>
  <si>
    <t>1919.37.00</t>
  </si>
  <si>
    <t>1919.38.00</t>
  </si>
  <si>
    <t>1919.41.00</t>
  </si>
  <si>
    <t>1919.48.00</t>
  </si>
  <si>
    <t>1919.49.00</t>
  </si>
  <si>
    <t>1919.50.00</t>
  </si>
  <si>
    <t>1919.51.00</t>
  </si>
  <si>
    <t>1919.51.10</t>
  </si>
  <si>
    <t>1919.51.20</t>
  </si>
  <si>
    <t>1919.51.30</t>
  </si>
  <si>
    <t>1919.51.40</t>
  </si>
  <si>
    <t>1919.51.50</t>
  </si>
  <si>
    <t>1919.52.00</t>
  </si>
  <si>
    <t>1919.53.00</t>
  </si>
  <si>
    <t>1919.60.00</t>
  </si>
  <si>
    <t>1919.70.00</t>
  </si>
  <si>
    <t>1919.70.01</t>
  </si>
  <si>
    <t>1919.70.02</t>
  </si>
  <si>
    <t>1919.99.00</t>
  </si>
  <si>
    <t>1920.00.00</t>
  </si>
  <si>
    <t>1921.00.00</t>
  </si>
  <si>
    <t>1921.05.00</t>
  </si>
  <si>
    <t>1921.06.00</t>
  </si>
  <si>
    <t>1921.07.00</t>
  </si>
  <si>
    <t>1921.99.00</t>
  </si>
  <si>
    <t>1922.00.00</t>
  </si>
  <si>
    <t>1922.01.00</t>
  </si>
  <si>
    <t>1922.01.10</t>
  </si>
  <si>
    <t>1922.01.20</t>
  </si>
  <si>
    <t>1922.02.00</t>
  </si>
  <si>
    <t>1922.02.10</t>
  </si>
  <si>
    <t>1922.02.20</t>
  </si>
  <si>
    <t>1922.02.30</t>
  </si>
  <si>
    <t>1922.02.40</t>
  </si>
  <si>
    <t>1922.02.50</t>
  </si>
  <si>
    <t>1922.02.60</t>
  </si>
  <si>
    <t>1922.02.70</t>
  </si>
  <si>
    <t>1922.02.80</t>
  </si>
  <si>
    <t>1922.02.90</t>
  </si>
  <si>
    <t>1922.02.91</t>
  </si>
  <si>
    <t>1922.02.92</t>
  </si>
  <si>
    <t>1922.02.93</t>
  </si>
  <si>
    <t>1922.03.00</t>
  </si>
  <si>
    <t>1922.04.00</t>
  </si>
  <si>
    <t>1922.05.00</t>
  </si>
  <si>
    <t>1922.06.00</t>
  </si>
  <si>
    <t>1922.07.00</t>
  </si>
  <si>
    <t>1922.08.00</t>
  </si>
  <si>
    <t>1922.09.00</t>
  </si>
  <si>
    <t>1922.10.00</t>
  </si>
  <si>
    <t>1922.10.01</t>
  </si>
  <si>
    <t>1922.10.02</t>
  </si>
  <si>
    <t>1922.11.00</t>
  </si>
  <si>
    <t>1922.20.00</t>
  </si>
  <si>
    <t>1922.21.00</t>
  </si>
  <si>
    <t>1922.22.00</t>
  </si>
  <si>
    <t>1922.23.00</t>
  </si>
  <si>
    <t>1922.30.00</t>
  </si>
  <si>
    <t>1922.99.00</t>
  </si>
  <si>
    <t>1923.01.00</t>
  </si>
  <si>
    <t>1930.00.00</t>
  </si>
  <si>
    <t>1931.00.00</t>
  </si>
  <si>
    <t>1931.01.00</t>
  </si>
  <si>
    <t>1931.01.01</t>
  </si>
  <si>
    <t>1931.01.02</t>
  </si>
  <si>
    <t>1931.01.03</t>
  </si>
  <si>
    <t>1931.01.04</t>
  </si>
  <si>
    <t>1931.01.05</t>
  </si>
  <si>
    <t>1931.01.06</t>
  </si>
  <si>
    <t>1931.01.07</t>
  </si>
  <si>
    <t>1931.02.00</t>
  </si>
  <si>
    <t>1931.02.01</t>
  </si>
  <si>
    <t>1931.02.02</t>
  </si>
  <si>
    <t>1931.02.03</t>
  </si>
  <si>
    <t>1931.03.00</t>
  </si>
  <si>
    <t>1931.03.01</t>
  </si>
  <si>
    <t>1931.03.02</t>
  </si>
  <si>
    <t>1931.04.00</t>
  </si>
  <si>
    <t>1931.04.01</t>
  </si>
  <si>
    <t>1931.04.02</t>
  </si>
  <si>
    <t>1931.05.00</t>
  </si>
  <si>
    <t>1931.05.01</t>
  </si>
  <si>
    <t>1931.05.02</t>
  </si>
  <si>
    <t>1931.06.00</t>
  </si>
  <si>
    <t>1931.06.01</t>
  </si>
  <si>
    <t>1931.06.02</t>
  </si>
  <si>
    <t>1931.07.00</t>
  </si>
  <si>
    <t>1931.08.00</t>
  </si>
  <si>
    <t>1931.08.01</t>
  </si>
  <si>
    <t>1931.08.02</t>
  </si>
  <si>
    <t>1931.09.00</t>
  </si>
  <si>
    <t>1931.11.00</t>
  </si>
  <si>
    <t>1931.12.00</t>
  </si>
  <si>
    <t>1931.13.00</t>
  </si>
  <si>
    <t>1931.14.00</t>
  </si>
  <si>
    <t>1931.15.00</t>
  </si>
  <si>
    <t>1931.20.00</t>
  </si>
  <si>
    <t>1931.35.00</t>
  </si>
  <si>
    <t>1931.36.00</t>
  </si>
  <si>
    <t>1931.98.00</t>
  </si>
  <si>
    <t>1931.99.00</t>
  </si>
  <si>
    <t>1931.99.01</t>
  </si>
  <si>
    <t>1931.99.02</t>
  </si>
  <si>
    <t>1932.00.00</t>
  </si>
  <si>
    <t>1932.01.00</t>
  </si>
  <si>
    <t>1932.01.01</t>
  </si>
  <si>
    <t>1932.01.02</t>
  </si>
  <si>
    <t>1932.01.03</t>
  </si>
  <si>
    <t>1932.01.04</t>
  </si>
  <si>
    <t>1932.01.05</t>
  </si>
  <si>
    <t>1932.01.06</t>
  </si>
  <si>
    <t>1932.01.07</t>
  </si>
  <si>
    <t>1932.01.08</t>
  </si>
  <si>
    <t>1932.01.09</t>
  </si>
  <si>
    <t>1932.01.10</t>
  </si>
  <si>
    <t>1932.01.11</t>
  </si>
  <si>
    <t>1932.01.12</t>
  </si>
  <si>
    <t>1932.01.13</t>
  </si>
  <si>
    <t>1932.01.14</t>
  </si>
  <si>
    <t>1932.01.15</t>
  </si>
  <si>
    <t>1932.01.16</t>
  </si>
  <si>
    <t>1932.01.17</t>
  </si>
  <si>
    <t>1932.01.18</t>
  </si>
  <si>
    <t>1932.01.19</t>
  </si>
  <si>
    <t>1932.01.20</t>
  </si>
  <si>
    <t>1932.01.21</t>
  </si>
  <si>
    <t>1932.01.22</t>
  </si>
  <si>
    <t>1932.01.24</t>
  </si>
  <si>
    <t>1932.01.99</t>
  </si>
  <si>
    <t>1932.02.00</t>
  </si>
  <si>
    <t>1932.02.01</t>
  </si>
  <si>
    <t>1932.02.02</t>
  </si>
  <si>
    <t>1932.03.00</t>
  </si>
  <si>
    <t>1932.04.00</t>
  </si>
  <si>
    <t>1932.04.01</t>
  </si>
  <si>
    <t>1932.04.02</t>
  </si>
  <si>
    <t>1932.05.00</t>
  </si>
  <si>
    <t>1932.05.01</t>
  </si>
  <si>
    <t>1932.05.02</t>
  </si>
  <si>
    <t>1932.06.00</t>
  </si>
  <si>
    <t>1932.06.01</t>
  </si>
  <si>
    <t>1932.06.02</t>
  </si>
  <si>
    <t>1932.07.00</t>
  </si>
  <si>
    <t>1932.07.01</t>
  </si>
  <si>
    <t>1932.07.02</t>
  </si>
  <si>
    <t>1932.07.03</t>
  </si>
  <si>
    <t>1932.07.04</t>
  </si>
  <si>
    <t>1932.07.05</t>
  </si>
  <si>
    <t>1932.07.06</t>
  </si>
  <si>
    <t>1932.08.00</t>
  </si>
  <si>
    <t>1932.09.00</t>
  </si>
  <si>
    <t>1932.10.00</t>
  </si>
  <si>
    <t>1932.11.00</t>
  </si>
  <si>
    <t>1932.12.00</t>
  </si>
  <si>
    <t>1932.13.00</t>
  </si>
  <si>
    <t>1932.14.00</t>
  </si>
  <si>
    <t>1932.15.00</t>
  </si>
  <si>
    <t>1932.16.00</t>
  </si>
  <si>
    <t>1932.16.01</t>
  </si>
  <si>
    <t>1932.16.02</t>
  </si>
  <si>
    <t>1932.16.03</t>
  </si>
  <si>
    <t>1932.16.04</t>
  </si>
  <si>
    <t>1932.17.00</t>
  </si>
  <si>
    <t>1932.18.00</t>
  </si>
  <si>
    <t>1932.19.00</t>
  </si>
  <si>
    <t>1932.20.00</t>
  </si>
  <si>
    <t>1932.20.01</t>
  </si>
  <si>
    <t>1932.20.02</t>
  </si>
  <si>
    <t>1932.21.00</t>
  </si>
  <si>
    <t>1932.21.01</t>
  </si>
  <si>
    <t>1932.21.02</t>
  </si>
  <si>
    <t>1932.21.04</t>
  </si>
  <si>
    <t>1932.21.05</t>
  </si>
  <si>
    <t>1932.22.00</t>
  </si>
  <si>
    <t>1932.23.00</t>
  </si>
  <si>
    <t>1932.24.00</t>
  </si>
  <si>
    <t>1932.25.00</t>
  </si>
  <si>
    <t>1932.26.00</t>
  </si>
  <si>
    <t>1932.27.00</t>
  </si>
  <si>
    <t>1932.27.01</t>
  </si>
  <si>
    <t>1932.27.02</t>
  </si>
  <si>
    <t>1932.27.03</t>
  </si>
  <si>
    <t>1932.27.04</t>
  </si>
  <si>
    <t>1932.27.06</t>
  </si>
  <si>
    <t>1932.27.07</t>
  </si>
  <si>
    <t>1932.28.00</t>
  </si>
  <si>
    <t>1932.29.00</t>
  </si>
  <si>
    <t>1932.30.00</t>
  </si>
  <si>
    <t>1932.31.00</t>
  </si>
  <si>
    <t>1932.32.00</t>
  </si>
  <si>
    <t>1932.33.00</t>
  </si>
  <si>
    <t>1932.34.00</t>
  </si>
  <si>
    <t>1932.35.00</t>
  </si>
  <si>
    <t>1932.36.00</t>
  </si>
  <si>
    <t>1932.37.00</t>
  </si>
  <si>
    <t>1932.38.00</t>
  </si>
  <si>
    <t>1932.39.00</t>
  </si>
  <si>
    <t>1932.40.00</t>
  </si>
  <si>
    <t>1932.41.00</t>
  </si>
  <si>
    <t>1932.42.00</t>
  </si>
  <si>
    <t>1932.43.00</t>
  </si>
  <si>
    <t>1932.44.00</t>
  </si>
  <si>
    <t>1932.45.00</t>
  </si>
  <si>
    <t>1932.46.00</t>
  </si>
  <si>
    <t>1932.47.00</t>
  </si>
  <si>
    <t>1932.47.10</t>
  </si>
  <si>
    <t>1932.47.20</t>
  </si>
  <si>
    <t>1932.99.00</t>
  </si>
  <si>
    <t>1932.99.01</t>
  </si>
  <si>
    <t>1932.99.02</t>
  </si>
  <si>
    <t>1940.00.00</t>
  </si>
  <si>
    <t>1950.00.00</t>
  </si>
  <si>
    <t>1990.00.00</t>
  </si>
  <si>
    <t>1990.01.00</t>
  </si>
  <si>
    <t>1990.02.00</t>
  </si>
  <si>
    <t>1990.02.01</t>
  </si>
  <si>
    <t>1990.02.02</t>
  </si>
  <si>
    <t>1990.03.00</t>
  </si>
  <si>
    <t>1990.03.01</t>
  </si>
  <si>
    <t>1990.03.02</t>
  </si>
  <si>
    <t>1990.03.03</t>
  </si>
  <si>
    <t>1990.03.04</t>
  </si>
  <si>
    <t>1990.03.05</t>
  </si>
  <si>
    <t>1990.04.00</t>
  </si>
  <si>
    <t>1990.05.00</t>
  </si>
  <si>
    <t>1990.05.10</t>
  </si>
  <si>
    <t>1990.05.20</t>
  </si>
  <si>
    <t>1990.06.00</t>
  </si>
  <si>
    <t>1990.07.00</t>
  </si>
  <si>
    <t>1990.08.00</t>
  </si>
  <si>
    <t>1990.10.00</t>
  </si>
  <si>
    <t>1990.16.00</t>
  </si>
  <si>
    <t>1990.18.00</t>
  </si>
  <si>
    <t>1990.19.00</t>
  </si>
  <si>
    <t>1990.20.00</t>
  </si>
  <si>
    <t>1990.21.00</t>
  </si>
  <si>
    <t>1990.24.00</t>
  </si>
  <si>
    <t>1990.25.00</t>
  </si>
  <si>
    <t>1990.26.00</t>
  </si>
  <si>
    <t>1990.26.01</t>
  </si>
  <si>
    <t>1990.26.02</t>
  </si>
  <si>
    <t>1990.26.03</t>
  </si>
  <si>
    <t>1990.27.00</t>
  </si>
  <si>
    <t>1990.96.00</t>
  </si>
  <si>
    <t>1990.98.00</t>
  </si>
  <si>
    <t>1990.99.00</t>
  </si>
  <si>
    <t>2000.00.00</t>
  </si>
  <si>
    <t>2100.00.00</t>
  </si>
  <si>
    <t>2110.00.00</t>
  </si>
  <si>
    <t>2111.00.00</t>
  </si>
  <si>
    <t>2111.01.00</t>
  </si>
  <si>
    <t>2111.02.00</t>
  </si>
  <si>
    <t>2111.03.00</t>
  </si>
  <si>
    <t>2112.00.00</t>
  </si>
  <si>
    <t>2113.00.00</t>
  </si>
  <si>
    <t>2114.00.00</t>
  </si>
  <si>
    <t>2114.01.00</t>
  </si>
  <si>
    <t>2114.02.00</t>
  </si>
  <si>
    <t>2114.03.00</t>
  </si>
  <si>
    <t>2114.04.00</t>
  </si>
  <si>
    <t>2114.05.00</t>
  </si>
  <si>
    <t>2114.06.00</t>
  </si>
  <si>
    <t>2114.07.00</t>
  </si>
  <si>
    <t>2114.99.00</t>
  </si>
  <si>
    <t>2119.00.00</t>
  </si>
  <si>
    <t>2120.00.00</t>
  </si>
  <si>
    <t>2122.00.00</t>
  </si>
  <si>
    <t>2122.01.00</t>
  </si>
  <si>
    <t>2122.02.00</t>
  </si>
  <si>
    <t>2123.00.00</t>
  </si>
  <si>
    <t>2123.01.00</t>
  </si>
  <si>
    <t>2123.02.00</t>
  </si>
  <si>
    <t>2123.03.00</t>
  </si>
  <si>
    <t>2123.04.00</t>
  </si>
  <si>
    <t>2123.05.00</t>
  </si>
  <si>
    <t>2123.07.00</t>
  </si>
  <si>
    <t>2123.99.00</t>
  </si>
  <si>
    <t>2129.00.00</t>
  </si>
  <si>
    <t>2200.00.00</t>
  </si>
  <si>
    <t>2210.00.00</t>
  </si>
  <si>
    <t>2211.00.00</t>
  </si>
  <si>
    <t>2212.00.00</t>
  </si>
  <si>
    <t>2212.01.00</t>
  </si>
  <si>
    <t>2212.01.01</t>
  </si>
  <si>
    <t>2212.01.02</t>
  </si>
  <si>
    <t>2212.01.03</t>
  </si>
  <si>
    <t>2212.03.00</t>
  </si>
  <si>
    <t>2212.03.01</t>
  </si>
  <si>
    <t>2212.03.02</t>
  </si>
  <si>
    <t>2212.03.03</t>
  </si>
  <si>
    <t>2212.07.00</t>
  </si>
  <si>
    <t>2212.07.01</t>
  </si>
  <si>
    <t>2212.07.02</t>
  </si>
  <si>
    <t>2212.09.00</t>
  </si>
  <si>
    <t>2212.09.01</t>
  </si>
  <si>
    <t>2212.09.02</t>
  </si>
  <si>
    <t>2212.99.00</t>
  </si>
  <si>
    <t>2214.00.00</t>
  </si>
  <si>
    <t>2215.00.00</t>
  </si>
  <si>
    <t>2216.00.00</t>
  </si>
  <si>
    <t>2217.00.00</t>
  </si>
  <si>
    <t>2219.00.00</t>
  </si>
  <si>
    <t>2220.00.00</t>
  </si>
  <si>
    <t>2221.00.00</t>
  </si>
  <si>
    <t>2222.00.00</t>
  </si>
  <si>
    <t>2222.01.00</t>
  </si>
  <si>
    <t>2222.02.00</t>
  </si>
  <si>
    <t>2222.03.00</t>
  </si>
  <si>
    <t>2222.04.00</t>
  </si>
  <si>
    <t>2223.00.00</t>
  </si>
  <si>
    <t>2224.00.00</t>
  </si>
  <si>
    <t>2225.00.00</t>
  </si>
  <si>
    <t>2229.00.00</t>
  </si>
  <si>
    <t>2300.00.00</t>
  </si>
  <si>
    <t>2300.10.00</t>
  </si>
  <si>
    <t>2300.20.00</t>
  </si>
  <si>
    <t>2300.20.01</t>
  </si>
  <si>
    <t>2300.20.02</t>
  </si>
  <si>
    <t>2300.30.00</t>
  </si>
  <si>
    <t>2300.40.00</t>
  </si>
  <si>
    <t>2300.50.00</t>
  </si>
  <si>
    <t>2300.70.00</t>
  </si>
  <si>
    <t>2300.70.01</t>
  </si>
  <si>
    <t>2300.70.02</t>
  </si>
  <si>
    <t>2300.80.00</t>
  </si>
  <si>
    <t>2300.80.01</t>
  </si>
  <si>
    <t>2300.80.02</t>
  </si>
  <si>
    <t>2300.80.03</t>
  </si>
  <si>
    <t>2300.80.04</t>
  </si>
  <si>
    <t>2300.99.00</t>
  </si>
  <si>
    <t>2400.00.00</t>
  </si>
  <si>
    <t>2420.00.00</t>
  </si>
  <si>
    <t>2421.00.00</t>
  </si>
  <si>
    <t>2421.01.00</t>
  </si>
  <si>
    <t>2421.02.00</t>
  </si>
  <si>
    <t>2421.37.00</t>
  </si>
  <si>
    <t>2421.99.00</t>
  </si>
  <si>
    <t>2422.00.00</t>
  </si>
  <si>
    <t>2422.01.00</t>
  </si>
  <si>
    <t>2422.02.00</t>
  </si>
  <si>
    <t>2422.37.00</t>
  </si>
  <si>
    <t>2422.99.00</t>
  </si>
  <si>
    <t>2423.00.00</t>
  </si>
  <si>
    <t>2423.01.00</t>
  </si>
  <si>
    <t>2423.02.00</t>
  </si>
  <si>
    <t>2423.37.00</t>
  </si>
  <si>
    <t>2423.99.00</t>
  </si>
  <si>
    <t>2430.00.00</t>
  </si>
  <si>
    <t>2440.00.00</t>
  </si>
  <si>
    <t>2450.00.00</t>
  </si>
  <si>
    <t>2460.00.00</t>
  </si>
  <si>
    <t>2470.00.00</t>
  </si>
  <si>
    <t>2471.00.00</t>
  </si>
  <si>
    <t>2471.01.00</t>
  </si>
  <si>
    <t>2471.02.00</t>
  </si>
  <si>
    <t>2471.03.00</t>
  </si>
  <si>
    <t>2471.04.00</t>
  </si>
  <si>
    <t>2471.05.00</t>
  </si>
  <si>
    <t>2471.99.00</t>
  </si>
  <si>
    <t>2472.00.00</t>
  </si>
  <si>
    <t>2472.01.00</t>
  </si>
  <si>
    <t>2472.02.00</t>
  </si>
  <si>
    <t>2472.03.00</t>
  </si>
  <si>
    <t>2472.04.00</t>
  </si>
  <si>
    <t>2472.05.00</t>
  </si>
  <si>
    <t>2472.99.00</t>
  </si>
  <si>
    <t>2473.00.00</t>
  </si>
  <si>
    <t>2473.01.00</t>
  </si>
  <si>
    <t>2473.02.00</t>
  </si>
  <si>
    <t>2473.99.00</t>
  </si>
  <si>
    <t>2474.00.00</t>
  </si>
  <si>
    <t>2475.00.00</t>
  </si>
  <si>
    <t>2480.00.00</t>
  </si>
  <si>
    <t>2481.00.00</t>
  </si>
  <si>
    <t>2482.00.00</t>
  </si>
  <si>
    <t>2483.00.00</t>
  </si>
  <si>
    <t>2484.00.00</t>
  </si>
  <si>
    <t>2500.00.00</t>
  </si>
  <si>
    <t>2520.00.00</t>
  </si>
  <si>
    <t>2521.00.00</t>
  </si>
  <si>
    <t>2522.00.00</t>
  </si>
  <si>
    <t>2530.00.00</t>
  </si>
  <si>
    <t>2530.10.00</t>
  </si>
  <si>
    <t>2530.20.00</t>
  </si>
  <si>
    <t>2540.00.00</t>
  </si>
  <si>
    <t>2550.00.00</t>
  </si>
  <si>
    <t>2560.00.00</t>
  </si>
  <si>
    <t>2570.00.00</t>
  </si>
  <si>
    <t>2590.00.00</t>
  </si>
  <si>
    <t>Constituição Federal, arts.150, §1º, e 153, I e § 1º;
Lei nº 5.172, de 25 de outubro de 1966 (CTN), art.19 a 22;
Decreto-Lei nº 37, de 18 de novembro de 1966, art. 2º, I - para alíquota específica;
Decreto-Lei nº 37, de 18 de novembro de 1966, art. 2º, II, e 17 a 21 - para alíquota ad valorem;
Código Civil/2002, arts. 1.204 e 1.263, e art. 2º. do Decreto-Lei nº 37, de 18 de novembro de 1966 - para produtos abandonados ou apreendidos.</t>
  </si>
  <si>
    <t>Contribuição de Melhoria para Expansão da Rede de Iluminação Pública na Cidade</t>
  </si>
  <si>
    <t>Contribuição de Melhoria para Expansão de Rede de Iluminação Pública Rural</t>
  </si>
  <si>
    <t>Contribuição de Melhoria para Pavimentação e Obras Complementares</t>
  </si>
  <si>
    <t>Outras Contribuições de Melhoria</t>
  </si>
  <si>
    <t>Receita de Transferência de Concessão, de Permissão ou de Autorização de Rodovias ou de Obras Rodoviárias Federais</t>
  </si>
  <si>
    <t xml:space="preserve">Imposto sobre a Renda e Proventos de Qualquer Natureza </t>
  </si>
  <si>
    <t>Pessoas Físicas</t>
  </si>
  <si>
    <t>Receita de Parcelamentos – Imposto sobre a Renda – Pessoas Físicas</t>
  </si>
  <si>
    <t>Pessoa Jurídica – Líquida de Incentivos</t>
  </si>
  <si>
    <t>Receita de Parcelamentos – Imposto sobre a Renda – Pessoas Jurídicas</t>
  </si>
  <si>
    <t>Imposto de Renda Pessoa Jurídica – Simples Federal e Nacional</t>
  </si>
  <si>
    <t>Imposto de Renda Retido nas Fontes sobre os Rendimentos do Trabalho</t>
  </si>
  <si>
    <t>Imposto de Renda Retido nas Fontes sobre os Rendimentos de Capital</t>
  </si>
  <si>
    <t>Imposto de Renda Retido nas Fontes sobre Remessa de Recursos ao Exterior</t>
  </si>
  <si>
    <t>Imposto de Renda Retido nas Fontes sobre Outros Rendimentos</t>
  </si>
  <si>
    <t>Receita de Parcelamentos – Imposto sobre a Renda Retido na Fonte</t>
  </si>
  <si>
    <t>Imposto sobre a Propriedade de Veículos Automotores</t>
  </si>
  <si>
    <t>Imposto sobre Transmissão “Causa Mortis” e Doação de Bens e Direitos</t>
  </si>
  <si>
    <t>Imposto sobre Transmissão “Inter Vivos” de Bens Imóveis e de Direitos Reais sobre Imóveis</t>
  </si>
  <si>
    <t>Impostos sobre a Produção e a Circulação</t>
  </si>
  <si>
    <t>Imposto sobre Produtos Industrializados</t>
  </si>
  <si>
    <t>Imposto sobre os Produtos Industrializados do Fumo</t>
  </si>
  <si>
    <t>Imposto sobre Produtos Industrializados de Bebidas</t>
  </si>
  <si>
    <t>Imposto sobre Produtos Industrializados de Automóveis</t>
  </si>
  <si>
    <t>Imposto sobre Produtos Industrializados de Importação</t>
  </si>
  <si>
    <t>Outros Produtos</t>
  </si>
  <si>
    <t>Receita de Parcelamentos – Imposto sobre Produtos Industrializados</t>
  </si>
  <si>
    <t>Imposto sobre Produtos Industrializados – Simples Federal e Nacional</t>
  </si>
  <si>
    <t>Imposto sobre Operações Relativas à Circulação de Mercadorias e sobre Prestações de Serviços de Transporte Interestadual e Intermunicipal e de Comunicação</t>
  </si>
  <si>
    <t>Adicional ICMS - Fundo Estadual de Combate à Pobreza</t>
  </si>
  <si>
    <t>Imposto sobre Operações de Crédito, Câmbio e Seguro, ou Relativas a Títulos ou Valores Mobiliários</t>
  </si>
  <si>
    <t>Imposto sobre Comercialização do Ouro</t>
  </si>
  <si>
    <t>Receita de Parcelamentos – Imposto sobre Operações de Crédito, Câmbio e Seguro ou Relativas a Títulos ou Valores Mobiliários – Comercialização do Ouro</t>
  </si>
  <si>
    <t>Imposto sobre as Demais Operações</t>
  </si>
  <si>
    <t>Receita de Parcelamentos – Imposto sobre Operações de Créditos, Câmbio e Seguro ou Relativas a Títulos ou Valores Mobiliários</t>
  </si>
  <si>
    <t>Imposto sobre Serviços de Qualquer Natureza</t>
  </si>
  <si>
    <t>Adicional ISS - Fundo Municipal de Combate à Pobreza</t>
  </si>
  <si>
    <t>Impostos Extraordinários</t>
  </si>
  <si>
    <t>Taxas</t>
  </si>
  <si>
    <t>Taxas pelo Exercício do Poder de Polícia</t>
  </si>
  <si>
    <t>Taxa de Fiscalização dos Serviços de Irrigação e Operação da Adução de Água</t>
  </si>
  <si>
    <t>Taxa de Fiscalização das Telecomunicações</t>
  </si>
  <si>
    <t>Taxa de Fiscalização de Instalação</t>
  </si>
  <si>
    <t>Taxa de Fiscalização de Funcionamento</t>
  </si>
  <si>
    <t>Taxa de Controle e Fiscalização de Produtos Químicos</t>
  </si>
  <si>
    <t xml:space="preserve">Taxas do Departamento de Polícia Federal </t>
  </si>
  <si>
    <t>Taxa do Departamento de Polícia Federal – Segurança Privada</t>
  </si>
  <si>
    <t>Taxa do Departamento de Polícia Federal – Sistema Nacional de Armas</t>
  </si>
  <si>
    <t>Taxas Decorrentes de Serviços de Migração</t>
  </si>
  <si>
    <t>Taxa de Licenciamento, Controle e Fiscalização de Materiais Nucleares e Radioativos e suas Instalações – TLC</t>
  </si>
  <si>
    <t>Taxa de Fiscalização e Controle da Previdência Complementar – TAFIC</t>
  </si>
  <si>
    <t>Taxa de Fiscalização dos Produtos Controlados pelo Ministério do Exército</t>
  </si>
  <si>
    <t>Taxa de Fiscalização dos Mercados de Títulos e Valores Mobiliários</t>
  </si>
  <si>
    <t>Taxa de Fiscalização dos Mercados de Seguro, de Capitalização e da Previdência Privada Aberta</t>
  </si>
  <si>
    <t>Taxa de Fiscalização de Serviços de Energia Elétrica</t>
  </si>
  <si>
    <t>Taxa de Fiscalização de Vigilância Sanitária</t>
  </si>
  <si>
    <t>Taxa de Saúde Suplementar</t>
  </si>
  <si>
    <t>Taxa por Plano de Assistência à Saúde</t>
  </si>
  <si>
    <t>Taxa por Registro de Produto</t>
  </si>
  <si>
    <t>Taxa por Alteração de Dados de Produto</t>
  </si>
  <si>
    <t>Taxa por Registro de Operadora</t>
  </si>
  <si>
    <t>Taxa por Alteração de Dados de Operadora</t>
  </si>
  <si>
    <t>Taxa por Pedido de Reajuste de Contraprestação Pecuniária</t>
  </si>
  <si>
    <t>Outras Taxas de Saúde Suplementar</t>
  </si>
  <si>
    <t>Taxa de Controle e Fiscalização Ambiental</t>
  </si>
  <si>
    <t>Taxa de Serviços Administrativos</t>
  </si>
  <si>
    <t>Taxa de Serviços Metrológicos</t>
  </si>
  <si>
    <t>Taxa de Fiscalização sobre a Distribuição Gratuita de Prêmios e Sorteios</t>
  </si>
  <si>
    <t>Taxa de Licença para Funcionamento de Estabelecimentos Comerciais, Indústrias e Prestadoras de Serviços</t>
  </si>
  <si>
    <t>Taxa de Publicidade Comercial</t>
  </si>
  <si>
    <t>Taxa de Apreensão e Depósito</t>
  </si>
  <si>
    <t>Taxa de Funcionamento de Estabelecimentos em Horário Especial</t>
  </si>
  <si>
    <t>Taxa de Licença para Execução de Obras</t>
  </si>
  <si>
    <t>Taxa de Autorização de Funcionamento de Transporte</t>
  </si>
  <si>
    <t>Taxa de Utilização de Área de Domínio Público</t>
  </si>
  <si>
    <t>Taxa de Aprovação do Projeto de Construção Civil</t>
  </si>
  <si>
    <t>Taxa de Fiscalização de Aparelhos de Transporte</t>
  </si>
  <si>
    <t>Taxa de Alinhamento e Nivelamento</t>
  </si>
  <si>
    <t>Taxa de Apreensão, Depósito ou Liberação de Animais</t>
  </si>
  <si>
    <t>Taxa de Regulação de Serviços de Gás Canalizado</t>
  </si>
  <si>
    <t>Taxa de Serviços de Transporte Metroviário de Passageiros</t>
  </si>
  <si>
    <t>Taxa de Serviços de Transporte Ferroviário de Passageiros</t>
  </si>
  <si>
    <t>Taxa de Serviços de Transporte Marítimo de Passageiros</t>
  </si>
  <si>
    <t>Outras Taxas pelo Exercício do Poder de Polícia</t>
  </si>
  <si>
    <t>Taxas pela Prestação de Serviços</t>
  </si>
  <si>
    <t>Emolumentos Consulares</t>
  </si>
  <si>
    <t>Taxa de Pedido de Visto em Contrato de Trabalho de Estrangeiro</t>
  </si>
  <si>
    <t>Taxa Utilização do Sistema Eletrônico de Controle de Arrecadação do Adicional ao Frete para a Renovação da Marinha Mercante</t>
  </si>
  <si>
    <t>Taxa de Avaliação do Ensino Superior</t>
  </si>
  <si>
    <t>Taxa Judiciária da Justiça do Distrito Federal</t>
  </si>
  <si>
    <t>Emolumentos e Custas da Justiça do Distrito Federal</t>
  </si>
  <si>
    <t>Emolumentos e Custas Judiciais</t>
  </si>
  <si>
    <t>Taxa de Utilização do Sistema Integrado de Comércio Exterior – SISCOMEX</t>
  </si>
  <si>
    <t>Emolumentos e Custas Processuais Administrativas</t>
  </si>
  <si>
    <t xml:space="preserve">Emolumentos e Custas de Apreciação de Atos e Contratos </t>
  </si>
  <si>
    <t>Emolumentos e Custas Decorrentes de Consultas</t>
  </si>
  <si>
    <t>Taxa Militar</t>
  </si>
  <si>
    <t>Taxa de Classificação de Produtos Vegetais</t>
  </si>
  <si>
    <t>Taxas de Serviços Cadastrais</t>
  </si>
  <si>
    <t>Taxa de Serviços de Pesca e Aquicultura</t>
  </si>
  <si>
    <t>Taxa de Cemitérios</t>
  </si>
  <si>
    <t>Emolumentos e Custas Extrajudiciais</t>
  </si>
  <si>
    <t>Taxa de Limpeza Pública</t>
  </si>
  <si>
    <t>Outras Taxas pela Prestação de Serviços</t>
  </si>
  <si>
    <t>Contribuição de Melhoria</t>
  </si>
  <si>
    <t>Contribuição de Melhoria para Expansão da Rede de Água Potável e Esgoto Sanitário</t>
  </si>
  <si>
    <t>Registra o valor total da arrecadação de imposto sobre renda e proventos de qualquer natureza de competência da União. Tem como fato gerador a aquisição de disponibilidade econômica ou jurídica: a) de renda, assim entendido o produto do capital, do trabalho ou da combinação de ambos; b) de proventos de qualquer natureza, assim entendidos os acréscimos patrimoniais não compreendidos no item anterior.</t>
  </si>
  <si>
    <t>Registra o valor total que incide sobre os rendimentos e ganhos de capital percebidos pelas pessoas físicas residentes ou domiciliadas no Brasil. Integram o rendimento bruto sujeito à incidência desse imposto o ganho de capital decorrente da alienação de bens e direitos e os ganhos líquidos auferidos em operações realizadas nas bolsas de valores e assemelhadas.</t>
  </si>
  <si>
    <t>Registra o valor decorrente de parcelamentos do Imposto sobre a Renda das Pessoas Físicas no âmbito do Programa de Recuperação Fiscal - REFIS e do Programa Especial de Parcelamento de Débito – PAES, criados respectivamente por meio das leis nº 9.964/2000 e 10.684/2003.</t>
  </si>
  <si>
    <t>Registra o valor decorrente de parcelamentos do Imposto sobre a renda no âmbito do Programa de Recuperação Fiscal - REFIS e do Programa Especial de Parcelamento de Débito – PAES, criados respectivamente por meio das leis nº 9.964/2000 e 10.684/2003.</t>
  </si>
  <si>
    <t>Registra o valor das receitas de Imposto de Renda Pessoa Jurídica – Simples Federal e Nacional.</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</si>
  <si>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</si>
  <si>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Registra o valor da arrecadação de receita do Imposto de Renda sobre o ganho de capital percebido por pessoa física ou jurídica em decorrência da alienação de bens e direitos de qualquer natureza.</t>
  </si>
  <si>
    <t>Registra o valor da arrecadação de receita do imposto sobre importâncias pagas, remetidas, creditadas, empregadas ou entregues a residentes ou domiciliados no exterior por fonte localizada no país a título de royalties e pagamento de assistência técnica, juros e comissões em geral, rendimento do trabalho, aluguel ou arrendamento, transmissão de competições desportivas, produções cinematográficas, etc.</t>
  </si>
  <si>
    <t>Registra o valor da arrecadação de receita do imposto sobre ganhos decorrentes de: prêmios e sorteios em geral, prêmios de proprietários e criadores de cavalos de corrida, serviços de propaganda prestados por pessoa jurídica, comissões e corretagens pagas a pessoa jurídica, remuneração de serviços profissionais prestados por pessoa jurídica, remuneração de serviços pessoais prestados por associados de cooperativas de trabalho, condenações judiciais, pecúlios de previdência privada, títulos de capitalização, aluguéis relativos a pessoa jurídica, entre outros.</t>
  </si>
  <si>
    <t>Registra o valor decorrente de parcelamentos do Imposto sobre a Renda Retido na Fonte, no âmbito do Programa de Recuperação Fiscal - REFIS e do Programa Especial de Parcelamento de Débito – PAES, criados respectivamente por meio das leis nº 9.964/2000 e 10.684/2003.</t>
  </si>
  <si>
    <t>Registra o valor total da arrecadação de imposto que incide sobre o valor do veículo automotor sujeito a licenciamento pelos órgãos competentes. De competência dos Estados.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</si>
  <si>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</si>
  <si>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</si>
  <si>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Registra o valor total da arrecadação de impostos sobre produção e a circulação que compreendem os seguintes impostos: Imposto sobre Produtos Industrializados – 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 – ISS.</t>
  </si>
  <si>
    <t>Registra o valor total da arrecadação de Imposto sobre Produtos Industrializados – IPI. De competência da União, tem como fato gerador o desembaraço aduaneiro de produto de procedência estrangeira; a saída de produto do estabelecimento industrial ou equiparado a industrial; a arrematação, quando apreendido ou abandonado e levado a leilão.</t>
  </si>
  <si>
    <t>Registra o valor da arrecadação de receita do imposto cobrada sobre fumo (tabaco) não manufaturado, charutos, cigarrilhas e cigarros de fumo, e sobre outros produtos do fumo.</t>
  </si>
  <si>
    <t>Registra o valor da arrecadação de receita de imposto cobrada sobre bebidas alcoólica, refrigerantes, refrescos, água mineral ou gaseificada, etc.</t>
  </si>
  <si>
    <t>Registra o valor da arrecadação de receita cobrada sobre veículos automotores.</t>
  </si>
  <si>
    <t>Registra o valor da arrecadação de receita de imposto cobrada sobre produtos industrializados de procedência estrangeira. O fato gerador é o desembaraço aduaneiro.</t>
  </si>
  <si>
    <t>Registra a receita decorrente da incidência do imposto sobre produtos industrializados sobre as demais mercadorias relacionadas na Tabela de Incidência do Imposto sobre Produtos Industrializados – TIPI.</t>
  </si>
  <si>
    <t>Registra o valor decorrente de parcelamentos do Imposto sobre Produtos Industrializados, no âmbito do Programa de Recuperação Fiscal - REFIS e do Programa Especial de Parcelamento de Débito – PAES, criados respectivamente por meio das leis nº 9.964/2000 e 10.684/2003.</t>
  </si>
  <si>
    <t>Registra o valor das receitas de Imposto sobre Produtos Industrializados – Simples Federal e Nacional.</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</si>
  <si>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</si>
  <si>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</si>
  <si>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</si>
  <si>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Registra o valor total da arrecadação de imposto sobre operações de crédito, câmbio e seguro Relativo a títulos e valores mobiliários de competência da União. Incide sobre as operações realizadas por instituições financeiras, instituições autorizadas a operar com câmbio, companhias seguradoras e instituições autorizadas a operar na compra e venda de títulos ou valores mobiliários.</t>
  </si>
  <si>
    <t>Registra o valor da arrecadação de receita de impostos sobre a primeira aquisição do ouro, ativo financeiro ou instrumento cambial. No caso de ouro físico oriundo do exterior, ingressado no País, o fato gerador é o seu desembaraço aduaneiro.</t>
  </si>
  <si>
    <t>Registra o valor decorrente de parcelamentos do Imposto sobre Operações de Crédito, Câmbio e Seguro ou Relativas a Títulos ou Valores Mobiliários – Comercialização do Ouro, no âmbito do Programa de Recuperação Fiscal - REFIS e do Programa Especial de Parcelamento de Débito – PAES, criados respectivamente por meio das leis nº 9.964/2000 e 10.684/2003.</t>
  </si>
  <si>
    <t>Registra o valor da arrecadação de receita sobre as operações: de crédito, a entrega dos recursos ou sua colocação à disposição do interessado; de câmbio, relativas à importação de serviços, a liquidação do contrato de câmbio; de seguro, o recebimento do prêmio; com títulos e valores mobiliários, a emissão, transmissão, pagamento ou resgate destes.</t>
  </si>
  <si>
    <t>Registra o valor decorrente de parcelamentos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</si>
  <si>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</si>
  <si>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total da arrecadação de imposto sobre serviços de qualquer natureza de competência dos Municípios. Tem como fato gerador a prestação, por empresa ou profissional autônomo, com ou sem estabelecimento fixo, de serviços constantes em lista própria.. O adicional de ISS para constituição do Fundo Municipal de Combate à Pobreza será registrado em natureza específica.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</si>
  <si>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</si>
  <si>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Registra o valor total da arrecadação de impostos extraordinários. Na iminência ou no caso de guerra externa, a União poderá instituir impostos extraordinários, compreendidos ou não em sua competência tributária, os quais serão suprimidos, gradativamente, cessadas as causas de sua criação.</t>
  </si>
  <si>
    <t>Registra o valor total das receitas de taxas cobradas pela União, pelos Estados, pelo Distrito Federal ou pelos Municípios, no âmbito de suas respectivas atribuições. Tem como fato gerador o exercício regular do poder de polícia, ou a utilização, efetiva ou potencial, de serviços públicos específicos e divisíveis; não relacionados com medição de consumo, prestados ao contribuinte ou postos a sua disposição.</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</si>
  <si>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à segurança, à higiene, à ordem, aos costumes, à disciplina da produção e do mercado, ao exercício de atividades econômicas dependentes de concessão ou autorização do poder público, à tranquilidade pública, ou ao respeito à propriedade e aos direitos individuais ou coletivos.</t>
  </si>
  <si>
    <t>Registra o valor total da arrecadação de taxa decorrente  do exercício do poder de policia pela Agência Nacional de Águas - ANA, compreendido na fiscalização da prestação dos serviços públicos de irrigação e operação de adução de água bruta.</t>
  </si>
  <si>
    <t>Registra o valor total da arrecadação de taxa quando da fiscalização de serviços de telecomunicações pelo poder público, no exercício regular do poder de polícia. Taxas devidas pelas concessionárias e permissionárias de serviços de telecomunicações, compreendendo: a taxa de fiscalização de instalação, devida no momento em que é outorgada autorização para a execução do serviço e a taxa de fiscalização de funcionamento, devida pela fiscalização da execução dos serviços. Receita vinculada ao fundo de fiscalização das telecomunicações – FISTEL.</t>
  </si>
  <si>
    <t>Registra o valor da arrecadação de receita de taxa paga no momento da emissão do certificado de licença para o funcionamento das estações. Tem seus valores fixados em lei.</t>
  </si>
  <si>
    <t>Registra o valor da arrecadação de receita da taxa paga anualmente, até o dia 31 de março, pela fiscalização do funcionamento das estações. Seus valores correspondem a 45% dos fixados para a taxa de fiscalização de instalação.</t>
  </si>
  <si>
    <t>Registra o valor da receita advinda do pagamento da taxa de controle e fiscalização sobre produtos químicos que direta ou indiretamente possam ser destinados à elaboração ilícita de substâncias entorpecentes, psicotrópicas ou que determinem dependência física ou psíquica. Os recursos constituem receita do Fundo Nacional Antidrogas – FUNAD, dos quais serão destinados 80% ao Departamento de Polícia Federal, para o reaparelhamento e custeio das atividades de controle e fiscalização de produtos químicos e de repressão ao tráfico ilícito de drogas.</t>
  </si>
  <si>
    <t>Registra os valores decorrentes de Taxas do Departamento da Polícia Federal.</t>
  </si>
  <si>
    <t>Registra o valor da arrecadação de receita de taxa sobre a prestação de serviços relativos à fiscalização de empresas de segurança privada, segurança própria, de transportes de valores, de estabelecimentos financeiros e de estabelecimentos de formação de vigilantes.</t>
  </si>
  <si>
    <t>Registra o valor da arrecadação de receita de taxa sobre a p restação de serviços relativos à fiscalização sobre registro, posse e comercialização de armas de fogo permitidas e de munição.</t>
  </si>
  <si>
    <t>Registra as receitas provenientes da cobrança de taxas pelos serviços de migração prestados pelo Departamento de Polícia Federal, conforme o inciso I do art. 3o da Lei Complementar no 89, de 1997.</t>
  </si>
  <si>
    <t>Registra o valor da arrecadação de receita de taxa sobre o Licenciamento, Controle e Fiscalização, pesquisa e desenvolvimento, apoio técnico operacional e apoio ao desenvolvimento e aplicação de materiais didáticos e pedagógicos relacionados com materiais nucleares e radioativos e suas instalações.</t>
  </si>
  <si>
    <t>Registra o valor da arrecadação de receita de taxa sobre a fiscalização e controle da previdência complementar – TAFIC.</t>
  </si>
  <si>
    <t>Registra o valor da arrecadação de receita de taxa sobre a fiscalização de produtos controlados pelo Ministério do Exército, incluindo a fabricação, a recuperação, a manutenção, a utilização industrial, o manuseio, o uso esportivo, o colecionamento, a exportação, a importação, o desembaraço alfandegário, o armazenamento, o comércio e o tráfego. Lei nº 10.834/03.</t>
  </si>
  <si>
    <t xml:space="preserve">Registra o valor da arrecadação de receita de taxa referente à fiscalização sobre as pessoas físicas e jurídicas que integram o sistema de distribuição de valores mobiliários, as companhias abertas, sociedades beneficiárias de incentivos fiscais, corretoras, bancos de investimento, bolsas de valores e de futuros, distribuidoras e bancos múltiplos com carteira de investimento, fundos mútuos de ações, fundos de conversão, fundos de investimento e carteiras de títulos e valores mobiliários – capital estrangeiro. </t>
  </si>
  <si>
    <t>Registra o valor da arrecadação de receita de taxa de fiscalização do mercado de seguros, capitalização e de previdência privada aberta dos estabelecimentos de seguro, de capitalização e de previdência privada aberta com ou sem fins lucrativos.</t>
  </si>
  <si>
    <t>Registra o valor da receita decorrente da cobrança de taxa pela prestação do serviço público de fiscalização e regulação do setor de Energia Elétrica Nacional pela Agência Nacional de Energia Elétrica – ANEEL, recolhida em duodécimos diretamente à autarquia, com base no benefício econômico anual auferido pelas entidades do setor.</t>
  </si>
  <si>
    <t>Registra o valor da arrecadação de receita de taxa de fiscalização de locais e instalações onde são fabricados, produzidos, beneficiados, manipulados, acondicionados, conservados, depositados, armazenados, transportados, vendidos ou consumidos, alimentos, bem como, exercidas atividades que possam afetar a saúde pública, em observância às normas sanitárias.</t>
  </si>
  <si>
    <t>Registra o valor da arrecadação de receita de taxa de saúde suplementar devida por pessoas jurídicas, condomínios ou consórcios constituídos sob a modalidade de sociedade civil ou comercial, cooperativa ou entidade de autogestão, que operem o produto, serviços ou contrato com a finalidade de garantir a assistência à saúde visando à assistência médica hospitalar ou odontológica.</t>
  </si>
  <si>
    <t>Registra o valor da taxa devida por plano de assistência à saúde, e seu valor será o produto da multiplicação de R$ 2,00 (dois reais) pelo número médio de usuários de cada plano privado de assistência à saúde, deduzindo o percentual total de descontos apurados em cada plano, de acordo com as Tabelas I e II do anexo II da Lei nº 9.961, de 28/01/00.</t>
  </si>
  <si>
    <t>Registra o valor da taxa devida por registro de produto, conforme valores indicados na Tabela III do anexo II da Lei nº 9.961, de 28/01/00. Os recursos serão vinculados à Agência Nacional de Saúde.</t>
  </si>
  <si>
    <t>Registra o valor da taxa devida por alteração de dados de produto, conforme valores indicados na Tabela III do anexo II da Lei nº 9.961, de 28/01/00. Os recursos serão vinculados à Agência Nacional de Saúde.</t>
  </si>
  <si>
    <t>Registra o valor da taxa devida por registro de operadora, conforme valores indicados na Tabela III do anexo II da Lei nº 9.961, de 28/01/00. Os recursos serão vinculados à Agência Nacional de Saúde.</t>
  </si>
  <si>
    <t>Registra o valor da taxa devida por alteração de dados de operadora, conforme valores indicados na Tabela III do anexo II da Lei nº 9.961, de 28/01/00. Os recursos serão vinculados à Agência Nacional de Saúde.</t>
  </si>
  <si>
    <t>Registra o valor da taxa devida por pedido de reajuste de contraprestação pecuniária, conforme valores indicados na Tabela III do anexo II da Lei nº 9.961, de 28/01/00. Os recursos serão vinculados à Agência Nacional de Saúde.</t>
  </si>
  <si>
    <t>Registra o valor de outras taxas de saúde suplementar, não classificadas nos itens anteriores.</t>
  </si>
  <si>
    <t>Registra o valor da arrecadação de receita de taxa de fiscalização ambiental, devida por pessoas físicas ou jurídicas obrigadas ao registro no Cadastro Técnico de Atividades Potencialmente Poluidoras ou Utilizadoras de Recursos Ambientais.</t>
  </si>
  <si>
    <t>Registra o valor total da arrecadação da receita proveniente de taxa de serviços administrativos, tendo como fato gerador o exercício regular do poder de polícia, ou a utilização, efetiva ou potencial, de serviço público específico e divisível, prestado ao contribuinte ou posto a sua disposição pela superintendência da zona franca de Manaus – SUFRAMA. Os recursos arrecadados serão destinados exclusivamente ao custeio e às atividades fins da SUFRAMA (Lei nº 9.960 de 28 de janeiro de 2000).</t>
  </si>
  <si>
    <t>Registra o valor da arrecadação de receita de taxa de serviços metrológicos devida pelas pessoas naturais e jurídicas, nacionais e estrangeiras, que atuem no mercado para fabricar, importar, processar, montar, acondicionar ou comercializar bens, mercadorias e produtos e prestar serviços.</t>
  </si>
  <si>
    <t>Registra o valor da arrecadação de receita de taxa de fiscalização da distribuição gratuita de prêmios e sorteios.</t>
  </si>
  <si>
    <t xml:space="preserve">Registra o valor da arrecadação de receita de taxa de fiscalização da localização de estabelecimentos comerciais, industrias e de prestação de serviços, instituída pela legislação do uso e ocupação do solo urbano às posturas municipais relativas à segurança, ordem e tranquilidade públicas. </t>
  </si>
  <si>
    <t>Registra o valor da arrecadação de receita de taxa de utilização de espaço público destinado para divulgação de produtos do comércio.</t>
  </si>
  <si>
    <t>Registra o valor da arrecadação de receita de taxa de apreensão e depósito de bens oriundos de irregularidades apresentadas quando da fiscalização.</t>
  </si>
  <si>
    <t>Registra o valor da arrecadação de receita de taxa de funcionamento de estabelecimentos em horário especial. A respectiva taxa é destinada a bares, boates, barracas por ocasião de festas carnavalescas, podendo funcionar a qualquer hora.</t>
  </si>
  <si>
    <t>Registra o valor da arrecadação de receita de taxa de licença para execução de obras. A respectiva taxa é cobrada do responsável pela execução das obras em observância aos critérios descritos em lei.</t>
  </si>
  <si>
    <t>Registra o valor da arrecadação de receita de taxa de autorização de funcionamento de transporte, caracterizada pela autorização aos proprietários de veículos que prestam serviços à comunidade de transporte de passageiros tais como: transporte escolar, de funcionários e outros passageiros.</t>
  </si>
  <si>
    <t>Registra o valor da arrecadação de receita de taxa de utilização de área de domínio público, referente a espaço ocupado por balcões, barracas, mesas, tabuleiros e semelhantes, nas feiras, vias e logradouros públicos ou como depósito de materiais ou estacionamento de veículos em locais designados pela Prefeitura.</t>
  </si>
  <si>
    <t>Registra o valor da arrecadação de receita de taxa de licença e aprovação do projeto de construção civil correspondente à certificação das condições de utilização de prédios e residências.</t>
  </si>
  <si>
    <t>Registra o valor da arrecadação de receita de taxa de fiscalização exercida em instalações (conservação e funcionamento) de elevadores de passageiros e de cargas, de alçapões, escadas rolantes, planos inclinados móveis e outros de natureza especial, em observância à legislação específica.</t>
  </si>
  <si>
    <t>Registra o valor da arrecadação de receita de taxa de fiscalização da metragem no tocante ao alinhamento e nivelamento de áreas ou terrenos.</t>
  </si>
  <si>
    <t>Registra o valor da arrecadação de receita de taxa de apreensão, depósito ou liberação de animais recolhidos em ruas em função de riscos causados à população.</t>
  </si>
  <si>
    <t>Registra o valor da receita decorrente da cobrança de taxa pela prestação de serviço público de fiscalização e regulação de serviços de gás canalizado.</t>
  </si>
  <si>
    <t>Registra o valor da receita decorrente da cobrança de taxa pela prestação de serviço público de fiscalização e regulação de serviços de transporte metroviário de passageiros.</t>
  </si>
  <si>
    <t>Registra o valor da receita decorrente da cobrança de taxa pela prestação de serviço público de fiscalização e regulação de serviços de transporte ferroviário de passageiros.</t>
  </si>
  <si>
    <t>Registra o valor da receita decorrente da cobrança de taxa pela prestação de serviço público de fiscalização e regulação de serviços de transporte marítimo de passageiros.</t>
  </si>
  <si>
    <t>Registra o valor da arrecadação de receita de outras taxas pelo exercício do poder de polícia, não classificadas nos itens anteriores.</t>
  </si>
  <si>
    <t>Registra o valor total da arrecadação de taxas pela utilização efetiva ou potencial de serviços prestados ao contribuinte ou colocados a sua disposição. Neste título são classificadas as taxas pela prestação de serviços públicos: a) utilizados pelo contribuinte – efetivamente, quando por ele usufruídos a qualquer título; potencialmente, quando, sendo de utilização compulsória, sejam postos a sua disposição mediante atividade administrativa em efetivo funcionamento; b) específicos, quando possam ser destacados em unidades autônomas de intervenção, de utilidade ou de necessidade pública; c) divisíveis, quando suscetíveis de utilização, separadamente, por parte de cada um dos seus usuários.</t>
  </si>
  <si>
    <t>Registra o valor da arrecadação de receita de taxas de serviços de expedição ou legalização de documentos, para fins de atendimento às atividades internacionais.</t>
  </si>
  <si>
    <t xml:space="preserve">Registra o valor da arrecadação de receita de taxa de pedido de visto em contrato de trabalho de estrangeiro destinada ao Ministério do Trabalho e Emprego, de acordo com a Lei nº 6815/80.  </t>
  </si>
  <si>
    <t>Registra o valor da arrecadação de receita da taxa de utilização do sistema eletrônico de controle de arrecadação do adicional ao frete para renovação da Marinha Mercante.</t>
  </si>
  <si>
    <t>Registra o valor da arrecadação de receita de taxa de avaliação do ensino superior.</t>
  </si>
  <si>
    <t>Registra o valor da arrecadação de taxa judiciária da Justiça do Distrito Federal. Tributo que tem como fato gerador a administração da justiça pelos magistrados por meio do processamento, julgamento e execução dos feitos submetidos a seu exame, inclusive quando se tratar de processo de jurisdição voluntária. Incide sobre o valor da causa.</t>
  </si>
  <si>
    <t>Registra o valor da arrecadação de custas e emolumentos devidos à Justiça do Distrito Federal, pela expedição, preparo e execução de todos os feitos judiciais, dos atos notariais, judiciais e extrajudiciais, cobrados de acordo com o regimento estabelecido pelo Decreto-Lei n° 15, de 25/01/1967, e alterações posteriores.</t>
  </si>
  <si>
    <t xml:space="preserve">Registra o valor da arrecadação de receita de taxa de serviços judiciais referentes aos atos praticados em razão do ofício, tais como: a)serventias judiciais: despesas com diligências fora de cartório, periciais e avaliações, publicações de editais na imprensa, expedições de cartas de ordem e de sentenças, dentre outras; b) expedição, movimentação e certificação dos feitos bem como custas devidas por atos e diligências, em primeira instância, com base no valor das causas em geral, mandado de segurança, processos criminais, recursos e cartas testemunháveis criminais, despesa com traslado e outras relacionadas nas tabelas de custas. </t>
  </si>
  <si>
    <t>Registra o valor dos recursos provenientes da cobrança de taxa junto aos importadores pela utilização dos serviços do Sistema Integrado de Comércio Exterior – SISCOMEX, paga no ato do registro da Declaração de Importação e por adição de mercadorias à Declaração de Importação. O produto da arrecadação da taxa é vinculado ao Fundo Especial de Desenvolvimento e Aperfeiçoamento das Atividades de Fiscalização – FUNDAF.</t>
  </si>
  <si>
    <t>Registra o valor da arrecadação de receita de taxa de emolumentos e custas processuais por entidades da administração pública federal, estadual e municipal, em decorrência da prestação de serviços de consultas e análises de processos em suas respectivas áreas de competência.</t>
  </si>
  <si>
    <t>Registra o valor da taxa cobrada a todo cidadão que por qualquer motivo obtiver isenção temporária ou definitiva de incorporação no Exército, Marinha e Aeronáutica.</t>
  </si>
  <si>
    <t>Registra o valor da arrecadação de receita de taxa de serviços de classificação de produtos vegetais.</t>
  </si>
  <si>
    <t>Registra o valor da arrecadação de receita de taxa de serviços de apuração, inscrição e cobrança da Dívida Ativa, da Taxa de Serviços Cadastrais.</t>
  </si>
  <si>
    <t>Registra o valor total da arrecadação de taxas pela prestação de serviços aquícolas, originárias dos registros anuais de indústria de pesca, de empresas que comercializam animais aquáticos vivos, de pesque e pague e de armador de pesca e ainda de expedição de carteira de pescador profissional.</t>
  </si>
  <si>
    <t>Registra o valor da arrecadação de receita de taxa de prestação de serviços de administração de cemitérios referentes à utilização de necrotério e ocupação da sala mortuária, bem como matrículas, entrada e saída de ossos.</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</si>
  <si>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</si>
  <si>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Registra o valor da arrecadação de receita cobrada pela utilização efetiva ou potencial do serviço pelo proprietário de imóvel edificado ou não, situado em logradouro beneficiado pela coleta do lixo.</t>
  </si>
  <si>
    <t>Registra o valor da arrecadação de receita de outras taxas de utilização efetiva ou potencial de serviços, não classificadas nos itens anteriores.</t>
  </si>
  <si>
    <t>Registra o valor total da arrecadação com contribuições de melhoria decorrentes de obras públicas. De competência da União, Estados, Distrito Federal ou Municípios, no âmbito de suas respectivas atribuições. É arrecadada dos proprietários de imóveis beneficiados por obras públicas, e terá como limite total a despesa realizada.</t>
  </si>
  <si>
    <t>Registra o valor da arrecadação de receita de contribuição de melhoria decorrente de valorização de propriedades em função da expansão da rede de água potável e esgoto sanitário.</t>
  </si>
  <si>
    <t>Registra o valor da arrecadação de receita de contribuição de melhoria decorrente de valorização de propriedades em função da expansão da rede de iluminação pública na cidade.</t>
  </si>
  <si>
    <t>Registra o valor da arrecadação de receita sobre a cobrança decorrente de valorização de propriedades em função da expansão da rede de iluminação pública rural.</t>
  </si>
  <si>
    <t>Registra o valor da arrecadação de receita de contribuição de melhoria decorrente de valorização de propriedades em função da pavimentação asfáltica, bem como pela colocação de guias, sarjetas e calçamento.</t>
  </si>
  <si>
    <t>Registra o valor de outras contribuições de melhorias, não classificadas nos itens anteriores.</t>
  </si>
  <si>
    <t>Registra a receita decorrente de Transferência de Concessão, de Permissão ou de Autorização de Rodovias ou de Obras Rodoviárias Federais.</t>
  </si>
  <si>
    <t>Receitas de Contribuições</t>
  </si>
  <si>
    <t>Contribuições Sociais</t>
  </si>
  <si>
    <t>Contribuição Social para o Financiamento da Seguridade Social</t>
  </si>
  <si>
    <t>Receita do Principal da Contribuição Social para o Financiamento da Seguridade Social</t>
  </si>
  <si>
    <t>Receita de Parcelamentos – Contribuição para o Financiamento da Seguridade Social</t>
  </si>
  <si>
    <t>Contribuição Social do Salário-Educação</t>
  </si>
  <si>
    <t>Cota-Parte da Contribuição Sindical</t>
  </si>
  <si>
    <t>Contribuição para o Ensino Aeroviário</t>
  </si>
  <si>
    <t>Contribuição para o Desenvolvimento do Ensino Profissional Marítimo</t>
  </si>
  <si>
    <t>Contribuição para o Fundo de Saúde das Forças Armadas</t>
  </si>
  <si>
    <t>Contribuição sobre a Arrecadação dos Fundos de Investimentos Regionais</t>
  </si>
  <si>
    <t>Contribuição sobre Movimentação ou Transmissão de Valores e de Créditos e Direitos de Natureza Financeira</t>
  </si>
  <si>
    <t>Receita do Principal da Contribuição sobre Movimentação ou Transmissão de Valores e de Créditos e Direitos de Natureza Financeira</t>
  </si>
  <si>
    <t xml:space="preserve">Receita de Parcelamentos – Contribuição sobre Movimentação ou Transmissão de Valores e de Créditos e Direitos de Natureza Financeira  </t>
  </si>
  <si>
    <t>Contribuição para Custeio das Pensões Militares</t>
  </si>
  <si>
    <t>Contribuição sobre a Receita de Sorteios Realizados por Entidades Filantrópicas</t>
  </si>
  <si>
    <t>Contribuições sobre a Receita de Concursos de Prognósticos</t>
  </si>
  <si>
    <t>Contribuição sobre a Receita da Loteria Federal</t>
  </si>
  <si>
    <t>Contribuição sobre a Receita de Loterias Esportivas</t>
  </si>
  <si>
    <t>Contribuição sobre a Receita de Concursos Especiais de Loterias Esportivas</t>
  </si>
  <si>
    <t>Contribuição sobre a Receita de Loterias de Números</t>
  </si>
  <si>
    <t>Contribuição sobre a Receita da Loteria Instantânea</t>
  </si>
  <si>
    <t>Prêmios Prescritos da Loteria Federal</t>
  </si>
  <si>
    <t>Contribuição sobre a Receita de Outros Concursos de Prognósticos</t>
  </si>
  <si>
    <t>Contribuição Sobre a Receita de Concurso de Prognóstico Específico Destinado ao Desenvolvimento da Prática Desportiva – Modalidade Futebol (“Timemania”)</t>
  </si>
  <si>
    <t>Outros Prêmios Prescritos</t>
  </si>
  <si>
    <t>Contribuições para o Regime Próprio de Previdência do Servidor Público</t>
  </si>
  <si>
    <t xml:space="preserve">Contribuição Patronal de Servidor Ativo Civil para o Regime Próprio </t>
  </si>
  <si>
    <t>Contribuição Patronal de Servidor Ativo Militar</t>
  </si>
  <si>
    <t xml:space="preserve">Contribuição Patronal – Inativo Civil </t>
  </si>
  <si>
    <t>Contribuição Patronal – Inativo Militar</t>
  </si>
  <si>
    <t>Contribuição Patronal – Pensionista Civil</t>
  </si>
  <si>
    <t>Contribuição Patronal – Pensionista Militar</t>
  </si>
  <si>
    <t>Contribuição do Servidor Ativo Civil para o Regime Próprio</t>
  </si>
  <si>
    <t>Contribuição de Servidor Ativo Militar</t>
  </si>
  <si>
    <t>Contribuições do Servidor Inativo Civil para o Regime Próprio</t>
  </si>
  <si>
    <t>Contribuições de Servidor Inativo Militar</t>
  </si>
  <si>
    <t>Contribuições de Pensionista Civil para o Regime Próprio</t>
  </si>
  <si>
    <t>Contribuições de Pensionista Militar</t>
  </si>
  <si>
    <t>Contribuição Previdenciária para Amortização do Déficit Atuarial</t>
  </si>
  <si>
    <t>Contribuição Previdenciária em Regime de Parcelamento de Débitos – RPPS</t>
  </si>
  <si>
    <t>Receita de Recolhimento da Contribuição Patronal, oriunda do Pagamento de Sentenças Judiciais</t>
  </si>
  <si>
    <t>Receita de Recolhimento da Contribuição do Servidor Ativo Civil, oriunda do Pagamento de Sentenças Judiciais</t>
  </si>
  <si>
    <t>Receita de Recolhimento da Contribuição do Servidor Inativo Civil, oriunda do Pagamento de Sentenças Judiciais</t>
  </si>
  <si>
    <t>Receita de Recolhimento de Pensionista Civil, oriunda do Pagamento de Sentenças Judiciais</t>
  </si>
  <si>
    <t>Contribuições Previdenciárias para o Regime Geral de Previdência Social</t>
  </si>
  <si>
    <t>Contribuição Previdenciária do Segurado Obrigatório – Contribuinte Individual</t>
  </si>
  <si>
    <t>Contribuição do Segurado Assalariado</t>
  </si>
  <si>
    <t>Contribuição Previdenciária da Empresa sobre Segurado Assalariado</t>
  </si>
  <si>
    <t>Contribuição Previdenciária da Empresa Optante pelo SIMPLES</t>
  </si>
  <si>
    <t>Contribuição Previdenciária sobre Espetáculo Desportivo</t>
  </si>
  <si>
    <t>Contribuição Previdenciária sobre a Produção Rural</t>
  </si>
  <si>
    <t>Contribuição Previdenciária em Regime de Parcelamento de Débitos – RGPS</t>
  </si>
  <si>
    <t>Contribuição Previdenciária para o Seguro de Acidente do Trabalho</t>
  </si>
  <si>
    <t>Contribuição Previdenciária sobre Reclamatória Trabalhista</t>
  </si>
  <si>
    <t>Contribuição Previdenciária em Regime de Parcelamento de Débito dos Municípios</t>
  </si>
  <si>
    <t>Contribuição Previdenciária do Segurado Obrigatório – Empresário</t>
  </si>
  <si>
    <t>Contribuição Previdenciária do Segurado Facultativo</t>
  </si>
  <si>
    <t>Contribuição Previdenciária do Segurado Especial</t>
  </si>
  <si>
    <t>Contribuição Previdenciária do Segurado Obrigatório – Empregado Doméstico</t>
  </si>
  <si>
    <t>Contribuição Previdenciária dos Órgãos do Poder Público</t>
  </si>
  <si>
    <t>Contribuição Previdenciária das Entidades Filantrópicas</t>
  </si>
  <si>
    <t>Contribuição Previdenciária – Retenção sobre Nota Fiscal – Sub-rogação</t>
  </si>
  <si>
    <t>Arrecadação FIES – Certificados Financeiros do Tesouro Nacional</t>
  </si>
  <si>
    <t>Arrecadação FNS – Certificados Financeiros do Tesouro Nacional</t>
  </si>
  <si>
    <t>Certificados da Dívida Pública – CDP</t>
  </si>
  <si>
    <t>Contribuição Previdenciária na Forma de Depósito Judicial, Recursal e Custas Judiciais</t>
  </si>
  <si>
    <t>Contribuição Previdenciária das Cooperativas de Trabalho Descontadas do Cooperado</t>
  </si>
  <si>
    <t>Receita de Parcelamentos – Contribuição dos Empregadores e Trabalhadores para a Seguridade Social</t>
  </si>
  <si>
    <t>Contribuição Previdenciária da Empresa sobre o Segurado Assalariado Incidente sobre a Receita Bruta</t>
  </si>
  <si>
    <t>Outras Contribuições Previdenciárias</t>
  </si>
  <si>
    <t>Contribuição para o Fundo de Saúde dos Policiais Militares e Bombeiros Militares do Distrito Federal</t>
  </si>
  <si>
    <t>Contribuição para o Fundo de Saúde dos Policiais Militares do Distrito Federal</t>
  </si>
  <si>
    <t>Contribuição para o Fundo de Saúde dos Bombeiros Militares do Distrito Federal</t>
  </si>
  <si>
    <t>Contribuições Rurais</t>
  </si>
  <si>
    <t>Contribuição Industrial Rural</t>
  </si>
  <si>
    <t>Adicional à Contribuição Previdenciária</t>
  </si>
  <si>
    <t>Contribuição e Adicional para o Serviço Nacional de Aprendizagem Comercial – SENAC</t>
  </si>
  <si>
    <t>Contribuição para o Serviço Nacional de Aprendizagem Comercial – SENAC</t>
  </si>
  <si>
    <t>Adicional à Contribuição para o Serviço Nacional de Aprendizagem Comercial – SENAC</t>
  </si>
  <si>
    <t>Contribuição e Adicional para o Serviço Nacional de Aprendizagem Industrial – SENAI</t>
  </si>
  <si>
    <t>Contribuição para o Serviço Nacional de Aprendizagem Industrial – SENAI</t>
  </si>
  <si>
    <t>Adicional à Contribuição para o Serviço Nacional de Aprendizagem Industrial – SENAI</t>
  </si>
  <si>
    <t>Contribuição e Adicional para o Serviço Social do Comércio – SESC</t>
  </si>
  <si>
    <t>Contribuição para o Serviço Social do Comércio – SESC</t>
  </si>
  <si>
    <t>Adicional à Contribuição para o Serviço Social do Comércio – SESC</t>
  </si>
  <si>
    <t>Contribuição e Adicional para o Serviço Social da Indústria – SESI</t>
  </si>
  <si>
    <t>Contribuição para o Serviço Social da Indústria – SESI</t>
  </si>
  <si>
    <t>Adicional à Contribuição ao Serviço Social da Indústria – SESI</t>
  </si>
  <si>
    <t>Contribuições para o Programa de Integração Social e de Formação do Patrimônio do Servidor Público – PIS/PASEP</t>
  </si>
  <si>
    <t>Receita do Principal das Contribuições para o PIS/PASEP</t>
  </si>
  <si>
    <t>Receita de Parcelamentos – Contribuições para o PIS/PASEP</t>
  </si>
  <si>
    <t>Contribuição Social sobre o Lucro das Pessoas Jurídicas</t>
  </si>
  <si>
    <t>Receita do Principal da Contribuição Social sobre o Lucro das Pessoas Jurídicas</t>
  </si>
  <si>
    <t>Receita de Parcelamentos – Contribuição Social sobre o Lucro das Pessoas Jurídicas</t>
  </si>
  <si>
    <t>Contribuição para o Serviço Nacional de Aprendizagem Rural – SENAR</t>
  </si>
  <si>
    <t>Contribuição para o Serviço Social do Transporte – SEST</t>
  </si>
  <si>
    <t>Contribuição para o Serviço Nacional de Aprendizagem do Transporte – SENAT</t>
  </si>
  <si>
    <t>Contribuição para o Serviço Brasileiro de Apoio às Micro e Pequenas Empresas – SEBRAE</t>
  </si>
  <si>
    <t>Contribuição para o Serviço Nacional de Aprendizagem do Cooperativismo – SESCOOP</t>
  </si>
  <si>
    <t>Contribuição sobre Jogos de Bingo</t>
  </si>
  <si>
    <t>Contribuição Relativa à Despedida de Empregado sem Justa Causa</t>
  </si>
  <si>
    <t>Contribuição sobre a Remuneração Devida ao Trabalhador</t>
  </si>
  <si>
    <t>Outras Contribuições Sociais</t>
  </si>
  <si>
    <t>Contribuições de Intervenção no Domínio Econômico</t>
  </si>
  <si>
    <t>Contribuição para o Programa de Integração Nacional – PIN</t>
  </si>
  <si>
    <t>Contribuição para o Programa de Redistribuição de Terras e de Estímulo à Agroindústria do Norte e do Nordeste – PROTERRA</t>
  </si>
  <si>
    <t>Contribuições para o Desenvolvimento e Aperfeiçoamento das Atividades de Fiscalização</t>
  </si>
  <si>
    <t>Contribuições sobre Selo Especial de Controle</t>
  </si>
  <si>
    <t>Contribuições sobre as Lojas Francas, Entrepostos Aduaneiros e Depósitos Alfandegados</t>
  </si>
  <si>
    <t>Outras Contribuições para o Desenvolvimento e Aperfeiçoamento das Atividades de Fiscalização</t>
  </si>
  <si>
    <t>Contribuição sobre Apostas em Competições Hípicas</t>
  </si>
  <si>
    <t>Contribuição para o Desenvolvimento da Indústria Cinematográfica Nacional – CONDECINE</t>
  </si>
  <si>
    <t>Receita de Remessa de Rendimentos da Exploração de Obras Cinematográficas e Videofonográficas</t>
  </si>
  <si>
    <t>Receita de Veiculação de Obras Cinematográficas e Videofonográficas com Fins Comerciais</t>
  </si>
  <si>
    <t>Receita de Distribuição de Conteúdos Audiovisuais por Prestadores de Serviço de Acesso Condicionado</t>
  </si>
  <si>
    <t>Adicional sobre as Tarifas de Passagens Aéreas Domésticas</t>
  </si>
  <si>
    <t>Cota-parte do Adicional ao Frete para Renovação da Marinha Mercante</t>
  </si>
  <si>
    <t>Contribuição sobre a Receita das Concessionárias e Permissionárias de Energia Elétrica</t>
  </si>
  <si>
    <t>Contribuição pela Licença de Uso, Aquisição ou Transferência de Tecnologia</t>
  </si>
  <si>
    <t>Contribuição sobre a Receita das Empresas Prestadoras de Serviços de Telecomunicações</t>
  </si>
  <si>
    <t>Contribuição sobre a Receita Operacional Bruta, Decorrente de Prestação de Serviços de Telecomunicações</t>
  </si>
  <si>
    <t>Contribuição sobre a Receita Bruta das Empresas Prestadoras de Serviços de Telecomunicações</t>
  </si>
  <si>
    <t>Contribuição Relativa às Atividades de Importação e Comercialização de Petróleo e seus Derivados, Gás Natural e Álcool Carburante</t>
  </si>
  <si>
    <t>Contribuição Relativa às Atividades de Importação de Petróleo e seus derivados, Gás Natural e Álcool Carburante</t>
  </si>
  <si>
    <t>Contribuição Relativa às Atividades de Comercialização de Petróleo e seus Derivados, Gás Natural e Álcool Carburante</t>
  </si>
  <si>
    <t>Receita de Parcelamentos – Contribuição Relativa às Atividades de Comercialização de Petróleo e seus Derivados, Gás Natural e Álcool Carburante</t>
  </si>
  <si>
    <t>Contribuição para o Fomento da Radiodifusão Pública</t>
  </si>
  <si>
    <t>Contribuição sobre o Faturamento das Empresas de Informática</t>
  </si>
  <si>
    <t xml:space="preserve">Contribuição sobre o Faturamento das Empresas de Informática Instaladas na Amazônia </t>
  </si>
  <si>
    <t>Contribuição sobre o Faturamento das Empresas de Informática Instaladas na Amazônia – Principal</t>
  </si>
  <si>
    <t>Contribuição sobre o Faturamento das Empresas de Informática Instaladas na Amazônia – Excedente</t>
  </si>
  <si>
    <t>Contribuição sobre o Faturamento das Empresas de Informática Instaladas na Amazônia – Residual</t>
  </si>
  <si>
    <t>Contribuição sobre o Faturamento das Empresas de Informática Instaladas na Amazônia - Parcelamento de Débitos</t>
  </si>
  <si>
    <t>Contribuição sobre o Faturamento das Empresas de Informática Instaladas nas Demais Regiões</t>
  </si>
  <si>
    <t>Contribuição sobre o Faturamento das Empresas de Informática Instaladas nas Demais Regiões – Principal</t>
  </si>
  <si>
    <t>Contribuição sobre o Faturamento das Empresas de Informática Instaladas nas Demais Regiões – Excedente</t>
  </si>
  <si>
    <t>Contribuição sobre o Faturamento das Empresas de Informática Instaladas nas Demais Regiões – Residual</t>
  </si>
  <si>
    <t>Contribuição sobre o Faturamento das Empresas de Informática Instaladas nas Demais Regiões - Parcelamento de Débitos</t>
  </si>
  <si>
    <t>Outras Contribuições Econômicas</t>
  </si>
  <si>
    <t>Outras Contribuições Econômicas – Principal</t>
  </si>
  <si>
    <t>Parcelamentos – Outras Contribuições Econômicas</t>
  </si>
  <si>
    <t>Contribuição para o Custeio do Serviço de Iluminação Pública</t>
  </si>
  <si>
    <t>Registra o valor total da arrecadação de receita de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o custeio, em beneficio destes, de sistemas de previdência e assistência social.</t>
  </si>
  <si>
    <t>Registra o valor total da arrecadação com contribuições sociais constituídas por ordem social e profissional.</t>
  </si>
  <si>
    <t>Registra o valor total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</si>
  <si>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Registra o valor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</si>
  <si>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Registra o valor decorrente de parcelamentos da Contribuição para o Financiamento da Seguridade Social, no âmbito do Programa de Recuperação Fiscal - REFIS e do Programa Especial de Parcelamento de Débito – PAES, criados respectivamente por meio das leis nº 9.964/2000 e 10.684/2003.</t>
  </si>
  <si>
    <t>Registra o valor total da arrecadação de contribuição social destinada ao salário-educação. Esta contribuição social destina-se a financiar parcialmente as despesas com o ensino básico. Calculada sobre o valor da folha do salário de contribuição, no caso das empresas vinculadas à previdência social urbana, e sobre o valor comercial dos produtos agrícolas, no caso das empresas vinculadas à previdência social rural. Um por cento da arrecadação é destinada ao INSS, a título de taxa de administração, e, do restante, 2/3 em favor da unidade da federação onde houver sido efetuada a arrecadação, destinando-se os recursos às respectivas Secretarias de Educação; 1/3 em favor da União como receita vinculada ao Fundo Nacional de Desenvolvimento da Educação – FNDE.</t>
  </si>
  <si>
    <t>Registra o valor total da arrecadação de cota-parte da contribuição sindical. Corresponde a 20% da arrecadação da contribuição sindical (no caso da contribuição rural, o percentual é de 10%). Constitui-se em uma contribuição parafiscal equivalente a um dia de remuneração de todo o trabalhador do mercado formal de trabalho. Integra o orçamento da seguridade social.</t>
  </si>
  <si>
    <t>Registra o valor total da arrecadação de contribuição para ensino aeroviário. Contribuição pelos serviços de aviação civil, devida pelas empresas de: transporte e serviços aéreos; telecomunicações aeronáuticas; atividades relacionadas à infra-estrutura aeroportuária; e fabricação, reparo e manutenção, ou representação, de aeronaves e equipamentos aeronáuticos. Calculada sobre o salário de contribuição dos empregados.</t>
  </si>
  <si>
    <t>Registra o valor total da arrecadação de contribuição para custear o desenvolvimento do ensino profissional marítimo. Contribuição pela prestação de serviços de navegação, devida pelas empresas de navegação marítima, fluvial ou lacustre, de serviços portuários, de dragagem e de administração e de exploração de portos. Calculada sobre o salário de contribuição dos empregados.</t>
  </si>
  <si>
    <t>Registra o valor da receita incidente sobre o soldo dos militares e destina-se à constituição de Fundos de Saúde, em cada uma das Forças Armadas, que visem ao custeio do atendimento médico-hospitalar de militares e de seus dependentes (Lei nº 6.880, de 09/12/80; Dec. 95.512, de 02/04/86).</t>
  </si>
  <si>
    <t>Registra o valor total da contribuição da arrecadação dos fundos de investimentos regionais. Contribuição oriunda da dedução de 1% (um por cento) da arrecadação dos fundos de investimentos regionais (FINAM, FINOR e FUNRES), obedecida na aplicação a respectiva origem geográfica regional.</t>
  </si>
  <si>
    <t xml:space="preserve">Registra o valor total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 </t>
  </si>
  <si>
    <t>Registra o valor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t>
  </si>
  <si>
    <t>Registra o valor decorrente de parcelamentos da Contribuição sobre Movimentação ou Transmissão de Valores e de Créditos e Direitos de Natureza Financeira, no âmbito do Programa de Recuperação Fiscal - REFIS e do Programa Especial de Parcelamento de Débito – PAES, criados respectivamente por meio das leis nº 9.964/2000 e 10.684/2003.</t>
  </si>
  <si>
    <t>Registra o valor total da arrecadação de contribuição para custeio das pensões militares, efetivadas por todos os militares, com valor correspondente a seu posto ou graduação, observando as exceções previstas na lei específica. De competência da União.</t>
  </si>
  <si>
    <t>Registra o valor da receita arrecadada correspondente a 8% da receita bruta auferida nos sorteios realizados por entidades filantrópicas, a ser rateado da seguinte forma: a)</t>
  </si>
  <si>
    <t>Registra o valor da arrecadação de receitas advindas de contribuições de loterias federais. A CEF, com base nas decomposições de arrecadações previstas nos anexos da Portaria MF nº 233, de 09/07/02, fará a apuração e o repasse dos valores que compõem o recolhimento ao Tesouro Nacional, por modalidade de loteria federal, mediante quitação de Documentos de Arrecadação de Receitas Federais – DARF.</t>
  </si>
  <si>
    <t>Registra o valor da arrecadação da contribuição sobre a receita da loteria federal.</t>
  </si>
  <si>
    <t>Registra o valor da arrecadação da contribuição sobre a receita de loterias esportivas.</t>
  </si>
  <si>
    <t>Registra o valor da arrecadação da contribuição sobre a receita de concursos especiais de loterias esportivas.</t>
  </si>
  <si>
    <t>Registra o valor da arrecadação da contribuição sobre a receita de loterias de números.</t>
  </si>
  <si>
    <t>Registra o valor da arrecadação da contribuição sobre a receita da loteria instantânea.</t>
  </si>
  <si>
    <t>Registra o valor da receita proveniente dos prêmios não procurados pelos contemplados dentro do prazo de prescrição, conforme preceitua a Lei nº 9.288, de 1º de julho de 1996, art. 5º, §3º. Os recursos são vinculados ao Fundo de Financiamento ao Estudante de Ensino Superior – FIES.</t>
  </si>
  <si>
    <t>Registra o valor da arrecadação de outros concursos de prognósticos, deduzidos os valores destinados ao pagamento de prêmios, de impostos e de despesas com a administração.</t>
  </si>
  <si>
    <t>Registra o valor da arrecadação do concurso de prognóstico destinado ao desenvolvimento da prática desportiva, modalidade futebol, deduzidos os valores destinados ao pagamento de prêmios, de impostos e de despesas com a administração.</t>
  </si>
  <si>
    <t>Registra o valor da arrecadação dos concursos de prognósticos, decorrente de prêmios sorteados, ou ganhos em concurso, não decorrentes de loterias federais; e não reclamados nos prazos previstos, deduzidos os valores de impostos e despesas com a administração.</t>
  </si>
  <si>
    <t>Registra o valor da arrecadação de receita de contribuições patronal e do servidor, destinadas ao custeio do seu regime de previdência, conforme disposto no art. 40 da Constituição Federal.</t>
  </si>
  <si>
    <t>Registra o valor da arrecadação de receita de contribuições patronais de servidor ativo militar de entidades para institutos de previdência social.</t>
  </si>
  <si>
    <t>Registra o valor da arrecadação de receita de contribuição de entidades para institutos de previdência social, relativa a servidor inativo civil.</t>
  </si>
  <si>
    <t>Registra o valor da arrecadação de receita de contribuição de entidades para institutos de previdência social, relativa a inativo militar.</t>
  </si>
  <si>
    <t>Registra o valor da arrecadação de receita de contribuição de entidades para institutos de previdência social, relativa a pensionista civil.</t>
  </si>
  <si>
    <t>Registra o valor da arrecadação de receita de contribuição de entidades para institutos de previdência social, relativa a pensionista militar.</t>
  </si>
  <si>
    <t>Registra o valor da arrecadação de receita de contribuições dos servidores civis ativos dos Entes da Federação, suas autarquias e fundações.</t>
  </si>
  <si>
    <t>Registra o valor da arrecadação de receita de contribuições de servidor ativo militar para institutos de previdência social.</t>
  </si>
  <si>
    <t>Registra o valor da arrecadação de receita da contribuição dos servidores civis inativos para os institutos de previdência social.</t>
  </si>
  <si>
    <t>Registra o valor da arrecadação de receita de contribuições de servidor inativo militar para institutos de previdência social.</t>
  </si>
  <si>
    <t>Registra o valor da arrecadação de receita da contribuição dos pensionistas civis para institutos de previdência social.</t>
  </si>
  <si>
    <t>Registra o valor da arrecadação de receita de contribuições de pensionistas militares para institutos de previdência social.</t>
  </si>
  <si>
    <t>Registra o valor da arrecadação de receita decorrente da aplicação, durante determinado período, de alíquota suplementar prevista em Lei, para a amortização do déficit atuarial do Regime Próprio de Previdência do Servidor – RPPS, a fim de equilibrar o plano de previdência.</t>
  </si>
  <si>
    <t>Receita decorrente da arrecadação de receitas de contribuições originárias de parcelamento administrativo dos créditos previdenciários não recolhidos aos cofres do RPPS no seu vencimento.</t>
  </si>
  <si>
    <t>Registra a receita oriunda do pagamento de sentenças judiciais decorrentes do recolhimento da contribuição de servidor ativo civil para o regime próprio.</t>
  </si>
  <si>
    <t>Registra a receita oriunda do pagamento de sentenças judiciais decorrentes do recolhimento da contribuição de servidor inativo civil para o regime próprio.</t>
  </si>
  <si>
    <t>Receita oriunda do pagamento de sentenças judiciais decorrentes do recolhimento de pensionista civil para o regime próprio.</t>
  </si>
  <si>
    <t>Registra o valor da arrecadação de contribuições efetuadas à Previdência Social por segurados em geral, empregados domésticos, autônomos e empregadores. Incide sobre o salário de contribuição, em percentuais diferenciados. Está vinculada ao Fundo de Regime Geral de Previdência Social.</t>
  </si>
  <si>
    <t>Registra o valor da arrecadação de receita de contribuição de pessoas físicas que exercem, por conta própria, atividade econômica de natureza urbana, com fins lucrativos ou não.</t>
  </si>
  <si>
    <t>Registra o valor da arrecadação de receita de contribuições previdenciárias do segurado empregado inclusive o doméstico, e a do trabalhador avulso sobre o seu salário-de-contribuição mensal.</t>
  </si>
  <si>
    <t>Registra o valor da arrecadação de receita de contribuições previdenciárias da empresa, para a seguridade social, sobre o total das remunerações pagas ou creditadas no decorrer do mês aos segurados empregados, empresários, trabalhadores avulsos, autônomos e equiparados que lhe prestem serviço.</t>
  </si>
  <si>
    <t xml:space="preserve">Registra o valor da arrecadação de receita de contribuições previdenciárias de percentuais favorecidos e progressivos, incidentes sobre a receita bruta de empresas de pequeno porte e microempresas. As contribuições no regime tributário do SIMPLES substituem as contribuições previdenciárias patronais incidentes sobre: a) remuneração de empregado; b) remuneração de trabalhadores avulsos e contribuintes individuais; c) receita bruta da comercialização da produção rural auferida pelo produtor rural pessoa jurídica. </t>
  </si>
  <si>
    <t>Registra o valor da arrecadação de receita de contribuições previdenciárias das associações desportivas, decorrente dos espetáculos desportivos de que participem em todo território nacional, em qualquer modalidade desportiva, inclusive jogos internacionais, de qualquer forma de patrocínio, licenciamento de uso de marcas e símbolos, publicidade, propaganda e transmissão de espetáculos desportivos.</t>
  </si>
  <si>
    <t>Registra o valor da arrecadação de receita de contribuições previdenciárias do empregador rural para a seguridade social, proveniente da receita bruta da comercialização dos produtos rurais.</t>
  </si>
  <si>
    <t>Registra o valor da arrecadação de receitas decorrentes do parcelamento das contribuições sociais em atraso. O parcelamento do pagamento das contribuições sociais em atraso dar-se-á mediante adicional de 20% que incidirá sobre as multas de mora relativas às contribuições atrasadas. Além disso, tais parcelas serão corrigidas pela taxa de juros SELIC.</t>
  </si>
  <si>
    <t>Registra o valor da arrecadação de receita de contribuições previdenciárias para o custeio dos benefícios concedidos em razão do grau de incidência de incapacidade laboral decorrente dos riscos ambientais do trabalho, sobre o total das remunerações pagas ou creditadas, no decorrer do mês, aos segurados empregados e trabalhadores avulsos.</t>
  </si>
  <si>
    <t>Registra o valor da arrecadação de receita de contribuições previdenciárias de valores correspondentes a parcelas integrantes do salário-de-contribuição, à vista ou parcelado, resultante de sentença condenatória ou de conciliação homologada, efetivado diretamente ao credor ou mediante depósito da condenação para extinção do processo ou liberação de depósito judicial ao credor ou a seu representante legal.</t>
  </si>
  <si>
    <t>Registra o valor da receita com recursos provenientes de parcelas de débitos dos Municípios para com o Instituto Nacional do Seguro Social – INSS.</t>
  </si>
  <si>
    <t>Registra o valor da receita de contribuições previdenciárias do titular de firma individual, diretor não empregado, membro de conselho de administração e assemelhados.</t>
  </si>
  <si>
    <t>Registra o valor da receita com contribuição previdenciária do maior de 16 (dezesseis) anos de idade que se filia ao Regime Geral de Previdência Social, mediante contribuição, desde que não esteja exercendo atividade remunerada que o enquadre como segurado obrigatório.</t>
  </si>
  <si>
    <t>Registra o valor da receita com contribuição previdenciária do segurado especial. Considera-se segurado especial, o produtor, o parceiro, o meeiro e o arrendatário rurais, o pescador artesanal e o assemelhado, que exerçam essas atividades individualmente ou em regime de economia familiar, com ou sem auxílio eventual de terceiros, bem como seus respectivos cônjuges ou companheiros e filhos maiores de 16 (dezesseis) anos de idade ou a eles equiparados, desde que trabalhem comprovadamente com o grupo familiar respectivo.</t>
  </si>
  <si>
    <t>Registra o valor da receita com contribuições previdenciárias do empregado doméstico. Considera-se empregado doméstico aquele que presta serviço de natureza contínua, mediante remuneração mensal, a pessoa ou família, em atividades sem fins lucrativos.</t>
  </si>
  <si>
    <t>Registra o valor da receita com contribuições previdenciárias dos órgãos do poder público. Consideram-se órgãos do setor público os órgãos e entidades da administração pública direta, indireta e fundacional.</t>
  </si>
  <si>
    <t>Registra o valor da arrecadação de receita de contribuição previdenciária das entidades filantrópicas.</t>
  </si>
  <si>
    <t>Registra o valor da receita arrecadada de contribuição previdenciária – retenção sobre nota fiscal – sub-rogação. Entende-se por retenção o valor referente à antecipação compensável relativo à parcela de 11% descontada pela empresa contratante, do valor bruto dos serviços realizados e constantes da nota fiscal, fatura ou recibo.</t>
  </si>
  <si>
    <t>Registra o valor total de Arrecadação do Fundo de Financiamento ao Estudante do Ensino Superior – FIES – Certificados Financeiros do Tesouro Nacional.</t>
  </si>
  <si>
    <t>Registra o valor total de Arrecadação do Fundo Nacional de Saúde – FNS – Certificados Financeiros do Tesouro Nacional.</t>
  </si>
  <si>
    <t>Registra o valor da receita com o Certificado da Dívida Pública – CDP – que é emitido pela Secretaria do Tesouro Nacional –STN, para ser utilizado no pagamento de dívidas previdenciárias cujos fatos geradores tenham ocorrido até março de 1999.</t>
  </si>
  <si>
    <t>Registra o valor da arrecadação de receita de contribuição previdenciária na forma de depósito judicial, recursal e custas judiciais.</t>
  </si>
  <si>
    <t>Registra o valor da arrecadação da receita proveniente da contribuição previdenciária das Cooperativas de Trabalho. Contribuição adicional arrecadada pela empresa, descontada da remuneração do segurado contribuinte individual a seu serviço.</t>
  </si>
  <si>
    <t>Registra o valor decorrente de parcelamentos da Contribuição dos Empregadores e Trabalhadores para a Seguridade Social, no âmbito do Programa de Recuperação Fiscal - REFIS, criado por meio da lei nº 9.964/2000.</t>
  </si>
  <si>
    <t>Registra as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na MP nº 540,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</si>
  <si>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Registra o valor da arrecadação de receita de outras contribuições previdenciárias não classificadas nos itens anteriores.</t>
  </si>
  <si>
    <t>Registra a receita de Contribuição para o Fundo de Saúde dos Policiais Militares e Bombeiros Militares do Distrito Federal.</t>
  </si>
  <si>
    <t>Registra a receita de Contribuição para o Fundo de Saúde dos Policiais Militares do Distrito Federal.</t>
  </si>
  <si>
    <t>Registra a receita de Contribuição para o Fundo de Saúde dos Bombeiros Militares do Distrito Federal.</t>
  </si>
  <si>
    <t>Registra o total da arrecadação de receita de contribuições previdenciárias rurais, de acordo com o plano de custeio da previdência social – Lei nº 8.212, de 24/07/91.</t>
  </si>
  <si>
    <t>Registra o valor da arrecadação de receita de contribuições sociais de pessoas naturais, incidentes sobre a folha de salários, e jurídicas, inclusive cooperativas, que exerçam as seguintes atividades agro-industriais: indústria de cana-de-açúcar, de laticínios, de beneficiamento de chá e de mate, indústria da uva, de extração e beneficiamento de fibras vegetais e de descaroçamento de algodão, de beneficiamento de café, de extração de madeira para serraria, de resina, lenha e carvão vegetal, e matadouros ou abatedouros de animais de quaisquer espécies e charqueadas.</t>
  </si>
  <si>
    <t>Registra o valor da arrecadação de receita adicional à contribuição previdenciária sobre a folha mensal total de salários dos empregados das empresas em geral.</t>
  </si>
  <si>
    <t>Registra o valor da arrecadação de contribuição e adicional à contribuição para o Serviço Nacional de Aprendizagem Comercial – SENAC.</t>
  </si>
  <si>
    <t>Registra o valor da arrecadação de contribuições sociais destinadas ao subsídio das atividades do SENAC. Obrigação patronal incidente sobre a folha de salários de contribuição de estabelecimentos comerciais ou empresas de atividades mistas que explorem assessoriamente quaisquer ramos peculiares de atividade comercial. É arrecadada pelo INSS, que se encarrega do repasse ao SENAC.</t>
  </si>
  <si>
    <t>Registra o valor da arrecadação do adicional criado para atender à execução da política de apoio às micro e às pequenas empresas do Serviço Brasileiro de Apoio às Micro e Pequenas Empresas – SEBRAE. O adicional é recolhido pelo INSS e repassado ao SEBRAE.</t>
  </si>
  <si>
    <t>Registra o valor da arrecadação da contribuição e adicional à contribuição destinados a subsidiar as atividades do Serviço Nacional de Aprendizagem Industrial – SENAI.</t>
  </si>
  <si>
    <t>Registra o valor da arrecadação de contribuições sociais destinadas a subsidiar as atividades do SENAI. Obrigação patronal incidente sobre a folha de salários de contribuição das empresas das categorias econômicas da indústria, das comunicações e da pesca. Destina-se à aplicação pelo SENAI no desenvolvimento da aprendizagem industrial. É arrecadada pelo INSS, que se encarrega do repasse ao SENAI.</t>
  </si>
  <si>
    <t>Registra o valor da arrecadação de contribuição e adicional à contribuição para o Serviço Social do Comércio – SESC.</t>
  </si>
  <si>
    <t>Registra o valor da arrecadação de contribuições sociais destinadas ao subsídio das atividades do Serviço Social do Comércio. Obrigação patronal incidente sobre a folha de salários de contribuição de estabelecimentos comerciais e assemelhados. Destina-se à aplicação no estudo, planejamento e execução de medidas que contribuam para o bem-estar social e para a melhoria do padrão de vida dos comerciários. É arrecadada pelo INSS, que se encarrega do repasse para o SESC.</t>
  </si>
  <si>
    <t>Registra o valor da arrecadação de adicional criado para atender a execução da política de apoio às micro e às pequenas empresas do Serviço Brasileiro de Apoio às Micro e Pequenas Empresas – SEBRAE. O adicional é recolhido pelo INSS e repassado ao SEBRAE.</t>
  </si>
  <si>
    <t>Registra o valor da arrecadação de contribuição e adicional à contribuição para o Serviço Social da Indústria – SESI.</t>
  </si>
  <si>
    <t>Registra o valor da arrecadação de contribuições sociais destinadas ao subsídio das atividades do SESI. Obrigação patronal incidente sobre a folha de salários de contribuição de estabelecimentos industriais e assemelhados. Destina-se à aplicação no estudo, planejamento e execução de medidas que contribuam diretamente para o bem-estar social de seus trabalhadores. É arrecadada pelo INSS, que se encarrega do repasse para o SESI.</t>
  </si>
  <si>
    <t>Registra o valor total incidente sobre a receita operacional bruta de empresas públicas e privadas, sobre a folha de pagamento das entidades sem fins lucrativos, e sobre a receita corrente líquida de transferências da União, estados, municípios, DF e autarquias. Destina-se ao Fundo de Amparo ao Trabalhador – FAT, para o custeio do Programa de Seguro Desemprego e concessão de abonos salariais. Pelo menos 40% serão repassados ao BNDES para aplicação em programas de desenvolvimento econômico. Integra o orçamento da Seguridade Social.</t>
  </si>
  <si>
    <t>Registra o valor incidente sobre a receita operacional bruta de empresas públicas e privadas, sobre a folha de pagamento das entidades sem fins lucrativos, e sobre a receita corrente líquida de transferências da União, Estados, municípios, DF e autarquias.</t>
  </si>
  <si>
    <t xml:space="preserve">Registra o valor decorrente de parcelamentos das Contribuições para os Programas de Integração Social - PIS e de Formação do Patrimônio do Servidor Público - PASEP, no âmbito do Programa de Recuperação Fiscal - REFIS e do Programa Especial de Parcelamento de Débito – PAES, criados respectivamente por meio das leis nº 9.964/2000 e 10.684/2003. </t>
  </si>
  <si>
    <t>Registra o valor total da arrecadação de receita de contribuições sociais do lucro líquido do exercício, já computado o próprio valor da Contribuição Social devida, antes da provisão para o Imposto de Renda.</t>
  </si>
  <si>
    <t>Registra o valor da arrecadação de receita de contribuições sociais do lucro líquido do exercício, já computado o próprio valor da Contribuição Social devida, antes da provisão para o Imposto de Renda.</t>
  </si>
  <si>
    <t>Registra o valor decorrente de parcelamentos da Contribuição Social sobre o Lucro das Pessoas Jurídicas, no âmbito do Programa de Recuperação Fiscal - REFIS e do Programa Especial de Parcelamento de Débito – PAES, criados respectivamente por meio das leis nº 9.964/2000 e 10.684/2003.</t>
  </si>
  <si>
    <t>Registra o valor da arrecadação de contribuição destinada a subsidiar as atividades do Serviço Nacional de Aprendizagem – SENAR. Corresponde a 2,5% sobre o montante da remuneração paga aos empregados pelas pessoas jurídicas de direito privado, ou a elas equiparadas, que exerçam atividades agroindustriais, agropecuárias, extrativistas vegetais e animais, cooperativistas rurais e sindicais patronais rurais. É arrecadada pelo INSS e repassada ao SENAR para aplicação na formação profissional rural e na promoção social do trabalhador rural.</t>
  </si>
  <si>
    <t>Registra o valor da contribuição para o Serviço Social do Transporte – SEST. Obrigação patronal incidente sobre a folha de salários das empresas de transporte rodoviário e dos transportadores autônomos, na razão de 1,5% do salário de contribuição previdenciária. Recolhida a partir de janeiro/1994, destina-se a apoiar programas voltados para a promoção social do trabalhador de transporte rodoviário e do transportador autônomo, notadamente nos campos da alimentação, saúde, cultura, lazer e segurança no trabalho. É arrecadado pelo INSS, que se encarrega do repasse ao SEST.</t>
  </si>
  <si>
    <t>Registra o valor da contribuição para o Serviço Nacional de Aprendizagem do Transporte – SENAT. Obrigação patronal incidente sobre a folha de salários das empresas de transporte rodoviário e dos transportadores autônomos, na razão de 1% do salário de contribuição previdenciária. Recolhida a partir de janeiro/1994, destina-se a apoiar programas voltados para a aprendizagem do trabalhador em transporte rodoviário e do transportador autônomo, notadamente nos campos de preparação, treinamento, aperfeiçoamento e formação profissional. É arrecadada pelo INSS, que se encarrega do repasse ao SENAT.</t>
  </si>
  <si>
    <t>Registra o valor da contribuição para o Serviço Brasileiro de Apoio às Micro e Pequenas Empresas – SEBRAE. Receita proveniente de contribuições mensais de empresas ao Instituto Nacional de Seguridade Social – INSS –, por meio de Guia de Recolhimento da Previdência Social, e repassado ao SEBRAE no prazo de 30 dias após a sua arrecadação. Os recursos arrecadados terão como objetivo primordial apoiar o desenvolvimento das micro e pequenas empresas por meio de projetos que visem ao seu aperfeiçoamento técnico, racionalização e capacitação gerencial.</t>
  </si>
  <si>
    <t>Registra o valor da receita arrecadada sobre a receita de contribuição mensal compulsória de 2,5% sobre o montante da remuneração paga a todos os empregados pelas cooperativas. É recolhida pela Previdência Social e repassada ao SESCOOP. (MP n° 1961-18, de 06/01/2000)</t>
  </si>
  <si>
    <t>Registra o valor da arrecadação de receita de contribuições sociais de sorteio dos jogos de bingos permanentes ou eventuais.</t>
  </si>
  <si>
    <t>Registra o valor da arrecadação de receita de contribuições previdenciárias devidas pelos empregadores em caso de despedida de empregado sem justa causa.</t>
  </si>
  <si>
    <t>Registra o valor da arrecadação de receita de contribuições previdenciárias de remuneração paga ou devida ao trabalhador.</t>
  </si>
  <si>
    <t>Registra o valor total da arrecadação das demais contribuições sociais não contempladas neste plano de contas.</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</si>
  <si>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PIN tem como objetivo promover a maior integração à economia nacional das regiões compreendidas nas áreas de atuação da SUDAM e da SUDENE. Os recursos são aplicados em programas e projetos considerados prioritários pela SUDAM e SUDENE.</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</si>
  <si>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PROTERRA tem como objetivo promover o mais fácil acesso do homem a terra, criar melhores condições de emprego de mão-de-obra e fomentar a agroindústria nas regiões compreendidas nas áreas de atuação da SUDAM e da SUDENE. Os recursos são aplicados em programas e projetos considerados prioritários pela SUDAM e SUDENE.</t>
  </si>
  <si>
    <t>Registra o valor da arrecadação de receita de contribuições econômicas para financiar o reaparelhamento e o reequipamento e a atender aos demais encargos específicos inerentes ao desenvolvimento e ao aperfeiçoamento das atividades de fiscalização dos tributos.</t>
  </si>
  <si>
    <t>Registra o valor da arrecadação de receita de contribuições econômicas de ressarcimento de selos de controle destinados a cigarros e bebidas.</t>
  </si>
  <si>
    <t xml:space="preserve">Registra o valor da arrecadação de receita de contribuições econômicas de ressarcimento das despesas administrativas decorrentes das atividades extraordinárias de fiscalização, devida por: - permissionários de regime de entreposto aduaneiro na importação de uso público; - concessionários de lojas francas; - beneficiários de Depósito Especial Alfandegado; - permissionários de local alfandegado de uso público; - análise e laudos laboratoriais realizados na importação de produtos das indústrias químicas e paraquímicas e alimentícias. </t>
  </si>
  <si>
    <t>Registra o valor de outras contribuições para o desenvolvimento e aperfeiçoamento das atividades de fiscalização, não classificadas nos itens anteriores.</t>
  </si>
  <si>
    <t>Registra o valor da arrecadação de receita de contribuições econômicas de apostas de cada entidade turística, a cada mês.</t>
  </si>
  <si>
    <t>Registra as contribuições incidentes sobre as diversas atividades ligadas à Indústria Cinematográfica e Videofonográfica, relacionadas no art. 32 da Medida Provisória - MP nº 2.228, de 6 de setembro de 2001.</t>
  </si>
  <si>
    <t>Registra as contribuições incidentes sobre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 nos termos do parágrafo único do art. 32 da Medida Provisória - MP nº 2.228-1, de 6 de setembro de 2001.</t>
  </si>
  <si>
    <t>Registra as contribuições incidentes sobre a veiculação, a produção, o licenciamento e a distribuição de obras cinematográficas e videofonográficas com fins comerciais, por segmento de mercado a que forem destinadas, bem como sobre a veiculação ou distribuição de obra audiovisual publicitária incluída em programação internacional, nos termos dos incisos I e III do art. 32 da Medida Provisória - MP nº 2.228-1, de 6 de setembro de 2001.</t>
  </si>
  <si>
    <t>Registra as contribuições incidentes sobre a prestação de serviços que se utilizem de meios que possam, efetiva ou potencialmente, distribuir conteúdos audiovisuais nos termos da lei que dispõe sobre a comunicação audiovisual de acesso condicionado.</t>
  </si>
  <si>
    <t>Registra o valor da arrecadação de receita de contribuições econômicas do adicional das tarifas de passagens aéreas das linhas domésticas, operadas pelas empresas de transporte aéreo regular, inclusive as de transporte aéreo regional e os trechos de cabotagem.</t>
  </si>
  <si>
    <t xml:space="preserve">Registra o valor da contribuição incidente sobre o valor do frete cobrado no transporte de qualquer carga, por via marítima, fluvial ou lacustre. Os recursos se destinam ao Fundo de Marinha Mercante – FMM; à empresa brasileira de navegação, operando embarcação própria ou fretada de registro brasileiro; e 36% do AFMM gerado na navegação de longo curso por empresa brasileira operando embarcação de registro brasileiro é destinado a uma conta especial. Essa contribuição é aplicada prioritariamente na aquisição de embarcações novas, para uso próprio das empresas de navegação construídas em estaleiros brasileiros; no reparo, manutenção e modernização de embarcações, realizadas por empresas nacionais; e em pagamentos de amortizações e encargos concedidos com recursos do Fundo da Marinha Mercante. Pode também ser aplicada a fundo perdido, nos casos previstos em lei. </t>
  </si>
  <si>
    <t>Registra o valor da contribuição correspondente a 60% dos recursos da obrigação de que as concessionárias e permissionárias de energia elétrica apliquem o mínimo de 1% de sua receita operacional líquida em pesquisa e desenvolvimento do setor elétrico. Tem como fato gerador a geração, a transmissão e a distribuição pelas concessionárias e permissionárias de serviços públicos de energia elétrica. Para esses recursos, será criada uma categoria de programação específica no âmbito do Fundo Nacional de Desenvolvimento Científico e Tecnológico – FNDCT, para aplicação no financiamento de programas e projetos de pesquisa científica e desenvolvimento tecnológico do setor elétrico, bem como na eficiência no uso final.</t>
  </si>
  <si>
    <t>Registra o valor da arrecadação de receita de contribuições econômicas de intervenção no domínio econômico de empresa detentora de licença de uso ou adquirente de conhecimentos tecnológicos, bem como aquela signatária de contratos que impliquem transferência de tecnologia, firmados com residentes ou domiciliados no exterior.</t>
  </si>
  <si>
    <t xml:space="preserve">Registra o valor da receita arrecadada com a contribuição sobre a receita das empresas prestadoras de serviços de telecomunicações, referente a 1% sobre a receita operacional bruta decorrente da prestação de serviços de telecomunicações para o FUST, e 0,5% sobre a receita bruta para o FUNTTEL, excluindo-se o ICMS, o PIS e o COFINS. Os recursos serão aplicados no interesse do setor de telecomunicações. </t>
  </si>
  <si>
    <t>Registra o valor da receita arrecadada com a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COFINS. 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nº 9.472, de 16/07/97.</t>
  </si>
  <si>
    <t>Registra o valor da receita arrecadada com a contribuição devida pelas empresas prestadoras de serviços de telecomunicações, à alíquota de 0,5% sobre a receita bruta, decorrente de prestação de serviços de telecomunicações no regime público e privado. Excluem-se, para determinação da base de cálculo, as vendas canceladas, os descontos concedidos, o Imposto sobre Operações Relativas à Circulação de Mercadorias e sobre Prestações de Serviços de Transportes Interestaduais e Intermunicipal e de Comunicações – ICMS, a Contribuição ao Programa de Integração Social – PIS e a Contribuição para o Financiamento da Seguridade Social – COFINS. Os recursos são destinados ao FUNTTEL, para aplicação no interesse do setor de telecomunicações.</t>
  </si>
  <si>
    <t>Registra o valor da contribuição relativa às atividades de importação 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</si>
  <si>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Registra o valor da arrecadação da contribuição relativa às atividades de importação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</si>
  <si>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Registra o valor da arrecadação da contribuição relativa às atividades de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</si>
  <si>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Registra o valor decorrente de parcelamentos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</si>
  <si>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Registra o valor da arrecadação da receita pela prestação de serviços de radiodifusão pública, explorados diretamente pelo Poder Executivo ou outorgados por este a entidades de sua administração indireta.</t>
  </si>
  <si>
    <t>Registra o valor das receitas de Contribuição sobre o Faturamento das Empresas de Informática.</t>
  </si>
  <si>
    <t>Registra o valor das receitas de Contribuição sobre o Faturamento das Empresas de Informática Instaladas na Amazônia.</t>
  </si>
  <si>
    <t>Registra o valor das receitas de Contribuição sobre o Faturamento das Empresas de Informática Instaladas na Amazônia – Principal.</t>
  </si>
  <si>
    <t>Registra o valor das receitas de Contribuição sobre o Faturamento das Empresas de Informática Instaladas na Amazônia – Excedente.</t>
  </si>
  <si>
    <t>Registra o valor das receitas de Contribuição sobre o Faturamento das Empresas de Informática Instaladas na Amazônia – Residual.</t>
  </si>
  <si>
    <t>Registra o valor das receitas de Contribuição sobre o Faturamento das Empresas de Informática Instaladas na Amazônia - Parcelamento de Débitos.</t>
  </si>
  <si>
    <t>Registra o valor das receitas de Contribuição sobre o Faturamento das Empresas de Informática Instaladas nas Demais Regiões.</t>
  </si>
  <si>
    <t>Registra o valor das receitas de Contribuição sobre o Faturamento das Empresas de Informática Instaladas nas Demais Regiões – Principal.</t>
  </si>
  <si>
    <t>Registra o valor das receitas de Contribuição sobre o Faturamento das Empresas de Informática Instaladas nas Demais Regiões – Excedente.</t>
  </si>
  <si>
    <t>Registra o valor das receitas de Contribuição sobre o Faturamento das Empresas de Informática Instaladas nas Demais Regiões – Residual.</t>
  </si>
  <si>
    <t>Registra o valor das receitas de Contribuição sobre o Faturamento das Empresas de Informática Instaladas nas Demais Regiões - Parcelamento de Débitos.</t>
  </si>
  <si>
    <t>Registra o valor da arrecadação de receita de outras contribuições econômicas não classificadas nos itens anteriores.</t>
  </si>
  <si>
    <t>Registra o valor da arrecadação do principal de outras contribuições econômicas de natureza eventual para as quais não há contas específicas.</t>
  </si>
  <si>
    <t>Registra o valor decorrente de parcelamentos de Outras Contribuições Econômicas, no âmbito do Programa de Recuperação Fiscal - REFIS e do Programa Especial de Parcelamento de Débito – PAES, criados respectivamente por meio das leis nº 9.964/2000 e 10.684/2003.</t>
  </si>
  <si>
    <t>Registra a receita decorrente da contribuição para o custeio do serviço de iluminação pública.</t>
  </si>
  <si>
    <t>Receita Patrimonial</t>
  </si>
  <si>
    <t>Receitas Imobiliárias</t>
  </si>
  <si>
    <t>Aluguéis</t>
  </si>
  <si>
    <t>Arrendamentos</t>
  </si>
  <si>
    <t>Foros</t>
  </si>
  <si>
    <t>Laudêmios</t>
  </si>
  <si>
    <t>Taxa de Ocupação de Imóveis</t>
  </si>
  <si>
    <t>Taxa de Ocupação de Terrenos da União</t>
  </si>
  <si>
    <t>Taxa de Ocupação de Imóveis Funcionais e Próprios Nacionais Residenciais</t>
  </si>
  <si>
    <t>Taxa de Ocupação de Outros Imóveis</t>
  </si>
  <si>
    <t>Outras Receitas Imobiliárias</t>
  </si>
  <si>
    <t>Receitas de Valores Mobiliários</t>
  </si>
  <si>
    <t>Juros de Títulos de Renda</t>
  </si>
  <si>
    <t>Dividendos, Participações e Juros sobre o Capital Próprio</t>
  </si>
  <si>
    <t>Dividendos</t>
  </si>
  <si>
    <t>Participações</t>
  </si>
  <si>
    <t>Juros sobre o Capital Próprio</t>
  </si>
  <si>
    <t>Remuneração de Depósitos Bancários</t>
  </si>
  <si>
    <t>Remuneração de Depósitos Especiais</t>
  </si>
  <si>
    <t>Remuneração de Saldos de Recursos Não Desembolsados</t>
  </si>
  <si>
    <t>Remuneração dos Investimentos do Regime Próprio de Previdência do Servidor</t>
  </si>
  <si>
    <t>Remuneração dos Investimentos do Regime Próprio de Previdência do Servidor em Renda Fixa</t>
  </si>
  <si>
    <t>Remuneração dos Investimentos do Regime Próprio de Previdência do Servidor em Renda Variável</t>
  </si>
  <si>
    <t>Remuneração dos Investimentos do Regime Próprio de Previdência do Servidor em Fundos Imobiliários</t>
  </si>
  <si>
    <t>Outras Receitas de Valores Mobiliários</t>
  </si>
  <si>
    <t>Receita de Concessões e Permissões</t>
  </si>
  <si>
    <t>Receita de Concessões e Permissões – Serviços</t>
  </si>
  <si>
    <t>Receita de Concessões e Permissões – Serviços de Transporte</t>
  </si>
  <si>
    <t>Receita de Outorga dos Serviços de Transporte Ferroviário</t>
  </si>
  <si>
    <t>Receita de Outorga dos Serviços de Transportes Rodoviário Interestadual e Internacional de Passageiros</t>
  </si>
  <si>
    <t>Receita de Outorga dos Serviços de Transporte Metroviário de Passageiros</t>
  </si>
  <si>
    <t>Receita de Outorga dos Serviços de Transporte Marítimo de Passageiros</t>
  </si>
  <si>
    <t>Receita de Outorga dos Serviços de Transporte Coletivo Local e Intermunicipal</t>
  </si>
  <si>
    <t>Receita de Outorga dos Serviços de Infraestrutura Aeroportuária</t>
  </si>
  <si>
    <t>Receita de Outorga para Exploração da Infraestrutura de Transporte Rodoviário</t>
  </si>
  <si>
    <t>Outras Receitas de Concessões e Permissões – Serviços de Transporte</t>
  </si>
  <si>
    <t>Receita de Concessões e Permissões – Serviços de Comunicação</t>
  </si>
  <si>
    <t>Receita de Outorga dos Serviços de Telecomunicações</t>
  </si>
  <si>
    <t>Receita de Outorga dos Serviços de Radiodifusão Sonora e de Sons e Imagens</t>
  </si>
  <si>
    <t>Receita de Outorga do Direito de uso de Radiofrequência</t>
  </si>
  <si>
    <t>Receita de Transferência de Concessão, de Permissão ou de Autorização de Telecomunicações ou de Uso de Radiofrequência</t>
  </si>
  <si>
    <t xml:space="preserve">Receita de Outorga do Direito de Exploração de Satélite Brasileiro </t>
  </si>
  <si>
    <t>Receita de Outorga de Licenças e Autorizações da Agência Espacial Brasileira</t>
  </si>
  <si>
    <t>Outras Receitas de Concessões e Permissões – Serviços de Comunicação</t>
  </si>
  <si>
    <t>Receita de Outorga para Exploração dos Serviços de Energia Elétrica</t>
  </si>
  <si>
    <t>Outras Receitas de Concessões e Permissões – Serviços</t>
  </si>
  <si>
    <t>Receita de Concessões e Permissões – Exploração de Recursos Naturais</t>
  </si>
  <si>
    <t>Receita de Outorga dos Serviços de Exploração e Produção de Petróleo e Gás Natural</t>
  </si>
  <si>
    <t>Bônus de Assinatura de Contrato de Concessão</t>
  </si>
  <si>
    <t>Pagamento pela Retenção de Área para Exploração ou Produção</t>
  </si>
  <si>
    <t>Bônus de Assinatura de Contrato de Partilha de Produção</t>
  </si>
  <si>
    <t>Receita de Outorga de Direitos de Uso de Recursos Hídricos</t>
  </si>
  <si>
    <t>Receita de Outorga de Direitos de Exploração e Pesquisa Mineral</t>
  </si>
  <si>
    <t>Receita de Concessão Florestal</t>
  </si>
  <si>
    <t>Receita de Concessão de Florestas Nacionais – Valor Mínimo</t>
  </si>
  <si>
    <t>Receita de Concessão de Florestas Nacionais – Demais Valores</t>
  </si>
  <si>
    <t>Receita de Outras Concessões Florestais – Valor Mínimo</t>
  </si>
  <si>
    <t>Receita de Outras Concessões Florestais – Demais Valores</t>
  </si>
  <si>
    <t>Receita de Custos de Edital de Concessão Florestal</t>
  </si>
  <si>
    <t>Receita de Contratos de Transição de Concessão Florestal</t>
  </si>
  <si>
    <t>Outras Receitas de Concessões e Permissões – Recursos Naturais</t>
  </si>
  <si>
    <t>Receita de Concessões e Permissões – Direitos de Uso de Bens Públicos</t>
  </si>
  <si>
    <t>Receita de Concessão de Direito Real de Uso de Área Pública</t>
  </si>
  <si>
    <t>Receita de Outorga de Direito de Uso ou de Exploração de Criação Protegida – Instituição Científica e Tecnológica</t>
  </si>
  <si>
    <t>Receita de Concessão de Uso do Potencial de Energia Hidráulica</t>
  </si>
  <si>
    <t>Receita da Permissão de Uso de Área da União de Curta Duração</t>
  </si>
  <si>
    <t>Receita da Cessão de Uso de Bens da União</t>
  </si>
  <si>
    <t>Receita de Direito de Uso da Imagem e de Reprodução dos Bens do Acervo Patrimonial</t>
  </si>
  <si>
    <t>Receita da Cessão de Uso de Áreas as União Situadas em Unidades de Conservação Federais</t>
  </si>
  <si>
    <t>Outras Receitas de Concessões e Permissões – Direitos de Uso de Bens Públicos</t>
  </si>
  <si>
    <t>Outras Receitas de Concessões e Permissões</t>
  </si>
  <si>
    <t>Compensações Financeiras</t>
  </si>
  <si>
    <t>Utilização de Recursos Hídricos – Itaipu</t>
  </si>
  <si>
    <t>Utilização de Recursos Hídricos – Demais Empresas</t>
  </si>
  <si>
    <t>Exploração de Recursos Minerais</t>
  </si>
  <si>
    <t>Royalties pela Exploração de Petróleo ou Gás Natural em Terra – Concessão</t>
  </si>
  <si>
    <t>Royalties pela Produção de Petróleo ou Gás Natural em Plataforma – Concessão</t>
  </si>
  <si>
    <t>Royalties pela Produção de Petróleo ou Gás Natural em Plataforma - Concessão - Concessão em Áreas do Pré-Sal e Estratégicas - Campos que Iniciaram a Produção até 31/12/2009</t>
  </si>
  <si>
    <t>Royalties pela Produção de Petróleo ou Gás Natural em Plataforma - Concessão - Concessão em Áreas do Pré-Sal e Estratégicas - Campos que Iniciaram a Produção após 31/12/2009</t>
  </si>
  <si>
    <t>Royalties pela Produção de Petróleo ou Gás Natural em Plataforma - Concessão em Outras Áreas</t>
  </si>
  <si>
    <t>Royalties Excedentes pela Produção de Petróleo ou Gás Natural em Terra – Concessão</t>
  </si>
  <si>
    <t xml:space="preserve">Royalties Excedentes pela Produção de Petróleo ou Gás Natural em Plataforma – Concessão </t>
  </si>
  <si>
    <t>Royalties Excedentes pela Produção de Petróleo ou Gás Natural em Plataforma - Concessão em Áreas do Pré-Sal e Estratégicas - Campos que Iniciaram a Produção até 31/12/2009</t>
  </si>
  <si>
    <t>Royalties Excedentes pela Produção de Petróleo ou Gás Natural em Plataforma - Concessão em Áreas do Pré-Sal e Estratégicas - Campos que Iniciaram a Produção após 31/12/2009</t>
  </si>
  <si>
    <t>Royalties Excedentes pela Produção de Petróleo ou Gás Natural em Plataforma - Concessão em Outras Áreas</t>
  </si>
  <si>
    <t>Participação Especial pela Produção de Petróleo ou Gás Natural – Concessão</t>
  </si>
  <si>
    <t>Participação Especial pela Produção de Petróleo ou Gás Natural - Concessão em Áreas do Pré-Sal e Estratégicas - Campos que Iniciaram a Produção até 31/12/2009</t>
  </si>
  <si>
    <t>Participação Especial pela Produção de Petróleo ou Gás Natural - Concessão em Áreas do Pré-Sal e Estratégicas - Campos que Iniciaram a Produção após 31/12/2009</t>
  </si>
  <si>
    <t>Participação Especial pela Produção de Petróleo ou Gás Natural - Concessão em Outras Áreas</t>
  </si>
  <si>
    <t>Receita da Supressão Vegetal no Interior das Florestas Nacionais</t>
  </si>
  <si>
    <t>Receita pela Produção de Petróleo ou Gás Natural - Partilha de Produção</t>
  </si>
  <si>
    <t>Royalties pela Produção de Petróleo ou Gás Natural em Terra – Partilha de Produção</t>
  </si>
  <si>
    <t>Royalties pela Produção de Petróleo ou Gás Natural em Plataforma – Partilha de Produção</t>
  </si>
  <si>
    <t>Royalties Excedentes pela Produção de Petróleo ou Gás Natural em Terra - Partilha de Produção</t>
  </si>
  <si>
    <t>Royalties Excedentes pela Produção de Petróleo ou Gás Natural em Plataforma - Partilha de Produção</t>
  </si>
  <si>
    <t>Participação Especial pela Produção de Petróleo ou Gás Natural - Partilha de Produção</t>
  </si>
  <si>
    <t>Receita de Compensações Ambientais</t>
  </si>
  <si>
    <t>Receita da Produção de Petróleo, Gás Natural e Outros Hidrocarbonetos Fluidos – Regime de Concessão</t>
  </si>
  <si>
    <t>Receita da Produção de Petróleo, Gás Natural e Outros Hidrocarbonetos Fluidos - Contratos de Concessão Firmados antes de 03/12/2012</t>
  </si>
  <si>
    <t>Receita da Produção de Petróleo, Gás Natural e Outros Hidrocarbonetos Fluidos no Pré-Sal - Contratos de Concessão Firmados antes de 03/12/2012</t>
  </si>
  <si>
    <t>Royalties Mínimos pela Produção de Petróleo, Gás Natural e Outros Hidrocarbonetos Fluidos no Pré-Sal - Contratos de Concessão Firmados antes de 03/12/2012</t>
  </si>
  <si>
    <t>Royalties Mínimos pela Produção em Plataforma de Petróleo, Gás Natural e Outros Hidrocarbonetos Fluidos no Pré-Sal - Contratos de Concessão Firmados antes de 03/12/2012</t>
  </si>
  <si>
    <t>Receita Decorrente do Direito de Exploração de Bens Públicos em Áreas de Domínio Público</t>
  </si>
  <si>
    <t>Royalties Excedentes pela Produção em Plataforma de Petróleo, Gás Natural e Outros Hidrocarbonetos Fluidos no Pré-Sal - Contratos de Concessão Firmados antes de 03/12/2012</t>
  </si>
  <si>
    <t>Participação Especial pela Produção de Petróleo, Gás Natural e Outros Hidrocarbonetos Fluidos no Pré-Sal - Contratos de Concessão Firmados antes de 03/12/2012</t>
  </si>
  <si>
    <t>Receita da Produção de Petróleo, Gás Natural e Outros Hidrocarbonetos Fluidos em Outras Áreas - Contratos de Concessão Firmados antes de 03/12/2012</t>
  </si>
  <si>
    <t>Royalties Mínimos pela Produção de Petróleo, Gás Natural e Outros Hidrocarbonetos Fluidos em Outras Áreas - Contratos de Concessão Firmados antes de 03/12/2012</t>
  </si>
  <si>
    <t>Royalties Mínimos pela Produção em Plataforma de Petróleo, Gás Natural e Outros Hidrocarbonetos Fluidos em Outras Áreas - Contratos de Concessão Firmados antes de 03/12/2012</t>
  </si>
  <si>
    <t>Royalties Mínimos pela Produção em Terra de Petróleo, Gás Natural e Outros Hidrocarbonetos Fluidos em Outras Áreas - Contratos de Concessão Firmados antes de 03/12/2012</t>
  </si>
  <si>
    <t>Royalties Excedentes pela Produção de Petróleo, Gás Natural e Outros Hidrocarbonetos Fluidos em Outras Áreas - Contratos de Concessão Firmados antes de 03/12/2012</t>
  </si>
  <si>
    <t>Royalties Excedentes pela Produção em Plataforma de Petróleo, Gás Natural e Outros Hidrocarbonetos Fluidos em Outras Áreas - Contratos de Concessão Firmados antes de 3 antes de 03/12/2012</t>
  </si>
  <si>
    <t>Royalties Excedentes pela Produção em Terra de Petróleo, Gás Natural e Outros Hidrocarbonetos Fluidos em Outras Áreas - Contratos de Concessão Firmados antes de 3 antes de 03/12/2012</t>
  </si>
  <si>
    <t>Participação Especial pela Produção de Petróleo, Gás Natural e Outros Hidrocarbonetos Fluidos em Outras Áreas - Contratos de Concessão Firmados antes de 03/12/2012</t>
  </si>
  <si>
    <t>Receita da Produção de Petróleo, Gás Natural e Outros Hidrocarbonetos Fluidos - Contratos de Concessão Firmados a partir de 03/12/2012</t>
  </si>
  <si>
    <t>Receita da Produção de Petróleo, Gás Natural e Outros Hidrocarbonetos Fluidos em Outras Áreas - Contratos de Concessão Firmados a partir de 03/12/2012</t>
  </si>
  <si>
    <t>Royalties Mínimos pela Produção de Petróleo, Gás Natural e Outros Hidrocarbonetos Fluidos em Outras Áreas - Contratos de Concessão Firmados a partir de 03/12/2012</t>
  </si>
  <si>
    <t>Royalties Mínimos pela Produção em Plataforma de Petróleo, Gás Natural e Outros Hidrocarbonetos Fluidos em Outras Áreas - Contratos de Concessão Firmados a partir de 03/12/2012</t>
  </si>
  <si>
    <t>Royalties Mínimos pela Produção em Terra de Petróleo, Gás Natural e Outros Hidrocarbonetos Fluidos em Outras Áreas - Contratos de Concessão Firmados a partir de 03/12/2012</t>
  </si>
  <si>
    <t>Royalties Excedentes pela Produção de Petróleo, Gás Natural e Outros Hidrocarbonetos Fluidos em Outras Áreas - Contratos de Concessão Firmados a partir de 03/12/2012</t>
  </si>
  <si>
    <t>Royalties Excedentes pela Produção em Plataforma de Petróleo, Gás Natural e Outros Hidrocarbonetos Fluidos em Outras Áreas - Contratos de Concessão Firmados a partir de 03/12/2012</t>
  </si>
  <si>
    <t>Royalties Excedentes pela Produção em Terra de Petróleo, Gás Natural e Outros Hidrocarbonetos Fluidos em Outras Áreas - Contratos de Concessão Firmados a partir de 03/12/2012</t>
  </si>
  <si>
    <t>Participação Especial pela Produção de Petróleo, Gás Natural e Outros Hidrocarbonetos Fluidos em Outras Áreas - Contratos de Concessão Firmados a partir de 03/12/2012</t>
  </si>
  <si>
    <t>Receita da Produção de Petróleo, Gás Natural e Outros Hidrocarbonetos Fluidos - Regime de Partilha de Produção</t>
  </si>
  <si>
    <t>Royalties pela Produção de Petróleo, Gás Natural e Outros Hidrocarbonetos Fluidos - Regime de Partilha de Produção</t>
  </si>
  <si>
    <t>Royalties pela Produção em Plataforma de Petróleo, Gás Natural e Outros Hidrocarbonetos Fluidos - Regime de Partilha de Produção</t>
  </si>
  <si>
    <t>Royalties pela Produção em Terra de Petróleo, Gás Natural e Outros Hidrocarbonetos Fluidos - Regime de Partilha de Produção</t>
  </si>
  <si>
    <t>Receita da Produção de Petróleo, Gás Natural e Outros Hidrocarbonetos Fluidos - Contrato de Concessão</t>
  </si>
  <si>
    <t>Royalties Mínimos pela Produção de Petróleo em Terra (Qualquer Situação) - Contrato de Concessão</t>
  </si>
  <si>
    <t>Royalties Mínimos pela Produção de Petróleo em Plataforma - Contrato de Concessão</t>
  </si>
  <si>
    <t>Royalties Mínimos pela Produção de Petróleo em Plataforma - Contrato de Concessão - Declaração de Comercialidade antes de 3/12/2012 - Área e Camada Pré-Sal</t>
  </si>
  <si>
    <t xml:space="preserve">Royalties Mínimos pela Produção de Petróleo em Plataforma - Contrato de Concessão - Declaração de Comercialidade antes de 3/12/2012 - Demais Situações </t>
  </si>
  <si>
    <t>Royalties Mínimos pela Produção de Petróleo em Plataforma - Contrato de Concessão - Declaração de Comercialidade a partir de 3/12/2012 - Qualquer Situação</t>
  </si>
  <si>
    <t>Royalties Excedentes pela Produção de Petróleo em Terra (Qualquer Situação) - Contrato de Concessão</t>
  </si>
  <si>
    <t>Royalties Excedentes pela Produção de Petróleo em Plataforma -  Contrato de Concessão</t>
  </si>
  <si>
    <t>Royalties Excedentes pela Produção de Petróleo em Plataforma -  Contrato de Concessão - Declaração de Comercialidade antes de 3/12/2012 - Área e Camada Pré-Sal</t>
  </si>
  <si>
    <t>Royalties Excedentes pela Produção de Petróleo em Plataforma - Contrato de Concessão - Declaração de Comercialidade antes de 3/12/2012 - Demais Situações</t>
  </si>
  <si>
    <t>Royalties Excedentes pela Produção de Petróleo em Plataforma - Contrato de Concessão - Declaração de Comercialidade a partir de 3/12/2012 - Qualquer Situação</t>
  </si>
  <si>
    <t>Participação Especial pela Produção de Petróleo em Terra (Qualquer Situação) - Contrato de Concessão</t>
  </si>
  <si>
    <t>Participação Especial pela Produção de Petróleo em Plataforma - Contrato de Concessão</t>
  </si>
  <si>
    <t>Participação Especial pela Produção de Petróleo em Plataforma - Contrato de Concessão - Declaração de Comercialidade antes de 3/12/2012 - Área e Camada Pré-Sal</t>
  </si>
  <si>
    <t>Participação Especial pela Produção de Petróleo em Plataforma - Contrato de Concessão- Declaração de Comercialidade antes de 3/12/2012 - Demais Situações</t>
  </si>
  <si>
    <t>Participação Especial pela Produção de Petróleo em Plataforma- Contrato de Concessão - Declaração de Comercialidade a partir de 3/12/2012 - Qualquer Situação</t>
  </si>
  <si>
    <t>Receita de Royalties e Participações pela Exploração do Patrimônio Genético</t>
  </si>
  <si>
    <t>Royalties pela Exploração do Patrimônio Genético em Área de Domínio Público</t>
  </si>
  <si>
    <t>Royalties pela Exploração do Patrimônio Genético no Mar Territorial, Zona Econômica Exclusiva ou Plataforma Continental</t>
  </si>
  <si>
    <t>Participações pela Exploração do Patrimônio Genético em Áreas de Domínio da União</t>
  </si>
  <si>
    <t>Participações pela Exploração do Patrimônio Genético no Mar Territorial, Zona Econômica Exclusiva ou Plataforma Continental</t>
  </si>
  <si>
    <t>Receita de Outorga a Título Oneroso das Atividades de Pesquisa e Lavra de Petróleo e Gás Natural</t>
  </si>
  <si>
    <t>Receita da Cessão de Direitos</t>
  </si>
  <si>
    <t>Receita de Cessão do Direito de Operacionalização de Pagamentos</t>
  </si>
  <si>
    <t>Receita de Cessão do Direito de Operacionalização da Folha de Pagamento de Pessoal</t>
  </si>
  <si>
    <t>Receita de Cessão do Direito de Operacionalização da Folha de Pagamento de Benefícios</t>
  </si>
  <si>
    <t>Receita de Cessão do Direito de Operacionalização de Pagamento a Fornecedores</t>
  </si>
  <si>
    <t>Outras Receitas Patrimoniais</t>
  </si>
  <si>
    <t>1323.00.00</t>
  </si>
  <si>
    <t>1340.04.00</t>
  </si>
  <si>
    <t>1340.05.00</t>
  </si>
  <si>
    <t>1340.05.01</t>
  </si>
  <si>
    <t>1340.05.02</t>
  </si>
  <si>
    <t>1340.05.03</t>
  </si>
  <si>
    <t>1340.06.00</t>
  </si>
  <si>
    <t>1340.07.00</t>
  </si>
  <si>
    <t>1340.07.01</t>
  </si>
  <si>
    <t>1340.07.02</t>
  </si>
  <si>
    <t>1340.07.03</t>
  </si>
  <si>
    <t>1340.08.00</t>
  </si>
  <si>
    <t>1340.08.01</t>
  </si>
  <si>
    <t>1340.08.02</t>
  </si>
  <si>
    <t>1340.08.03</t>
  </si>
  <si>
    <t>1340.10.00</t>
  </si>
  <si>
    <t>1340.10.01</t>
  </si>
  <si>
    <t>1340.10.02</t>
  </si>
  <si>
    <t>1340.10.03</t>
  </si>
  <si>
    <t>1340.10.04</t>
  </si>
  <si>
    <t>1340.10.05</t>
  </si>
  <si>
    <t>Registra o valor total da arrecadação da receita patrimonial referente ao resultado financeiro da fruição do patrimônio, seja decorrente de bens imobiliários ou mobiliários, seja de participação societária.</t>
  </si>
  <si>
    <t>Provenientes da utilização, por terceiros, de bens imóveis pertencentes ao setor público.</t>
  </si>
  <si>
    <t>Registra o valor total das receitas arrecadadas provenientes do pagamento de aluguéis pela utilização de próprios do poder público.</t>
  </si>
  <si>
    <t>Registra o valor total da receita com o contrato pelo qual o poder público cede a terceiros, por certo tempo e preço, o uso e gozo de determinada área.</t>
  </si>
  <si>
    <t>Registra o valor total da arrecadação com a quantia ou pensão paga pela pessoa que recebe por enfiteuse o domínio útil de um imóvel.</t>
  </si>
  <si>
    <t>Registra o valor total da arrecadação com pensão ou prêmio que o foreiro paga, quando há alienação do respectivo prédio por parte da pessoa que recebe por enfiteuse o domínio do imóvel, exceto nos casos de sucessão hereditária.</t>
  </si>
  <si>
    <t>Registra o valor total da arrecadação de taxa de ocupação de imóveis devida por seus ocupantes.</t>
  </si>
  <si>
    <t>Registra o valor da arrecadação de recursos provenientes da taxa de ocupação, devida pelos ocupantes de terrenos de marinha e demais terrenos de propriedade da União.</t>
  </si>
  <si>
    <t>Registra o valor da arrecadação de recursos provenientes da taxa de ocupação, devida pelos ocupantes de imóveis funcionais e próprios nacionais residenciais da União, agentes políticos e servidores públicos federais.</t>
  </si>
  <si>
    <t>Registra o valor da arrecadação de recursos provenientes da taxa de ocupação, devida pelos ocupantes de outros bens imóveis de propriedade da União.</t>
  </si>
  <si>
    <t>Registra o valor total da arrecadação com outras receitas que tem origem na fruição do patrimônio imobiliário, não classificadas nos itens anteriores.</t>
  </si>
  <si>
    <t>Registra o valor total da arrecadação de receitas decorrentes de valores mobiliários.</t>
  </si>
  <si>
    <t>Registra o valor total da receita com juros de título de renda, provenientes de aplicações no mercado financeiro. Inclui o resultado das aplicações em títulos públicos.</t>
  </si>
  <si>
    <t>Registra o valor total da arrecadação proveniente de resultados em empresas nas quais as esferas de governo tenham participação, inclusive a remuneração de debêntures participativas.</t>
  </si>
  <si>
    <t>Registra o valor de recursos provenientes de remuneração de depósitos bancários. Recursos oriundos de aplicações das entidades da administração pública no mercado financeiro, autorizadas por lei, em cadernetas de poupança, contas remuneradas, inclusive depósitos judiciais etc.</t>
  </si>
  <si>
    <t>Registra o valor da arrecadação da receita decorrente da aplicação, em depósitos especiais, de disponibilidades financeiras, em instituições oficiais federais, de acordo com a legislação vigente.</t>
  </si>
  <si>
    <t>Registra o valor da arrecadação de receita de remuneração dos saldos de recursos disponibilizados para pagamento de benefícios, efetuada pelo agente pagador.</t>
  </si>
  <si>
    <t>Registra o valor da arrecadação de receitas auferidas pelo Regime Próprio de Previdência do Servidor – RPPS em sua carteira de investimentos.</t>
  </si>
  <si>
    <t>Registra o valor dos rendimentos auferidos decorrentes da aplicação de recursos do RPPS no mercado financeiro, em fundos de renda fixa.</t>
  </si>
  <si>
    <t>Registra o valor dos rendimentos auferidos decorrentes da aplicação de recursos do RPPS no mercado financeiro, em fundos de renda variável.</t>
  </si>
  <si>
    <t>Registra o valor dos rendimentos auferidos decorrentes da aplicação de recursos do RPPS no mercado financeiro, em fundos imobiliários.</t>
  </si>
  <si>
    <t>Registra o valor total da arrecadação com outras receitas de valores mobiliários, não classificadas nos itens anteriores.</t>
  </si>
  <si>
    <t>Registra o valor total da arrecadação de receitas originadas da concessão ou permissão ao particular do direito de exploração de serviços públicos, os quais estão sujeitos ao controle, fiscalização e regulação do poder público.</t>
  </si>
  <si>
    <t>Registra o valor da arrecadação de receita de concessões e permissões do direito de exploração de serviços públicos.</t>
  </si>
  <si>
    <t>Registra o valor da arrecadação de receita de concessões e permissões do direito de exploração de serviços públicos de transporte.</t>
  </si>
  <si>
    <t>Registra o valor da arrecadação de receita de concessões e permissões dos serviços públicos de transporte ferroviário à iniciativa privada, em suas seis malhas regionais, que atuará na fiscalização, normatização e controle dos serviços concedidos.</t>
  </si>
  <si>
    <t>Registra o valor da arrecadação de receita de concessões e permissões do direito de exploração dos serviços de transportes rodoviário interestadual e internacional de passageiros.</t>
  </si>
  <si>
    <t>Registra o valor da arrecadação de receita de outorga dos serviços de transporte metroviário de passageiros.</t>
  </si>
  <si>
    <t>Registra o valor da arrecadação de receita de outorga dos serviços de transporte marítimo de passageiros.</t>
  </si>
  <si>
    <t>Registra o valor da arrecadação de receita de outorga dos serviços de transporte coletivo local e intermunicipal de passageiros.</t>
  </si>
  <si>
    <t>Registra os valores arrecadados em razão das outorgas de infraestrutura aeroportuária.</t>
  </si>
  <si>
    <t>Registra o valor da arrecadação de outras receitas de concessões e permissões de serviços de transportes, não previstas nos itens anteriores.</t>
  </si>
  <si>
    <t>Registra o valor da arrecadação de receita de concessões e permissões do direito de exploração de serviços comunicações.</t>
  </si>
  <si>
    <t>Registra o valor da arrecadação de receita de concessões e permissões do direito de exploração de serviços públicos de telecomunicações, incluindo o Serviço Móvel Celular, o Serviço Limitado e o Serviço de Transporte de Sinais de Telecomunicações por Satélite.</t>
  </si>
  <si>
    <t>Registra o valor da arrecadação de receita de concessões e permissões do direito de exploração de serviços públicos de radiodifusão sonora e de sons e imagens, incluindo o uso de radiofrequências.</t>
  </si>
  <si>
    <t>Registra o valor da arrecadação de receita de concessões e permissões do direito de uso de radiofrequência para qualquer fim.</t>
  </si>
  <si>
    <t>Registra o valor da arrecadação de receita de concessões e permissões da transferência de concessão, de permissão ou de autorização de serviço de telecomunicações ou de uso de radiofrequência, a ser pago pela cessionária.</t>
  </si>
  <si>
    <t>Registra as receitas decorrentes do rateio da verba de fiscalização a ser cobrada pelos Estados e Distrito Federal (ou consórcio entre eles), com o Ministério dos Transportes - MT, na proporção de 5% sobre o valor pago mensalmente, pelas concessionárias, em função de convênios firmados entre a União e os respectivos Estados, para delegação de trechos de rodovias federais (ou obras rodoviárias federais), cuja exploração, mediante contratos de concessão, foi entregue pela União aos Estados para administração e exploração.</t>
  </si>
  <si>
    <t>Registra as receitas provenientes da outorga de licenças e autorizações da Agência Espacial Brasileira – AEB.</t>
  </si>
  <si>
    <t>Registra o valor da arrecadação de outras receitas de concessões e permissões de serviços de comunicação, não previstas nos itens anteriores.</t>
  </si>
  <si>
    <t>Registra o valor da arrecadação de receita de concessões e permissões de uso do bem público, para exploração de aproveitamento energético dos cursos de água.</t>
  </si>
  <si>
    <t>Registra o valor da arrecadação de outras receitas de concessões e permissões de serviços públicos, não previstas nos itens anteriores.</t>
  </si>
  <si>
    <t>Registra o valor da arrecadação de receita de concessões e permissões do direito de exploração de recursos naturais.</t>
  </si>
  <si>
    <t>Registra o valor da arrecadação de receita de concessões e permissões de exploração, desenvolvimento e produção de petróleo e gás natural, exercidas mediante contratos de concessão.</t>
  </si>
  <si>
    <t>Registra o valor da arrecadação de receita de concessões e permissões da proposta para obtenção da concessão. O bônus de assinatura terá valor mínimo estabelecido em edital e corresponderá ao pagamento ofertado na proposta para obtenção da concessão, devendo ser pago no ato da assinatura do contrato.</t>
  </si>
  <si>
    <t>Registra o valor da arrecadação de receita de concessões e permissões da retenção de área para exploração, desenvolvimento ou produção de petróleo e gás natural.</t>
  </si>
  <si>
    <t>Registra o valor da arrecadação de receita decorrente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</si>
  <si>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Registra o valor da arrecadação de receita decorrente da outorga do Alvará de Pesquisa Mineral.</t>
  </si>
  <si>
    <t>Registra o valor da arrecadação de receita decorrente de atividades de exploração e gestão de direitos de uso de florestas públicas, recursos florestais, produtos e serviços delas decorrentes, para produção sustentável, exercidas mediante contratos de concessão, a particulares que estejam em condições de atender às exigências do respectivo edital de licitação e que demonstrem capacidade para seu desempenho, por sua conta e risco e prazo determinado.</t>
  </si>
  <si>
    <t>Registra o valor da arrecadação de receita decorrente do pagamento de preço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</si>
  <si>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Registra o valor da arrecadação de receita decorrente do pagamento de preço superior ao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</si>
  <si>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 xml:space="preserve">Registra o valor da arrecadação de receita decorrente do pagamento de preço mínimo definido no edital de licitação, calculado em função da quantidade de produto ou serviço auferido do objeto da concessão florestal ou do faturamento líquido ou bruto, de unidades localizadas em áreas de domínio da União. </t>
  </si>
  <si>
    <t>Registra o valor da arrecadação de receita decorrente do pagamento de preço superior ao mínimo definido no edital de licitação, calculado em função da quantidade de produto ou serviço auferido do objeto da concessão florestal ou do faturamento líquido ou bruto, de unidades localizadas em áreas de domínio da União.</t>
  </si>
  <si>
    <t>Registra o valor da arrecadação de receita decorrente do pagamento de preço calculado sobre os custos de realização do edital de licitação da concessão florestal da unidade de manejo.</t>
  </si>
  <si>
    <t xml:space="preserve">Registra o valor da arrecadação de receita do pagamento de preço decorrente de contratos de transição de concessão florestal para exploração e gestão de florestas públicas e recursos florestais. </t>
  </si>
  <si>
    <t>Registra o valor da arrecadação de outras receitas de concessões e permissões de recursos naturais, não previstas nos itens anteriores.</t>
  </si>
  <si>
    <t>Registra o valor da arrecadação de receita de concessões e permissões de direitos de uso de bens públicos.</t>
  </si>
  <si>
    <t>Registra o valor da arrecadação de receita auferida em função do pagamento feito por terceiros pela utilização e exploração de área pública. Os recursos arrecadados serão destinados ao financiamento das despesas do órgão concedente.</t>
  </si>
  <si>
    <t>Registra o valor de arrecadação de receita decorrente da celebração de contratos de transferência de tecnologia e de licenciamento para outorga de direito de uso de exploração de criação protegida.</t>
  </si>
  <si>
    <t>Receita decorrente da autorização ou concessão, por parte da União, da exploração e aproveitamento dos potenciais de energia hidráulica.</t>
  </si>
  <si>
    <t xml:space="preserve">Registra o valor das receitas de </t>
  </si>
  <si>
    <t>Registra o valor da arrecadação de receita de outorga de direitos de uso de outros bens públicos.</t>
  </si>
  <si>
    <t>Registra o valor de outras receitas de concessões e permissões não previstas nos itens anteriores.</t>
  </si>
  <si>
    <t>Registra o valor total da arrecadação de receita de contribuições econômicas de recursos resultantes da exploração de petróleo bruto, xisto betuminoso e gás, de recursos hídricos e de recursos minerais.</t>
  </si>
  <si>
    <t>Registra o valor do pagamento de compensação financeira relativa aos royalties devidos por Itaipu Binacional do Brasil.</t>
  </si>
  <si>
    <t>Registra o valor da receita com o pagamento de compensação financeira relativa aos royalties devidos pela utilização de recursos hídricos para geração de energia elétrica por outras empresas, exceto Itaipu.</t>
  </si>
  <si>
    <t>Registra o valor da arrecadação de receita de contribuições econômicas da compensação financeira pela exploração de recursos minerais.</t>
  </si>
  <si>
    <t>Registra a arrecadação da indenização pela supressão de vegetação, no interior de florestas Nacionais, para execução de obras e outras hipóteses admitidas pela Lei nº 9.985/2000. Seu fato gerador corresponde à expedição de autorização para supressão de vegetação em áreas situadas no interior de florestas nacionais, emitida de acordo com os objetivos, o plano de manejo e os regulamentos da unidade de conservação. A expedição da autorização é condicionada ao pagamento do valor calculado da indenização em razão da floresta a ser suprimida, tomando-se como base o seu valor atual.</t>
  </si>
  <si>
    <t>Registra o valor da arrecadação de receita decorrente dos direitos de União pela exploração de bens públicos sob o seu domínio.</t>
  </si>
  <si>
    <t>Registra o valor da arrecadação de recursos decorrentes da exploração do patrimônio genético em áreas de domínio público da União, no mar territorial, ZEE ou plataforma continental.</t>
  </si>
  <si>
    <t>Registra os recursos decorrentes da exploração do patrimônio genético em áreas de domínio público da União, exceto Mar Territorial, ZEE ou Plataforma Continental.</t>
  </si>
  <si>
    <t>Registra os recursos decorrentes da exploração do patrimônio genético no Mar Territorial, ZEE ou Plataforma Continental.</t>
  </si>
  <si>
    <t>Registra os recursos decorrentes da cessão, a título oneroso, das atividades de pesquisa e lavra das jazidas de petróleo e gás natural e outros hidrocarbonetos fluidos, bem como o seu refino e transporte marítimo.</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</si>
  <si>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</si>
  <si>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Registra receitas oriundas de contrato firmado entre entidade pública e agentes financeiros, com vistas a que determinados pagamentos sob responsabilidade daquela entidade sejam efetuados por meio destes agentes.</t>
  </si>
  <si>
    <t>Registra receitas oriundas de contrato firmado entre entidade pública e agentes financeiros, com vistas a que o pagamento da "Folha de Pessoal" daquela entidade seja efetuado por meio destes agentes.</t>
  </si>
  <si>
    <t>Registra receitas oriundas de contrato firmado entre entidade pública e agentes financeiros, com vistas a que o pagamento da "Folha de Benefícios Previdenciários" daquela entidade seja efetuado por meio destes agentes.</t>
  </si>
  <si>
    <t>Registra receitas oriundas de contrato firmado entre entidade pública e agentes financeiros, com vistas a que o pagamento relativo a obrigações com fornecedores daquela entidade seja efetuado por meio destes agentes.</t>
  </si>
  <si>
    <t>Registra o valor total da arrecadação com outras receitas patrimoniais não classificadas nos itens anteriores, inclusive receitas de aluguéis de bens móveis.</t>
  </si>
  <si>
    <t>Receita Agropecuária</t>
  </si>
  <si>
    <t>Receita da Produção Vegetal</t>
  </si>
  <si>
    <t>Receita da Produção Animal e Derivados</t>
  </si>
  <si>
    <t>Outras Receitas Agropecuárias</t>
  </si>
  <si>
    <t>Receita Industrial</t>
  </si>
  <si>
    <t>Receita da Indústria Extrativa Mineral</t>
  </si>
  <si>
    <t>Receita da Indústria de Transformação</t>
  </si>
  <si>
    <t>Receita da Indústria Mecânica</t>
  </si>
  <si>
    <t>Receita da Indústria Química</t>
  </si>
  <si>
    <t>Receita da Indústria de Produtos Farmacêuticos e Veterinários</t>
  </si>
  <si>
    <t>Receita da Indústria de Produtos Farmacêuticos</t>
  </si>
  <si>
    <t>Receita da Indústria de Produtos Veterinários</t>
  </si>
  <si>
    <t>Receita da Indústria de Produtos Farmoquímicos</t>
  </si>
  <si>
    <t>Receita da Indústria de Produtos Alimentares</t>
  </si>
  <si>
    <t>Receita da Indústria de Bebidas e Destilados</t>
  </si>
  <si>
    <t>Receita da Usina de Tratamento de Lixo</t>
  </si>
  <si>
    <t>Receita da Indústria Editorial e Gráfica</t>
  </si>
  <si>
    <t>Receita da Indústria Eletrônica</t>
  </si>
  <si>
    <t>Outras Receitas da Indústria de Transformação</t>
  </si>
  <si>
    <t>Receita da Indústria de Construção</t>
  </si>
  <si>
    <t>Outras Receitas Industriais</t>
  </si>
  <si>
    <t>Receita de Serviços</t>
  </si>
  <si>
    <t>Serviços Comerciais</t>
  </si>
  <si>
    <t>Serviços de Comercialização de Medicamentos</t>
  </si>
  <si>
    <t>Serviços de Comercialização de Livros, Periódicos, Materiais Escolares e Publicidade</t>
  </si>
  <si>
    <t>Serviços de Comercialização e Distribuição de Produtos Agropecuários</t>
  </si>
  <si>
    <t>Serviço de comercialização de Produtos, Dados e Materiais de Informática</t>
  </si>
  <si>
    <t>Receita de Comercialização dos Dados e Imagens oriundos da Utilização de Posições Orbitais</t>
  </si>
  <si>
    <t>Receita Proveniente de Lançamentos de Satélites e Foguetes de Sondagem, a partir do Território Brasileiro</t>
  </si>
  <si>
    <t>Receita de Comercialização de Fardamentos</t>
  </si>
  <si>
    <t>Outros Serviços Comerciais</t>
  </si>
  <si>
    <t>Serviços Financeiros</t>
  </si>
  <si>
    <t>Serviços de Juros de Empréstimos</t>
  </si>
  <si>
    <t>Serviços Financeiros de Compensação de Variações Salariais</t>
  </si>
  <si>
    <t xml:space="preserve">Operações de Autoridade Monetária </t>
  </si>
  <si>
    <t>Serviços de Remuneração Sobre Repasse para Programas de Desenvolvimento Econômico</t>
  </si>
  <si>
    <t>Serviços Financeiros Provenientes da Execução de Garantia – Operações de Crédito Internas</t>
  </si>
  <si>
    <t>Serviços Financeiros Provenientes da Execução de Garantia – Operações de Crédito Externas</t>
  </si>
  <si>
    <t>Outros Serviços Financeiros</t>
  </si>
  <si>
    <t>Serviços de Transporte</t>
  </si>
  <si>
    <t>Serviços de Transporte Rodoviário</t>
  </si>
  <si>
    <t>Serviços de Transporte Ferroviário</t>
  </si>
  <si>
    <t>Serviço de Transporte Hidroviário</t>
  </si>
  <si>
    <t>Serviços de Transporte Aéreo</t>
  </si>
  <si>
    <t>Serviços de Transportes Especiais</t>
  </si>
  <si>
    <t>Receita de Terminais Rodoviários</t>
  </si>
  <si>
    <t>Outros Serviços de Transporte</t>
  </si>
  <si>
    <t>Serviços de Comunicação</t>
  </si>
  <si>
    <t>Serviços de Publicidade Legal</t>
  </si>
  <si>
    <t>Serviços de Radiodifusão</t>
  </si>
  <si>
    <t>Outros Serviços de Comunicação</t>
  </si>
  <si>
    <t>Serviços de Saúde</t>
  </si>
  <si>
    <t>Serviços Hospitalares</t>
  </si>
  <si>
    <t>Serviços de Registro de Análise e de Controle de Produtos Sujeitos a Normas de Vigilância Sanitária</t>
  </si>
  <si>
    <t>Serviços Radiológicos e Laboratoriais</t>
  </si>
  <si>
    <t>Serviços de Assistência à Saúde Suplementar do Servidor Civil</t>
  </si>
  <si>
    <t>Serviços Ambulatoriais</t>
  </si>
  <si>
    <t>Outros Serviços de Saúde</t>
  </si>
  <si>
    <t>Serviços Portuários</t>
  </si>
  <si>
    <t>Serviços de Armazenagem</t>
  </si>
  <si>
    <t>Serviços de Processamento de Dados</t>
  </si>
  <si>
    <t>Serviço de Socorro Marítimo</t>
  </si>
  <si>
    <t>Serviços de Informações Estatísticas</t>
  </si>
  <si>
    <t>Serviços de Metrologia e Certificação</t>
  </si>
  <si>
    <t>Serviços de Metrologia Legal e Certificatória Delegada</t>
  </si>
  <si>
    <t>Serviços de Metrologia Científica e Industrial</t>
  </si>
  <si>
    <t>Serviços de Metrologia Legal</t>
  </si>
  <si>
    <t>Certificação de Produtos e Serviços</t>
  </si>
  <si>
    <t>Serviços de Informação Tecnológica</t>
  </si>
  <si>
    <t>Outros Serviços de Metrologia e Certificação</t>
  </si>
  <si>
    <t>Serviços Tecnológicos</t>
  </si>
  <si>
    <t>Serviços Administrativos</t>
  </si>
  <si>
    <t>Serviços de Inscrição em Concursos Públicos</t>
  </si>
  <si>
    <t>Serviços de Venda de Editais</t>
  </si>
  <si>
    <t>Serviços Especiais PM/Bombeiro</t>
  </si>
  <si>
    <t>Serviços de Expedição de Certificados</t>
  </si>
  <si>
    <t>Serviços de Vistoria de Veículos</t>
  </si>
  <si>
    <t>Serviços de Fornecimento de Listagens</t>
  </si>
  <si>
    <t>Serviços de Fotocópias ou Cópias Heliográficas</t>
  </si>
  <si>
    <t>Outros Serviços Administrativos</t>
  </si>
  <si>
    <t>Serviços de Inspeção e Fiscalização</t>
  </si>
  <si>
    <t>Serviços de Meteorologia</t>
  </si>
  <si>
    <t>Serviços Educacionais</t>
  </si>
  <si>
    <t>Serviços Agropecuários</t>
  </si>
  <si>
    <t>Serviços de Reparação, Manutenção e Instalação</t>
  </si>
  <si>
    <t>Serviços Recreativos e Culturais</t>
  </si>
  <si>
    <t>Serviços de Consultoria, Assistência Técnica e Análise de Projetos</t>
  </si>
  <si>
    <t>Serviços de Consultoria, Assistência Técnica e Análise de Projetos - Aplicações Livres</t>
  </si>
  <si>
    <t>Serviços de Consultoria, Assistência Técnica e Análise de Projetos - Aplicações Vinculadas a Atividades de Pesquisa e Desenvolvimento</t>
  </si>
  <si>
    <t>Serviços de Hospedagem e Alimentação</t>
  </si>
  <si>
    <t>Serviços de Estudos e Pesquisas</t>
  </si>
  <si>
    <t>Serviços de Registro de Marcas, de Patentes e de Transferências de Tecnologia</t>
  </si>
  <si>
    <t>Serviços de Patentes</t>
  </si>
  <si>
    <t>Serviços de Registro de Marcas</t>
  </si>
  <si>
    <t>Serviços de Transferência de Tecnologia</t>
  </si>
  <si>
    <t>Serviços de Registro de Indicações Geográficas</t>
  </si>
  <si>
    <t>Serviços de Registro de Programas de Computador</t>
  </si>
  <si>
    <t>Serviços de Registro de Desenho Industrial</t>
  </si>
  <si>
    <t>Serviços de Proteção das Topografias de Circuitos Integrados</t>
  </si>
  <si>
    <t>Serviços de Remessa de Depósitos Oficiais</t>
  </si>
  <si>
    <t>Outros Serviços de Registro de Marcas, de Patentes e de Transferência Tecnológica</t>
  </si>
  <si>
    <t>Serviços de Registro do Comércio</t>
  </si>
  <si>
    <t>Serviços de Informações Científicas e Tecnológicas</t>
  </si>
  <si>
    <t>Serviços de Fornecimento de Água</t>
  </si>
  <si>
    <t>Serviços de Perfuração e Instalação de Poços</t>
  </si>
  <si>
    <t>Serviços de Geoprocessamento</t>
  </si>
  <si>
    <t>Serviços de Cadastramento de Fornecedores</t>
  </si>
  <si>
    <t>Tarifa de Utilização de Faróis</t>
  </si>
  <si>
    <t>Tarifa e Adicional sobre Tarifa Aeroportuária</t>
  </si>
  <si>
    <t>Tarifa Aeroportuária</t>
  </si>
  <si>
    <t>Adicional sobre Tarifa Aeroportuária</t>
  </si>
  <si>
    <t>Parcela de Tarifa de Embarque Internacional</t>
  </si>
  <si>
    <t>Serviços de Cadastro da Atividade Mineral</t>
  </si>
  <si>
    <t>Tarifas e Adicional sobre Tarifas de Uso das Comunicações e dos Auxílios à Navegação Aérea em Rota</t>
  </si>
  <si>
    <t>Tarifas de Uso das Comunicações e dos Auxílios à Navegação Aérea em Rota</t>
  </si>
  <si>
    <t>Adicional sobre Tarifas de Uso das Comunicações e dos Auxílios à Navegação Aérea em Rota</t>
  </si>
  <si>
    <t>Serviços de Regulamentação da Exploração dos Serviços de Telecomunicações - Regime Privado</t>
  </si>
  <si>
    <t>Serviços de Compensações de Variações Salariais</t>
  </si>
  <si>
    <t>Prestação de Serviços pelo Banco Central do Brasil</t>
  </si>
  <si>
    <t>Tarifa pelo Uso do Sistema do Banco Central</t>
  </si>
  <si>
    <t>Tarifa pelo Uso do Sistema de Transferência de Reserva do Banco Central</t>
  </si>
  <si>
    <t xml:space="preserve">Garantias e Avais </t>
  </si>
  <si>
    <t>Concessão de Aval do Tesouro Nacional</t>
  </si>
  <si>
    <t>Concessão de Garantia da Atividade Agropecuária</t>
  </si>
  <si>
    <t>Comissões pela Prestação de Garantia</t>
  </si>
  <si>
    <t>Garantia dos Financiamentos à Estocagem de Álcool Etílico Combustível</t>
  </si>
  <si>
    <t>Receita de Seguro de Crédito à Exportação</t>
  </si>
  <si>
    <t>Receita de Credenciamento de Empresas Prestadoras de Serviços de Vistoria</t>
  </si>
  <si>
    <t>Serviços Veterinários</t>
  </si>
  <si>
    <t>Serviços de Certificação e Homologação de Produtos de Telecomunicações</t>
  </si>
  <si>
    <t>Serviços de Captação, Adução, Tratamento, Reserva e Distribuição de Água</t>
  </si>
  <si>
    <t>Serviços de Coleta, Transporte, Tratamento e Destino Final de Esgotos</t>
  </si>
  <si>
    <t>Serviços de Coleta, Transporte, Tratamento e Destino Final de Resíduos Sólidos</t>
  </si>
  <si>
    <t>Serviços de Abate de Animais</t>
  </si>
  <si>
    <t>Serviços de Preparação da Terra em Propriedades Particulares</t>
  </si>
  <si>
    <t>Serviços de Cemitério</t>
  </si>
  <si>
    <t>Serviços de Iluminação Pública</t>
  </si>
  <si>
    <t>Serviços de Religamento de Água</t>
  </si>
  <si>
    <t>Tarifas de Inscrição em Concursos e Processos Seletivos</t>
  </si>
  <si>
    <t>Receitas de Emissão de Certificado de Origem e de Emissão de Licença de Exportação</t>
  </si>
  <si>
    <t>Receitas de Emissão de Certificados de Origem</t>
  </si>
  <si>
    <t>Receitas de Emissão de Licença de Exportação</t>
  </si>
  <si>
    <t>Certificação e Homologação da Atividade Mineral</t>
  </si>
  <si>
    <t>Serviços Voltados à Inovação e à Pesquisa no Ambiente Produtivo – Instituição Científica e Tecnológica</t>
  </si>
  <si>
    <t>Serviços Prestados Diretamente por Instituição Científica e Tecnológica</t>
  </si>
  <si>
    <t>Serviços Decorrentes de Parcerias com Outras Instituições Públicas e Privadas</t>
  </si>
  <si>
    <t>Tarifa de Compartilhamento e Utilização em Atividades de Pesquisa e Inovação – Instituição Científica e Tecnológica</t>
  </si>
  <si>
    <t>Compartilhamento de Laboratórios e Afins com Microempresas e Empresas de Pequeno Porte em Atividades de Inovação</t>
  </si>
  <si>
    <t>Utilização de Laboratórios e Afins por Empresas Nacionais e Organizações de Direito Privado Sem Fins Lucrativos em Atividades de Pesquisa</t>
  </si>
  <si>
    <t>Outros Serviços</t>
  </si>
  <si>
    <t>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 (excetuam-se as usinas de açúcar, fábricas de polpa, de madeira, serrarias e unidades industriais com produção licenciada, que são classificadas como industriais).</t>
  </si>
  <si>
    <t>Registra o valor total das receitas decorrentes de lavouras permanentes, temporárias e espontâneas (ou nativas), silvicultura e extração de produtos vegetais, venda de sementes, mudas ou assemelhados, desde que realizados diretamente pelo produtor.</t>
  </si>
  <si>
    <t>Registra o valor total das receitas de produção animal e derivados, decorrentes de atividades de exploração econômica de: a) pecuária de grande porte – bovinos, bufalinos, equinos e outros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à produção de alimentos (matadouros, fábricas de laticínios, etc.) são classificadas em receitas da indústria de transformação, bem como secagem, curtimento, outras preparações de couros e peles etc.</t>
  </si>
  <si>
    <t>Registra o valor total da arrecadação com outras receitas agropecuárias não classificadas nos itens anteriores.</t>
  </si>
  <si>
    <t>Registra o valor total da arrecadação da receita da indústria de extração mineral, de transformação, de construção e outros, provenientes das atividades industriais definidas como tais pela Fundação Instituto Brasileiro de Geografia e Estatística – IBGE.</t>
  </si>
  <si>
    <t>Registra o valor total da receita decorrente das atividades de extração mineral, provenientes das atividades industriais assim definidas pela Fundação Instituto Brasileiro de Geografia e Estatística - IBGE</t>
  </si>
  <si>
    <t>Registra o valor total da arrecadação das receitas das atividades ligadas à indústria de transformação, baseadas na classificação da fundação IBGE.</t>
  </si>
  <si>
    <t>Registra o valor total das receitas recebidas por meio da indústria mecânica.</t>
  </si>
  <si>
    <t>Registra o valor total das receitas recebidas originárias da comercialização da indústria química.</t>
  </si>
  <si>
    <t>Registra o valor total das receitas recebidas originárias da comercialização da indústria de produtos farmacêuticos e veterinários.</t>
  </si>
  <si>
    <t>Registra a receita da Indústria de Produtos Farmacêuticos</t>
  </si>
  <si>
    <t>Registra a Receita da Indústria de Produtos Veterinários</t>
  </si>
  <si>
    <t>Registra o valor da receita decorrente da comercialização de produtos originários da indústria de produtos farmoquímicos.</t>
  </si>
  <si>
    <t>Registra o valor total das receitas recebidas originárias da comercialização da indústria de produtos alimentares.</t>
  </si>
  <si>
    <t>Registra o valor da arrecadação de receita da indústria de transformação da comercialização de bebidas e destilados produzidos pelas escolas agrotécnicas federais.</t>
  </si>
  <si>
    <t>Registra o valor da arrecadação de receita da indústria de transformação da usina de tratamento de lixo.</t>
  </si>
  <si>
    <t>Registra o valor total das receitas recebidas originárias de comercialização da indústria editorial e gráfica.</t>
  </si>
  <si>
    <t>Registra as receitas provenientes da comercialização de dispositivos semicondutores e sistemas de circuitos integrados, além de outros produtos de microeletrônica.</t>
  </si>
  <si>
    <t>Registra o valor total das receitas da indústria de transformação não classificadas nos itens anteriores.</t>
  </si>
  <si>
    <t>Registra o valor total da arrecadação da receita da indústria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</si>
  <si>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Registra o valor total da arrecadação de outras receitas da indústria não classificáveis nos itens anteriores.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</si>
  <si>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</si>
  <si>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Registra o valor total da arrecadação de serviços comerciais e financeiros, oriundos das atividades do comércio varejista e atacadista, ou seja, operações de revenda de mercadorias para consumo, uso pessoal ou uso doméstico, bem como a revenda de mercadorias a comerciantes varejistas, a consumidores industriais, a instituições, profissionais e outros comerciantes atacadistas. Este título abrange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</si>
  <si>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Registra o valor total da arrecadação da receita auferida nas atividades de comércio varejista e atacadista de medicamentos.</t>
  </si>
  <si>
    <t>Registra o valor total da arrecadação de serviços de comercialização de livros, periódicos, material escolar e de publicidade, varejista ou atacadista.</t>
  </si>
  <si>
    <t>Registra o valor total da arrecadação de serviços de comércio varejista e atacadista de produtos agropecuários. Estão incluídas neste item as receitas decorrentes da comercialização de produtos adquiridos com garantia de preço mínimo e para a formação de estoques reguladores e as provenientes da prestação de serviços de beneficiamento, empacotamento e distribuição de gêneros alimentícios.</t>
  </si>
  <si>
    <t>Registra o valor total da arrecadação proveniente da comercialização de produtos, dados e materiais de informática, tais como disquetes, softwares, programas, cd-rom, fitas magnéticas e assemelhados, bem como informações em redes e sistemas de dados disponíveis em meio de hardware.</t>
  </si>
  <si>
    <t>Registra a receita decorrente da comercialização dos dados e imagens oriundos da utilização de posições orbitais.</t>
  </si>
  <si>
    <t>Registra a receita proveniente do lançamento, em caráter comercial, de satélites e foguetes de sondagem, a partir do território brasileiro.</t>
  </si>
  <si>
    <t>Registra a receita proveniente da venda de uniformes e fardamentos.</t>
  </si>
  <si>
    <t>Registra o valor total da arrecadação de outros serviços comerciais, não classificados nos itens anteriores.</t>
  </si>
  <si>
    <t>Registra o valor total da arrecadação de serviços financeiros pelo auferimento de juros de empréstimos e de taxa de concessão de aval dentre outros. Receita de atividades financeiras, de seguros e assemelhadas: transferência de valores, cobranças, serviços de câmbio, desconto de títulos, repasse de empréstimos, prestação de aval e garantias, concessão de crédito etc; seguros (inclusive resseguro); operações de sociedades de capitalização.</t>
  </si>
  <si>
    <t>Registra o valor total da arrecadação de receitas de serviços financeiros relativas ao resultado das taxas de juros aplicadas a empréstimos concedidos. Difere dos juros classificados na receita patrimonial por se tratar de receita operacional das instituições financeiras.</t>
  </si>
  <si>
    <t>Registra o valor da receita financeira proveniente de outras operações financeiras realizadas pelo Fundo de Compensação de Variações Salariais – FCVS.</t>
  </si>
  <si>
    <t>Registra o valor da receita do Banco Central do Brasil, proveniente de operações com títulos, da área externa, da área bancária, com ouro e outras.</t>
  </si>
  <si>
    <t>Registra o valor total da arrecadação com serviços de remuneração de repasses de programa de desenvolvimento econômico.</t>
  </si>
  <si>
    <t>Registra o valor da arrecadação da receita de serviços financeiros provenientes da execução de garantia em operações de crédito internas.</t>
  </si>
  <si>
    <t>Registra o valor da arrecadação da receita de serviços financeiros provenientes da execução de garantia em operações de crédito externas.</t>
  </si>
  <si>
    <t>Registra o valor total da arrecadação de outros serviços financeiros, não classificados nos itens anteriores.</t>
  </si>
  <si>
    <t>Registra o valor total da arrecadação de serviços de transporte rodoviário, ferroviário, hidroviário, aéreo, especiais e tarifa de pedágio.</t>
  </si>
  <si>
    <t>Registra o valor total da arrecadação da receita de prestação de serviços com transporte rodoviário. Receita de serviços de transporte rodoviário de passageiros, de carga ou misto, de escolares, táxi, de encomendas.</t>
  </si>
  <si>
    <t>Registra o valor total da arrecadação da receita de prestação de serviços com transporte ferroviário, de passageiros e de carga, inclusive metropolitano.</t>
  </si>
  <si>
    <t>Registra o valor total da arrecadação da receita de prestação de serviços com transporte hidroviário de passageiros, de carga ou misto, de longo curso, de cabotagem e por vias internas (rios, lagos, etc.).</t>
  </si>
  <si>
    <t>Registra o valor total da arrecadação da receita de prestação de serviços com transporte aéreo de passageiros, de carga ou misto, transporte aéreo regular, transporte aéreo regional, táxi aéreo, aeronaves fretadas.</t>
  </si>
  <si>
    <t>Registra o valor total da arrecadação da receita de prestação de serviços com transportes especiais, como transporte por oleoduto, gasoduto, “mineroduto”, etc.</t>
  </si>
  <si>
    <t>Registra o valor da arrecadação de receita de serviços de transporte de terminais rodoviários pela utilização de duchas para banho, lanchonetes e outros.</t>
  </si>
  <si>
    <t>Registra o valor total da arrecadação com outros serviços de transporte, não classificados nos itens anteriores.</t>
  </si>
  <si>
    <t>Registra o valor total da arrecadação de serviços de comunicação. Receitas das atividades de comunicações que proporcionam ao público: a) serviço postal, de entrega e transporte de volumes e correspondências;  b) serviço de comunicação telegráfica e de telex nacional e internacional; c) serviço de comunicação telefônica local, interurbana e internacional, e de transmissão de dados; d) serviço de radiodifusão.</t>
  </si>
  <si>
    <t>Registra o valor da receita decorrente das atividades de agenciamento de publicidade.</t>
  </si>
  <si>
    <t>Registra o valor da receita decorrente das atividades de radiodifusão.</t>
  </si>
  <si>
    <t>Registra o valor da receita decorrente de outros serviços de comunicação, tais como: serviço postal, de entrega e transporte de volumes e correspondências; de comunicação telefônica local, interurbana e internacional e de transmissão de dados.</t>
  </si>
  <si>
    <t>Registra o valor total da arrecadação da receita proveniente da remuneração por prestação de serviços de saúde, hospitalares, gerais ou especializados, maternidade, centro de reabilitação, assistência médico-odontológica (inclusive ambulatorial), saúde pública etc. Esta classificação contempla ainda os recursos do Sistema Único de Saúde – SUS – pagos diretamente pela União aos prestadores do serviço de saúde.</t>
  </si>
  <si>
    <t>Registra o valor total da arrecadação da receita de prestação de serviços de hospital em geral ou especializado, maternidade, centro de reabilitação etc.</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</si>
  <si>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entregues ao consumo.</t>
  </si>
  <si>
    <t>Registra o valor da arrecadação da receita originária da prestação de serviços radiológicos e laboratoriais.</t>
  </si>
  <si>
    <t>Registra o valor da arrecadação da receita originária de participação da União, suas autarquias e fundações públicas e de recursos provenientes da contribuição dos servidores públicos civis ativos, inativos e pensionistas, destinada ao custeio da Assistência à Saúde Suplementar do Servidor Civil, no caso de prestação direta pelos órgãos (gestão própria). Amparo legal: Lei nº 8.112, de 11 de dezembro de 1990, art. 230; Lei nº 11.302, de 10 de maio de 2006, art. 9º;</t>
  </si>
  <si>
    <t>Registra o valor da arrecadação da receita originária da prestação de serviços ambulatoriais.</t>
  </si>
  <si>
    <t>Registra o valor total das receitas de outros serviços de saúde não classificados nos itens anteriores.</t>
  </si>
  <si>
    <t>Registra o valor total da arrecadação de receita com serviços portuários. Abrange os recursos oriundos da exploração dos portos, terminais marítimos, atracadouros e ancoradouros, referentes à estiva, desestiva, dragagem, atracação, sinalização, comunicação náutica, docagem etc.</t>
  </si>
  <si>
    <t>Registra o valor total da arrecadação de receitas com serviços de armazenagem auferida de operações de rede de armazéns, silos e armazéns frigoríficos, inclusive nos portos.</t>
  </si>
  <si>
    <t>Registra o valor total da arrecadação de serviços de processamento de dados prestados para terceiros: preparo de programa, análise de sistemas, digitação, conferência etc.</t>
  </si>
  <si>
    <t>Registra o valor total da arrecadação de receita de serviço de socorro marítimo prestado: salvamento, por navio de socorro ou equipe de salvamento, de embarcação e cargas em perigo (desencalhe, mergulho, outros socorros), bem como serviços de reboque marítimo, entre outros.</t>
  </si>
  <si>
    <t>Registra o valor total da receita proveniente da prestação de serviços de informações estatísticas, fornecidas a entidades públicas ou privadas.</t>
  </si>
  <si>
    <t>Registra o valor total da arrecadação de receita de serviços de metrologia e certificação prestados. Receitas de serviços metrológicos em geral, tais como aferição de medidas e instrumentos de medir, serviços de arqueação de tanques para armazenagem etc.</t>
  </si>
  <si>
    <t>Registra o valor da arrecadação de receita de metrologia legal e certificatória de entidades públicas ou privadas credenciadas.</t>
  </si>
  <si>
    <t>Registra o valor da arrecadação de receita de serviços metrológicos e certificação referente à aferição de instrumentos de medir, serviços de arqueação de tanques para armazenagem etc.</t>
  </si>
  <si>
    <t>Registra o valor da arrecadação de receitas de serviços metrológicos legais para assegurar a uniformidade, a racionalização das unidades de medidas utilizadas em todo o território nacional e a aferição de instrumentos de medir etc.</t>
  </si>
  <si>
    <t>Registra o valor da arrecadação de receita serviços de certificação da qualidade de materiais, produtos e serviços.</t>
  </si>
  <si>
    <t>Registra o valor da arrecadação de receita de serviços de informações tecnológicas.</t>
  </si>
  <si>
    <t>Registra o valor da receita de outros serviços de metrologia e certificação, não classificados nos itens anteriores.</t>
  </si>
  <si>
    <t>Registra o valor total da arrecadação de serviços tecnológicos que envolvam informações, meteorologia, geoprocessamento, processamento de dados e outros.</t>
  </si>
  <si>
    <t>Registra o valor total da arrecadação de serviços administrativos (atividades de apoio administrativo de caráter não-tributário) executados por organizações de qualquer natureza prestados diretamente aos usuários, tais como: a) serviço de expedição de certificados; b) serviço de registro, renovação, vistoria, licença, cadastramento, etc. c) datilografia, digitação, microfilmagem, fotocópias, cópias heliográficas, fotostáticas etc. d) tarifa de inscrição em concursos; e) tarifa de administração de serviços; f) venda de editais.</t>
  </si>
  <si>
    <t>Registra o valor da arrecadação de receita de serviços administrativos de tarifa de inscrição em concursos públicos.</t>
  </si>
  <si>
    <t>Registra o valor da arrecadação de receita de serviços administrativos da venda de editais para concorrência pública.</t>
  </si>
  <si>
    <t>Registra o valor da arrecadação de receita de serviços especiais PM/Bombeiro.</t>
  </si>
  <si>
    <t>Registra o valor da arrecadação de receita de serviços administrativos de expedição de certificados.</t>
  </si>
  <si>
    <t>Registra o valor da arrecadação de receita de serviços administrativos de vistoria de veículos automotores.</t>
  </si>
  <si>
    <t>Registra o valor da arrecadação de receita de serviços administrativos de fornecimento de listagens de pessoas, imóveis etc.</t>
  </si>
  <si>
    <t>Registra o valor da arrecadação de receita de serviços administrativos de fotocópias ou cópias heliográficas.</t>
  </si>
  <si>
    <t>Registra o valor da receita de outros serviços administrativos, não classificados nos itens anteriores.</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</si>
  <si>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à verificação do cumprimento da legislação.</t>
  </si>
  <si>
    <t>Registra o valor da arrecadação de receita de serviços de fornecimento de dados meteorológicos e de pareceres técnicos, bem como conserto, comparação e aferição de equipamentos de meteorologia.</t>
  </si>
  <si>
    <t>Registra o valor total da arrecadação de receitas auferidas pelas atividades do sistema educacional, cuja natureza esteja diretamente relacionada à formação do educando (matrículas, anuidades, etc.). As receitas de atividades auxiliares, de apoio ou derivadas dos serviços educacionais propriamente ditos, devem ser classificadas nos títulos apropriados. Exemplos: matrículas e anuidades, serviços educacionais, tarifas de expedição de documentos, fotocópias, cópias heliográficas etc., serviço de credenciamento, autorização e reconhecimento de cursos.</t>
  </si>
  <si>
    <t>Registra o valor total da arrecadação auferida por meio das receitas de serviços de atividades e infra-estrutura agropecuárias.</t>
  </si>
  <si>
    <t>Registra o valor total da arrecadação de receita de serviços de reparação, manutenção e instalação prestados. Receita de serviços de reparação de artefatos de metal; reparação e manutenção de máquinas e aparelhos de uso doméstico; reparação, manutenção e instalação de máquinas e aparelhos elétricos e eletrônicos e de comunicação; reparação e manutenção de instalações elétricas, de gás, de água etc. Incluem-se também, neste título, os serviços de confecção sob medida. Não são considerados neste título, classificando-se em receita industrial: reparação e manutenção de veículos ferroviários, embarcações e aeronaves (indústria de material de transporte).</t>
  </si>
  <si>
    <t>Registra o valor total da arrecadação da receita de serviços recreativos e culturais prestados. Receita proporcionada pela exploração de instalações para recreação, prática desportiva e cultural (cinemas, teatros, salões para recitais, concertos, conferências, planetários, estádios desportivos, autódromos, museus, bibliotecas, promoção e/ou produção de espetáculos artísticos culturais e esportivos).</t>
  </si>
  <si>
    <t>Registra o valor total da arrecadação com serviços de consultoria, assistência técnica e análise de projetos prestados, como consultorias técnico-financeiras, assessoria, organização e administração de empresas, auditoria, contabilidade e escrituração, perícias contábeis, análise de projetos, assistência técnica, extensão rural etc.</t>
  </si>
  <si>
    <t>Registra o valor total da arrecadação com serviços de hospedagem e alimentação prestados. Receita proporcionada por hospedagem, com ou sem alimentação, fornecimento de refeições, lanches e bebidas para consumo imediato. Excluem-se as receitas provenientes de empresas fornecedoras de alimentos preparados para hospitais, fábricas etc, que se classificam em indústria de produtos alimentares.</t>
  </si>
  <si>
    <t>Registra o valor total da arrecadação com serviços de pesquisas e estudos técnico-sociais, econômicos, científicos, culturais etc, realizados sob contrato.</t>
  </si>
  <si>
    <t xml:space="preserve">Registra o valor da arrecadação de receita de serviços com petições gerais, pedidos e petições relativos a privilégios; pedidos e petições relativos a marcas e patentes; pedidos e petições relativos a contratos de transferência de tecnologia e correlatos. </t>
  </si>
  <si>
    <t>Registra o valor da arrecadação de receita de serviços de petições, pedidos de privilégio, anuidades de pedidos, registros de desenho industrial etc.</t>
  </si>
  <si>
    <t>Registra o valor da arrecadação de receita de serviços de pedidos de registro de marcas, vigências de marcas, petições etc.</t>
  </si>
  <si>
    <t>Registra o valor da arrecadação de receita de serviços de averbações de contratos, petições, recursos etc.</t>
  </si>
  <si>
    <t>Registra o valor da arrecadação de receita de serviços de pedidos de registro, expedições de certificados de registro etc.</t>
  </si>
  <si>
    <t>Registra o valor da arrecadação de receita de retribuições de serviços de registro de programas de computador.</t>
  </si>
  <si>
    <t>Registra o valor da receita correspondente aos valores monetários de retribuições aos serviços de registro de desenho industrial.</t>
  </si>
  <si>
    <t>Registra o valor da receita correspondente aos valores monetários de retribuições aos serviços de proteção das topografias de circuitos integrados.</t>
  </si>
  <si>
    <t>Registra o valor da receita correspondente aos valores monetários de retribuições aos serviços de remessa de depósitos oficiais.</t>
  </si>
  <si>
    <t>Registra o valor da receita de outros serviços de registro de marcas, patentes e de transferência tecnológica, não classificados nos itens anteriores.</t>
  </si>
  <si>
    <t>Registra o valor total da arrecadação de serviços de registro de marcas, patentes, transferência de tecnologia, bem como de serviços de registro do comércio.</t>
  </si>
  <si>
    <t>Registra o valor total da arrecadação auferida por meio das receitas de serviços científicos e tecnológicos.</t>
  </si>
  <si>
    <t>Registra a receita proveniente de fornecimento de água para usuários da infra-estrutura pública de irrigação, destinada à manutenção e recuperação dos Perímetros conforme Decreto no 89.496, de 29 de março de 1984.</t>
  </si>
  <si>
    <t>Registra as receitas auferidas nos serviços prestados de perfuração e instalação de poços tubulares profundos, poços artesianos ou similares.</t>
  </si>
  <si>
    <t xml:space="preserve">Registra o valor da arrecadação de receita de serviços prestados a terceiros de interpretação de imagem aerofotogramétrica, execução de mapas digitalizados diversos, venda de cartas e imagens de satélites, videográficas e similares. </t>
  </si>
  <si>
    <t>Registra o valor total da arrecadação de receita proveniente da prestação de serviços de cadastramento de empresas fornecedoras de bens e serviços aos governos.</t>
  </si>
  <si>
    <t>Registra o valor total da arrecadação com tarifa de utilização de faróis, proveniente da efetiva utilização, por embarcações estrangeiras, dos serviços de sinalização náutica de proteção a navegação. O produto da arrecadação é destinado integralmente ao fundo naval para aplicação nos serviços que envolvam a manutenção e ampliação da rede de balizamento marítimo, fluvial e lacustre.</t>
  </si>
  <si>
    <t>Registra o valor total da arrecadação de tarifa e adicional sobre tarifa aeroportuária cobrados por embarque de passageiros, pouso e permanência de aeronaves nos aeroportos, armazenagem de mercadorias em armazéns de carga aérea e utilização de serviços relativos à manutenção e manuseio de mercadorias em armazéns de carga (tarifa de capatazia).</t>
  </si>
  <si>
    <t>Registra o valor da arrecadação de receita de tarifas cobrada por embarque de passageiros, pouso e permanência de aeronaves nos aeroportos, armazenagem de mercadorias em armazéns de carga aérea e utilização de serviços relativos à manutenção e manuseio de mercadorias em armazéns de carga (tarifa de capatazia).</t>
  </si>
  <si>
    <t>Registra o valor da parcela correspondente ao aumento concedido pela Portaria 861/GM2, de 9/12/97, do Ministério da Aeronáutica, às tarifas de embarque internacional, vigentes naquela data, incluindo o seu correspondente adicional tarifário, previsto na Lei nº 7.920, de 12/12/89. Os recursos destinam-se à amortização da dívida pública federal (Lei nº 9.825, de 23/08/99; MP nº 61, de 16/08/02).</t>
  </si>
  <si>
    <t>Registra o valor da arrecadação de receita da taxa de serviços cadastrais quando do Requerimento de Autorização de Pesquisa Mineral.</t>
  </si>
  <si>
    <t>Registra o valor da receita proveniente de tarifas e adicional sobre tarifas cobradas pela utilização dos serviços de informações aeronáuticas, tráfego aéreo, meteorologia, auxílios à navegação aérea, facilidades de comunicações, e outros serviços auxiliares de proteção ao vôo, proporcionados pelo Ministério da Aeronáutica e por empresa especializada da administração federal indireta, a ele vinculada. Essas tarifas são formadas pela Tarifa de Uso das Comunicações e dos Auxílios à Navegação Aérea (TAN) e pela Tarifa de Uso das Comunicações e dos Auxílios Rádio e Visuais em Área de Terminal Aéreo (TAT).</t>
  </si>
  <si>
    <t xml:space="preserve">Registra o valor da receita da utilização de instalações e serviços destinados a apoiar e tornar segura a navegação aérea, proporcionados pelo Ministério da Aeronáutica ou por entidade especializada da Administração Federal Indireta, a ele vinculada.           </t>
  </si>
  <si>
    <t>Registra o valor da receita do adicional de 50% sobre as tarifas de utilização de instalações e serviços destinados a apoiar e tornar segura a navegação aérea, proporcionados pelo Ministério da Aeronáutica ou por entidade especializada da Administração Federal Indireta, a ele vinculada.</t>
  </si>
  <si>
    <t>Registra o valor total da arrecadação de receita de serviços de regulamentação e exploração dos serviços de telecomunicações no regime privado. Receitas decorrentes do exercício da atividade ordenadora da exploração de serviços de telecomunicações, no regime privado, inclusive pagamentos pela expedição de autorização de serviços e similares.</t>
  </si>
  <si>
    <t>Registra o valor da receita proveniente da cobrança de contribuições sobre o valor das prestações pagas pelos mutuários do Sistema Financeiro de Habitação – SFH – e sobre o saldo dos financiamentos imobiliários concedidos pelos agentes financeiros do SFH, com cobertura do FCVS.</t>
  </si>
  <si>
    <t>Registra o valor da receita do Banco Central do Brasil proveniente da prestação de serviços de Autoridade Monetária ao setor bancário.</t>
  </si>
  <si>
    <t>Registra o valor da receita proveniente da arrecadação da tarifa pelo uso do Sistema do Banco Central.</t>
  </si>
  <si>
    <t>Registra o valor da receita proveniente da arrecadação da tarifa pelo uso do Sistema de Transferência de Reserva do Banco Central.</t>
  </si>
  <si>
    <t xml:space="preserve">Receita decorrente da prestação de garantias e avais nas operações de crédito.                                   </t>
  </si>
  <si>
    <t xml:space="preserve">Receita decorrente de valores cobrado a título de comissão, execução ou fiscalização, pela concessão de garantia do Tesouro Nacional a créditos obtidos no exterior.                                                          </t>
  </si>
  <si>
    <t>Registra a receita proveniente de adicional cobrado sobre os empréstimos rurais de custeio. Tem por finalidade eximir o produtor rural de possíveis obrigações relativas a operações de crédito cuja liquidação seja dificultada por fenômenos naturais, doenças ou pragas.</t>
  </si>
  <si>
    <t>Receitas provenientes de comissões cobradas por conta da garantia de operações de financiamento para aumento da competitividade e da produção destinada à exportação.</t>
  </si>
  <si>
    <t xml:space="preserve">Registra a concessão de garantias e avais nos financiamentos à estocagem de álcool etílico combustível. </t>
  </si>
  <si>
    <t>Registra o valor da receita decorrente da garantia das operações de crédito à exportação contra os riscos comerciais, políticos e extraordinários que possam afetar a produção de bens e a prestação de serviços destinados à exportação ou as exportações brasileiras de bens e serviços.</t>
  </si>
  <si>
    <t>Registra o valor da receita decorrente de valor a ser pago por empresas na obtenção de credenciamento para prestação dos serviços de vistoria.</t>
  </si>
  <si>
    <t>Registra a receita decorrente de serviços veterinários</t>
  </si>
  <si>
    <t>Registra o valor da arrecadação de receita de serviços de aprovação de laudos de ensaio de produtos e prestação de serviços técnicos.</t>
  </si>
  <si>
    <t>Registra o valor da arrecadação de receita de serviços prestados a usuários pelo fornecimento de água potável representados pelo consumo auferido quando da utilização do serviço à disposição do proprietário.</t>
  </si>
  <si>
    <t>Registra o valor da arrecadação de receita de serviços prestados a usuários beneficiados com esgotamento sanitário, representados pelo consumo auferido quando da utilização do serviço a disposição do proprietário.</t>
  </si>
  <si>
    <t>Registra o valor da arrecadação de receita de serviços com a coleta, transporte, tratamento e destino final de resíduos sólidos representados pelo consumo auferido quando da utilização do serviço à disposição do proprietário.</t>
  </si>
  <si>
    <t>Registra o valor da arrecadação de receita de serviços de abate de animais, praticados por matadouro municipal.</t>
  </si>
  <si>
    <t>Registra o valor da arrecadação de receita de serviços de preparação da terra em propriedades particulares, inclusive colheita.</t>
  </si>
  <si>
    <t>Registra o valor da arrecadação de receita de serviços de construção e limpeza de túmulos perpétuos e outros.</t>
  </si>
  <si>
    <t>Registra o valor da arrecadação de receita de serviços de iluminação pública, representados pelo consumo auferido quando da utilização do serviço a disposição do proprietário.</t>
  </si>
  <si>
    <t>Registra o valor da arrecadação de receita de serviços de religamento de água, ocasionados por corte de fornecimento em função do não pagamento.</t>
  </si>
  <si>
    <t>Registra as receitas, de caráter administrativo, decorrentes de tarifas de inscrição em concursos e processos seletivos.</t>
  </si>
  <si>
    <t>Registra as receitas próprias decorrentes da emissão, pelo Departamento de Operações de Comércio Exterior da Secretaria de Comércio Exterior, do MDIC, de licenças de exportação e de certificados de origem, necessários para a entrada de produto brasileiro na União Européia, com o objetivo de obter no exterior redução na alíquota de importação. A tarifa será cobrada para permitir a remuneração do serviço prestado para a emissão da licença de exportação ou do certificado de origem, conforme o caso, por solicitação da empresa exportadora. Os recursos serão destinados ao MDIC.</t>
  </si>
  <si>
    <t>Registra as receitas próprias decorrentes da emissão, pelo Departamento de Operações de Comércio Exterior da Secretaria de Comércio Exterior, do MDIC, de certificados de origem, requerido pelo exportador após a entrada de produto brasileiro na União Européia. A tarifa será cobrada para permitir a remuneração do serviço prestado para a emissão do certificado de origem. Os recursos serão destinados ao MDIC.</t>
  </si>
  <si>
    <t>Registra as receitas próprias decorrentes da emissão, pelo Departamento de Operações de Comércio Exterior da Secretaria de Comércio Exterior, do MDIC, de licenças de necessários para a entrada de produto brasileiro na União Européia, com o objetivo de obter no exterior redução na alíquota de importação. A tarifa será cobrada para permitir a remuneração do serviço prestado para a emissão da licença de exportação, por solicitação da empresa exportadora. Os recursos serão destinados ao MDIC.</t>
  </si>
  <si>
    <t>Registra o valor da arrecadação de receita de taxa de serviços cadastrais quando do Requerimento de Registro de Licença e do Registro de Permissão de Lavra Garimpeira.</t>
  </si>
  <si>
    <t>Registra o valor da arrecadação de receita decorrente da prestação de serviços voltados à inovação e à pesquisa científica e tecnológica no ambiente produtivo.</t>
  </si>
  <si>
    <t>Registra o valor da arrecadação de receita de serviços prestados diretamente por Instituições Científicas e Tecnológicas, voltados à inovação e à pesquisa científica e tecnológica no ambiente produtivo.</t>
  </si>
  <si>
    <t>Registra o valor da arrecadação de receita de celebração de acordos de parceria para realização de atividades conjuntas de pesquisa científica e tecnológica e desenvolvimento de tecnologia, produto ou processo, com instituições públicas e privadas.</t>
  </si>
  <si>
    <t>Registra o valor da arrecadação de receita decorrente do compartilhamento e utilização de laboratórios, equipamentos, instrumentos, materiais e demais instalações, em atividades voltadas à inovação e pesquisa científica e tecnológica.</t>
  </si>
  <si>
    <t>Registra o valor da arrecadação de receita de compartilhamento de laboratórios e afins com microempresas e empresas de pequeno porte, em atividades de inovação.</t>
  </si>
  <si>
    <t>Registra o valor da arrecadação de receita da utilização de laboratórios e afins por empresas nacionais e organizações de direito privado sem fins lucrativos, voltadas para atividades de pesquisa.</t>
  </si>
  <si>
    <t>Registra o valor total da arrecadação de outras receitas de serviços não classificados nos itens anteriores.</t>
  </si>
  <si>
    <t>Transferências Correntes</t>
  </si>
  <si>
    <t>Transferências Intergovernamentais</t>
  </si>
  <si>
    <t>Transferências da União</t>
  </si>
  <si>
    <t>Participação na Receita da União</t>
  </si>
  <si>
    <t>Cota-Parte do Fundo de Participação dos Estados e do Distrito Federal</t>
  </si>
  <si>
    <t>Cota-Parte do Imposto Sobre a Propriedade Territorial Rural</t>
  </si>
  <si>
    <t>Cota-Parte do Imposto Sobre Produtos Industrializados – Estados Exportadores de Produtos Industrializados</t>
  </si>
  <si>
    <t>Cota-Parte da Contribuição de Intervenção no Domínio Econômico</t>
  </si>
  <si>
    <t>Cota-Parte do Imposto Sobre Operações de Crédito, Câmbio e Seguro, ou Relativas a Títulos ou Valores Mobiliários – Comercialização do Ouro</t>
  </si>
  <si>
    <t>Transferência da Compensação Financeira pela Exploração de Recursos Naturais</t>
  </si>
  <si>
    <t>Cota-parte da Compensação Financeira de Recursos Hídricos</t>
  </si>
  <si>
    <t>Cota-parte da Compensação Financeira de Recursos Minerais - CFEM</t>
  </si>
  <si>
    <t>Cota-parte Royalties – Compensação Financeira pela Produção de Petróleo – Lei nº 7.990/89</t>
  </si>
  <si>
    <t>Cota-parte Royalties pelo Excedente da Produção do Petróleo – Lei nº 9.478/97, artigo 49, I e II</t>
  </si>
  <si>
    <t>Cota-parte Royalties pela Participação Especial – Lei nº 9.478/97, artigo 50</t>
  </si>
  <si>
    <t>Cota-Parte do Fundo Especial do Petróleo – FEP</t>
  </si>
  <si>
    <t>Outras Transferências decorrentes de Compensação Financeira pela Exploração de Recursos Naturais</t>
  </si>
  <si>
    <t>Transferência de Recursos do Sistema Único de Saúde – SUS – Repasses Fundo a Fundo</t>
  </si>
  <si>
    <t>Transferências de Recursos do Fundo Nacional de Assistência Social – FNAS</t>
  </si>
  <si>
    <t>Transferências de Recursos do Fundo Nacional do Desenvolvimento da Educação – FNDE</t>
  </si>
  <si>
    <t>Transferências do Salário-Educação</t>
  </si>
  <si>
    <t>Transferências Diretas do FNDE referentes ao Programa Dinheiro Direto na Escola – PDDE</t>
  </si>
  <si>
    <t>Transferências Diretas do FNDE referentes ao Programa Nacional de Alimentação Escolar – PNAE</t>
  </si>
  <si>
    <t>Transferências Diretas do FNDE referentes ao Programa Nacional de Apoio ao Transporte do Escolar – PNATE</t>
  </si>
  <si>
    <t>Outras Transferências Diretas do Fundo Nacional do Desenvolvimento da Educação – FNDE</t>
  </si>
  <si>
    <t>Transferência Financeira do ICMS – Desoneração – L.C. Nº 87/96</t>
  </si>
  <si>
    <t>Transferências a Consórcios Públicos</t>
  </si>
  <si>
    <t>Outras Transferências da União</t>
  </si>
  <si>
    <t>Transferências dos Estados</t>
  </si>
  <si>
    <t>Participação na Receita dos Estados</t>
  </si>
  <si>
    <t>Cota-Parte do ICMS</t>
  </si>
  <si>
    <t>Cota-Parte do IPVA</t>
  </si>
  <si>
    <t>Cota-Parte do IPI sobre Exportação</t>
  </si>
  <si>
    <t>Outras Participações na Receita dos Estados</t>
  </si>
  <si>
    <t>Transferência da Cota-parte da Compensação Financeira (25%)</t>
  </si>
  <si>
    <t>Cota-parte Royalties – Compensação Financeira pela Produção do Petróleo – Lei nº 7.990/89, artigo 9º</t>
  </si>
  <si>
    <t>Outras Transferências Decorrentes de Compensações Financeiras</t>
  </si>
  <si>
    <t>Transferência de Recursos do Estado para Programas de Saúde – Repasse Fundo a Fundo</t>
  </si>
  <si>
    <t>Outras Transferências dos Estados</t>
  </si>
  <si>
    <t>Transferências dos Municípios</t>
  </si>
  <si>
    <t>Transferências de Recursos do Sistema Único de Saúde – SUS</t>
  </si>
  <si>
    <t>Outras Transferências dos Municípios</t>
  </si>
  <si>
    <t>Transferências Multigovernamentais</t>
  </si>
  <si>
    <t>Transferências de Recursos do Fundo de Manutenção e Desenvolvimento da Educação Básica e de Valorização dos Profissionais da Educação – FUNDEB</t>
  </si>
  <si>
    <t>Transferências de Recursos da Complementação da União ao Fundo de Manutenção e Desenvolvimento da Educação Básica e de Valorização dos Profissionais da Educação – FUNDEB</t>
  </si>
  <si>
    <t>Outras Transferências Multigovernamentais</t>
  </si>
  <si>
    <t>Transferências de Instituições Privadas</t>
  </si>
  <si>
    <t>Transferências do Exterior</t>
  </si>
  <si>
    <t>Transferências de Pessoas</t>
  </si>
  <si>
    <t>Transferências de Convênios</t>
  </si>
  <si>
    <t>Transferências de Convênios da União e de Suas Entidades</t>
  </si>
  <si>
    <t>Transferências de Convênios da União para o Sistema Único de Saúde – SUS</t>
  </si>
  <si>
    <t>Transferências de Convênios da União Destinadas a Programas de Educação</t>
  </si>
  <si>
    <t>Transferências de Convênios da União Destinadas a Programas de Assistência Social</t>
  </si>
  <si>
    <t>Transferências de Convênios da União Destinadas a Programas de Combate à Fome</t>
  </si>
  <si>
    <t>Transferências de Convênios da União Destinadas a Programas de Saneamento Básico</t>
  </si>
  <si>
    <t>Outras Transferências de Convênios da União</t>
  </si>
  <si>
    <t>Transferência de Convênios dos Estados e do Distrito Federal e de Suas Entidades</t>
  </si>
  <si>
    <t>Transferências de Convênio dos Estados para o Sistema Único de Saúde – SUS</t>
  </si>
  <si>
    <t>Transferências de Convênio dos Estados Destinadas a Programas de Educação</t>
  </si>
  <si>
    <t>Outras Transferências de Convênio dos Estados</t>
  </si>
  <si>
    <t>Transferência de Convênios dos Municípios e de Suas Entidades</t>
  </si>
  <si>
    <t>Transferências de Convênio dos Municípios para o Sistema Único de Saúde – SUS</t>
  </si>
  <si>
    <t>Transferências de Convênio dos Municípios destinadas a Programas de Educação</t>
  </si>
  <si>
    <t>Outras Transferências de Convênios dos Municípios</t>
  </si>
  <si>
    <t>Transferência de Convênios de Instituições Privadas</t>
  </si>
  <si>
    <t>Transferência de Convênios do Exterior</t>
  </si>
  <si>
    <t>Transferências para o Combate à Fome</t>
  </si>
  <si>
    <t>Provenientes do Exterior</t>
  </si>
  <si>
    <t>Provenientes de Pessoas Jurídicas</t>
  </si>
  <si>
    <t>Provenientes de Pessoas Físicas</t>
  </si>
  <si>
    <t>Provenientes de Depósitos não Identificados</t>
  </si>
  <si>
    <t>Registra o valor dos recursos recebidos de outras pessoas de direito público ou privado, independentemente de contraprestação direta de bens e serviços.</t>
  </si>
  <si>
    <t>Registra o valor total das receitas recebidas por meio de transferências ocorridas entre diferentes esferas de governo.</t>
  </si>
  <si>
    <t>Registra o valor total das receitas recebidas por meio de transferências da União.</t>
  </si>
  <si>
    <t>Registra o valor total das receitas recebidas por meio de participação na receita da União.</t>
  </si>
  <si>
    <t>Registra o valor total das receitas recebidas por meio de cota-parte do fundo participação dos Estados e Distrito Federal.</t>
  </si>
  <si>
    <t>Registra o valor total das receitas recebidas por meio de transferências do imposto sobre a propriedade territorial rural.</t>
  </si>
  <si>
    <t>Recursos recebidos em decorrência da transferência constitucional do imposto sobre produtos industrializados.</t>
  </si>
  <si>
    <t xml:space="preserve">Registra o valor das receitas recebidas pelos Estados por meio de transferências constitucionais da contribuição de intervenção no domínio econômico (Emenda Constitucional nº 42, de 19/12/2003). </t>
  </si>
  <si>
    <t>Registra o valor total das receitas recebidas por meio de cota-parte imposto sobre operações crédito câmbio e seguros.</t>
  </si>
  <si>
    <t>Registra o valor da arrecadação de receita de transferência da compensação financeira pela exploração de recursos naturais.</t>
  </si>
  <si>
    <t>Registra o valor da arrecadação da receita da cota-parte da compensação financeira de recursos hídricos, para fins de geração de energia elétrica.</t>
  </si>
  <si>
    <t>Registra o valor da arrecadação da receita da cota-parte da compensação financeira de recursos minerais, para fins de aproveitamento econômico.</t>
  </si>
  <si>
    <t>Registra o valor da arrecadação da receita com a cota-parte royalties – compensação financeira pela produção de petróleo.</t>
  </si>
  <si>
    <t>Registra o valor da arrecadação de receita com a cota-parte royalties pelo excedente da produção do petróleo.</t>
  </si>
  <si>
    <t>Registra o valor da arrecadação de receita com a cota-parte royalties pela participação especial prevista na Lei nº 9.478/97, art. 50.</t>
  </si>
  <si>
    <t>Registra o valor da arrecadação de receita de transferência da cota-parte do Fundo Especial do Petróleo – FEP.</t>
  </si>
  <si>
    <t>Registra o valor da arrecadação de receita com outras transferências decorrentes de compensação financeira proveniente da exploração de recursos naturais.</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</si>
  <si>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</si>
  <si>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Registra o valor total dos recursos de transferências da União recebidos pelos Estados, Distrito Federal e Municípios, referentes ao Fundo Nacional de Assistência Social – FNAS.</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</si>
  <si>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</si>
  <si>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Registra o valor dos recursos de transferência da União para os Estados, Distrito Federal e Municípios a título de Salário-Educação, na forma da Lei 10.832/03.</t>
  </si>
  <si>
    <t xml:space="preserve">Registra o valor dos recursos de transferências da União aos Estados, Distrito Federal e Municípios referentes ao Programa Dinheiro Direto na Escola – PDDE. </t>
  </si>
  <si>
    <t>Registra o valor dos recursos de transferências da União aos Estados, Distrito Federal e Municípios, referentes ao Programa Nacional de Alimentação Escolar – PNAE.</t>
  </si>
  <si>
    <t>Registra o valor dos recursos de transferências da União aos Estados, Distrito Federal e Municípios, referentes ao Programa Nacional de Apoio ao Transporte Escolar – PNATE . Lei nº 10.880, de 09/06/04.</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</si>
  <si>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</si>
  <si>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</si>
  <si>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Registra a receita repassada pela União a consórcios públicos, mediante contrato ou outro instrumento.</t>
  </si>
  <si>
    <t>Registra o valor total das receitas recebidas por meio de outras transferências da União que não se enquadram nos itens anteriores,.</t>
  </si>
  <si>
    <t>Registra o valor total dos recursos recebidos pelas demais esferas de governo e respectivas entidades da administração descentralizada, transferidos pelos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</si>
  <si>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</si>
  <si>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Registra o valor da arrecadação de receita de transferência da participação de municípios na arrecadação do Imposto sobre a Circulação de Mercadorias e Prestação de Serviços – ICMS, pelo estado.</t>
  </si>
  <si>
    <t>Registra o valor da arrecadação de receita de transferência da participação de municípios na arrecadação do Imposto sobre a Propriedade de Veículos Automotores – IPVA, pelo estado.</t>
  </si>
  <si>
    <t>Registra o valor da arrecadação de receita de transferência da participação de municípios na arrecadação do Imposto sobre Produtos Industrializados – IPI, para exportação.</t>
  </si>
  <si>
    <t>Registra o valor total das receitas recebidas pelos Municípios por meio de transferências constitucionais da contribuição de intervenção no domínio econômico (Emenda Constitucional nº 42, de 19/12/2003).</t>
  </si>
  <si>
    <t>Registra o valor total da arrecadação de outras participações na receita dos Estados, não classificadas nos itens anteriores.</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</si>
  <si>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</si>
  <si>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</si>
  <si>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Registra o valor da arrecadação da receita com a cota-parte da compensação financeira de recursos minerais.</t>
  </si>
  <si>
    <t>Registra o valor da arrecadação com a cota-parte royalties – compensação financeira pela produção do petróleo.</t>
  </si>
  <si>
    <t>Registra o valor da arrecadação de receita com outras transferências decorrentes de compensações financeiras.</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</si>
  <si>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</si>
  <si>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Registra a receita repassada pelos Estados a consórcios públicos, mediante contrato ou outro instrumento.</t>
  </si>
  <si>
    <t>Para atender às suas necessidades de identificação, as demais esferas de governo poderão desdobrar esse item, discriminando os recursos transferidos pelos Estados que não estejam especificados.</t>
  </si>
  <si>
    <t>Registra o valor total dos recursos recebidos pela União, Estados, Distrito Federal e Municípios, incluindo suas respectivas entidades, transferidos por Municípios. Essa conta não se aplica para transferências intragovernamentais (vide Portaria Interministerial nº 163/01 e Portaria STN nº 339/01).</t>
  </si>
  <si>
    <t>Registra o valor total dos recursos de transferências de municípios para municípios, referente ao Sistema Único de Saúde – SUS, exceto as transferências vinculadas a convênios.</t>
  </si>
  <si>
    <t>Registra a receita repassada pelos Municípios a consórcios públicos, mediante contrato ou outro instrumento.</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</si>
  <si>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</si>
  <si>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Registra o valor total dos recursos de transferências de entidades ou fundos multigovernamentais recebidos pelos Estados, Distrito Federal e Municípios.</t>
  </si>
  <si>
    <t>Registra o valor total dos recursos de transferências recebidos diretamente do FUNDEB, pelos Estados, Distrito Federal e Municípios, independente do valor que foi deduzido no ente para a formação do FUNDEB.</t>
  </si>
  <si>
    <t>Registra o valor total dos recursos de transferências de complementação da União recebidos pelo FUNDEB, pelos Estados, Distrito Federal e Municípios, não podendo ser utilizado este item para o registro do ganho apurado nas operações do FUNDEB.</t>
  </si>
  <si>
    <t>Registra o valor da receita de outras transferências multigovernamentais, não classificadas nos itens anteriores.</t>
  </si>
  <si>
    <t>Registra o valor total das receitas recebidas por meio de   transferências do exterior provenientes de organismos e fundos   internacionais, de governos estrangeiros e instituições privadas internacionais.</t>
  </si>
  <si>
    <t>Registra o valor total das receitas recebidas por meio de contribuições e doações a governos e entidades da administração descentralizada, realizadas por pessoas físicas.</t>
  </si>
  <si>
    <t>Registra o valor total das receitas recebidas por meio de   transferências de convênios firmados, com ou sem contraprestações de serviços, por entidades públicas de qualquer espécie, ou entre estas e organizações particulares, para realização de objetivos de interesse comum dos partícipes, destinados a custear despesas correntes.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</si>
  <si>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</si>
  <si>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</si>
  <si>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Registra o valor da receita de transferências de convênios da União destinadas a programas de educação.</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</si>
  <si>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</si>
  <si>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Registra o valor da receita de transferências de convênios da União destinadas a programas de combate à Fome.</t>
  </si>
  <si>
    <t>Registra o valor da receita de transferências de convênios da União destinadas a programas de saneamento básico.</t>
  </si>
  <si>
    <t>Registra o valor da receita de outras transferências de convênios da União, não compreendidas nos itens anteriores.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</si>
  <si>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</si>
  <si>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</si>
  <si>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</si>
  <si>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</si>
  <si>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</si>
  <si>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</si>
  <si>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</si>
  <si>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</si>
  <si>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Registra o valor total dos recursos oriundos de convênios firmados, com ou sem contraprestações de serviços, com instituições privadas, para realização de objetivos de interesse comum dos partícipes, destinados a custear despesas correntes.</t>
  </si>
  <si>
    <t>Registra o valor total dos recursos oriundos de convênios firmados com organismos e fundos internacionais, governos estrangeiros e instituições privadas internacionais.</t>
  </si>
  <si>
    <t>Registra o valor total das receitas por meio de transferências correntes para o combate à fome.</t>
  </si>
  <si>
    <t>Registro o valor total das receitas recebidas por meio de transferências correntes provenientes do exterior para o combate à fome.</t>
  </si>
  <si>
    <t>Registra o valor total das receitas por meio de transferências correntes provenientes de pessoas jurídicas para o combate à fome.</t>
  </si>
  <si>
    <t>Registra o valor total das receitas recebidas por meio de transferências correntes provenientes de pessoas físicas para o combate à fome.</t>
  </si>
  <si>
    <t>Registra o valor total das receitas recebidas por meio de transferências correntes provenientes de depósitos não identificados para o combate à fome.</t>
  </si>
  <si>
    <t>Outras Receitas Correntes</t>
  </si>
  <si>
    <t>Multas e Juros de Mora</t>
  </si>
  <si>
    <t>Multas e Juros de Mora dos Tributos</t>
  </si>
  <si>
    <t>Multa e Juros de Mora do Imposto sobre a Importação</t>
  </si>
  <si>
    <t>Receita de Multa e Juros de Mora do Imposto sobre a Importação</t>
  </si>
  <si>
    <t>Receita de Parcelamentos – Multas e Juros de Mora do Imposto sobre a Importação</t>
  </si>
  <si>
    <t>Multas e Juros de Mora – Imposto de Renda e Proventos Qualquer Natureza</t>
  </si>
  <si>
    <t xml:space="preserve">Multas e Juros de Mora do Imposto sobre a Renda das Pessoas Físicas </t>
  </si>
  <si>
    <t>Multas e Juros de Mora do Imposto sobre a Renda das Pessoas Jurídicas</t>
  </si>
  <si>
    <t>Multas e Juros de Mora do Imposto sobre a Renda Retido nas Fontes</t>
  </si>
  <si>
    <t>Receita de Parcelamentos – Multas e Juros de Mora do Imposto sobre a Renda – Pessoas Jurídicas</t>
  </si>
  <si>
    <t>Receita de Parcelamentos – Multas e Juros de Mora do Imposto sobre a Renda – Retido na Fonte</t>
  </si>
  <si>
    <t>Receita de Parcelamentos – Multas e Juros de Mora do Imposto sobre a Renda – Pessoas Físicas</t>
  </si>
  <si>
    <t>Multa e Juros de Mora Simples Federal e Nacional – IRPJ</t>
  </si>
  <si>
    <t>Multas e Juros de Mora do Imposto sobre Produtos Industrializados</t>
  </si>
  <si>
    <t>Receita de Multa e Juros de Mora do Imposto sobre Produtos Industrializados</t>
  </si>
  <si>
    <t>Receita de Parcelamentos – Multas e Juros de Mora do Imposto sobre Produtos Industrializados</t>
  </si>
  <si>
    <t>Multa e Juros de Mora Simples Federal e Nacional – IPI</t>
  </si>
  <si>
    <t>Multa e Juros de Mora do Imposto sobre Operações de Crédito, Câmbio e Seguro, ou Relativas a Títulos ou Valores Mobiliários</t>
  </si>
  <si>
    <t>Receita de Multa e Juros de Mora do Imposto sobre Operações de Crédito, Câmbio e Seguro, ou Relativas a Títulos ou Valores Mobiliários</t>
  </si>
  <si>
    <t>Receita de Parcelamentos – Multa e Juros de Mora do Imposto sobre Operações de Crédito, Câmbio e Seguro, ou Relativas a Títulos ou Valores Mobiliários</t>
  </si>
  <si>
    <t>Multas e Juros de Mora do Imposto sobre a Exportação</t>
  </si>
  <si>
    <t>Receita de Multas e Juros de Mora do Imposto sobre a Exportação</t>
  </si>
  <si>
    <t>Receita de Parcelamentos – Multa e Juros de Mora do Imposto sobre a Exportação</t>
  </si>
  <si>
    <t>Multas e Juros de Mora do Imposto sobre a Propriedade Territorial Rural</t>
  </si>
  <si>
    <t>Multas e Juros de Mora do Imposto sobre a Propriedade Territorial Rural - Municípios Conveniados</t>
  </si>
  <si>
    <t>Multas e Juros de Mora do Imposto sobre a Propriedade Territorial Rural - Municípios Não-Conveniados</t>
  </si>
  <si>
    <t>Multas e Juros de Mora do Imposto sobre Transmissão “Causa Mortis” e Doação de Bens e Direitos</t>
  </si>
  <si>
    <t>Multas e Juros de Mora das Taxas de Fiscalização das Telecomunicações</t>
  </si>
  <si>
    <t>Multas e Juros de Mora da Taxa de Fiscalização de Instalação</t>
  </si>
  <si>
    <t>Multas e Juros de Mora da Taxa de Fiscalização de Funcionamento</t>
  </si>
  <si>
    <t>Multas e Juros de Mora da Taxa de Fiscalização dos Produtos Controlados pelo Ministério do Exército</t>
  </si>
  <si>
    <t>Multas e Juros de Mora da Taxa de Fiscalização dos Serviços de Irrigação</t>
  </si>
  <si>
    <t>Multas e Juros de Mora da Taxa de Fiscalização dos Mercados de Seguro, da Capitalização e da Previdência Complementar Aberta e Fechada</t>
  </si>
  <si>
    <t>Multas e Juros de Mora da Taxa de Fiscalização e Vigilância Sanitária</t>
  </si>
  <si>
    <t>Multas e Juros de Mora da Taxa de Saúde Suplementar</t>
  </si>
  <si>
    <t>Multas e Juros de Mora da Taxa de Fiscalização dos Mercados de Títulos e Valores Mobiliários</t>
  </si>
  <si>
    <t>Multas e Juros de Mora do Imposto sobre a Propriedade Predial e Territorial Urbana – IPTU</t>
  </si>
  <si>
    <t>Multas e Juros de Mora do Imposto sobre a Transmissão Inter-Vivos de Bens Imóveis – ITBI</t>
  </si>
  <si>
    <t>Multas e Juros de Mora do Imposto sobre Serviços de Qualquer Natureza – ISS</t>
  </si>
  <si>
    <t>Multas e Juros de Mora do Imposto sobre a Propriedade de Veículos Automotores – IPVA</t>
  </si>
  <si>
    <t>Multas e Juros de Mora do Imposto sobre Circulação de Mercadorias e Serviços – ICMS</t>
  </si>
  <si>
    <t>Multas e Juros de Mora das Contribuições de Melhoria</t>
  </si>
  <si>
    <t>Multas e Juros de Mora de Outros Tributos</t>
  </si>
  <si>
    <t>Parcelamentos – Multas e Juros de Mora de Outros Tributos</t>
  </si>
  <si>
    <t>Multas e Juros de Mora das Contribuições</t>
  </si>
  <si>
    <t>Multas e Juros de Mora da Contribuição para o Financiamento da Seguridade Social</t>
  </si>
  <si>
    <t>Receita de Multas e Juros de Mora da Contribuição para o Financiamento da Seguridade Social</t>
  </si>
  <si>
    <t>Receita de Parcelamentos – Multas e Juros de Mora da Contribuição para o Financiamento da Seguridade Social</t>
  </si>
  <si>
    <t>Multas e Juros de Mora da Contribuição do Salário-Educação</t>
  </si>
  <si>
    <t>Multas e Juros de Mora da Contribuição Relativa às Atividades de Comercialização de Petróleo e seus Derivados, Gás Natural e Álcool Carburante</t>
  </si>
  <si>
    <t>Receita de Multas e Juros de Mora da Contribuição Relativa às Atividades de Comercialização de Petróleo e seus Derivados, Gás Natural e Álcool Carburante</t>
  </si>
  <si>
    <t>Receita de Parcelamentos – Multas e Juros de Mora da Contribuição Relativa às Atividades de Comercialização de Petróleo e seus Derivados, Gás Natural e Álcool Carburante</t>
  </si>
  <si>
    <t>Multas e Juros de Mora da Contribuição sobre Movimentação Financeira</t>
  </si>
  <si>
    <t>Receita de Multas e juros de Mora da Contribuição sobre Movimentação Financeira</t>
  </si>
  <si>
    <t>Receita de Parcelamentos – Multas e Juros de Mora da Contribuição sobre Movimentação Financeira.</t>
  </si>
  <si>
    <t>Multas e Juros de Mora das Contribuições sobre a Prestação dos Serviços de Telecomunicações</t>
  </si>
  <si>
    <t>Multas e Juros de Mora da Contribuição sobre a Receita Operacional Bruta Decorrente de Prestação de Serviços de Telecomunicações</t>
  </si>
  <si>
    <t>Multas e Juros de Mora da Contribuição para o Fomento da Radiodifusão Publica</t>
  </si>
  <si>
    <t>Multas e Juros de Mora das Contribuições para o Regime Próprio de Previdência do Servidor</t>
  </si>
  <si>
    <t>Multas e Juros de Mora da Contribuição Patronal para o Regime Próprio de Previdência</t>
  </si>
  <si>
    <t>Multas e Juros de Mora da Contribuição do Servidor para o Regime Próprio de Previdência</t>
  </si>
  <si>
    <t>Multas e Juros de Mora das Contribuições Previdenciárias para o Regime Geral de Previdência Social</t>
  </si>
  <si>
    <t>Multas e Juros de Mora da Contribuição Previdenciária do Segurado Obrigatório – Contribuinte Individual</t>
  </si>
  <si>
    <t>Multas e Juros de Mora da Contribuição Previdenciária do Segurado Assalariado</t>
  </si>
  <si>
    <t>Multas e Juros de Mora da Contribuição Previdenciária da Empresa sobre Segurado Assalariado</t>
  </si>
  <si>
    <t>Multas e Juros de Mora da Contribuição Previdenciária da Empresa Optante pelo SIMPLES</t>
  </si>
  <si>
    <t>Multas e Juros de Mora da Contribuição Previdenciária sobre Espetáculo Desportivo</t>
  </si>
  <si>
    <t>Multas e Juros de Mora da Contribuição Previdenciária sobre Produção Rural</t>
  </si>
  <si>
    <t>Multas e Juros de Mora da Contribuição Previdenciária em Regime de Parcelamento de Débitos</t>
  </si>
  <si>
    <t>Multas e Juros de Mora da Contribuição Previdenciária para o Seguro de Acidente do Trabalho</t>
  </si>
  <si>
    <t>Multas e Juros de Mora da Contribuição Previdenciária sobre Reclamatória Trabalhista</t>
  </si>
  <si>
    <t>Multas e Juros de Mora da Contribuição Previdenciária do Segurado em Regime de Parcelamento de Débitos dos Municípios</t>
  </si>
  <si>
    <t>Multas e Juros de Mora da Contribuição Previdenciária do Segurado Obrigatório – Empresário</t>
  </si>
  <si>
    <t>Multas e Juros de Mora da Contribuição Previdenciária do Segurado Facultativo</t>
  </si>
  <si>
    <t>Multas e Juros de Mora da Contribuição Previdenciária do Segurado Especial</t>
  </si>
  <si>
    <t>Multas e Juros de Mora da Contribuição Previdenciária do Segurado Obrigatório – Empregado Doméstico</t>
  </si>
  <si>
    <t>Multas e Juros de Mora da Contribuição Previdenciária dos Órgãos do Poder Público</t>
  </si>
  <si>
    <t>Multas e Juros de Mora da Contribuição Previdenciária das Entidades Filantrópicas</t>
  </si>
  <si>
    <t>Multas e Juros de Mora da Contribuição Previdenciária – Retenção sobre Nota Fiscal – Sub-rogação</t>
  </si>
  <si>
    <t>Multas e Juros de Mora da Arrecadação FIES – Certificados Financeiros do Tesouro Nacional</t>
  </si>
  <si>
    <t>Multas e Juros de Mora da Arrecadação FNS – Certificados Financeiros do Tesouro Nacional</t>
  </si>
  <si>
    <t>Multas e Juros de Mora de Certificados da Dívida Pública – CDP</t>
  </si>
  <si>
    <t>Multas e Juros de Mora da Contribuição Previdenciária na Forma de Depósito Judicial, Recursal e Custas Judiciais</t>
  </si>
  <si>
    <t>Multa e Juros de Mora da Contribuição Previdenciária da Empresa sobre o Segurado Assalariado Incidente sobre a Receita Bruta</t>
  </si>
  <si>
    <t>Multas e Juros de Mora de Outras Contribuições Previdenciárias</t>
  </si>
  <si>
    <t>Multas e Juros de Mora das Contribuições para os Programas de Integração Social e de Formação do Patrimônio do Servidor Público – PIS/PASEP</t>
  </si>
  <si>
    <t>Receita de Multas e Juros de Mora das Contribuições para os Programas de Integração Social e de Formação do Patrimônio do Servidor Público – PIS/PASEP</t>
  </si>
  <si>
    <t>Receita de Parcelamentos – Multas e Juros de Mora das Contribuições para os Programas de Integração Social e de Formação do Patrimônio do Servidor Público – PIS/PASEP</t>
  </si>
  <si>
    <t>Multas e juros de mora da Contribuição Social sobre o Lucro das Pessoas Jurídicas</t>
  </si>
  <si>
    <t>Receita de Multas e Juros de Mora  da Contribuição Social sobre o Lucro das Pessoas Jurídicas</t>
  </si>
  <si>
    <t>Receita de Parcelamentos – Multas e Juros de Mora da Contribuição Social sobre o Lucro das Pessoas Jurídicas</t>
  </si>
  <si>
    <t>Multas e juros de mora sobre a Contribuição dos Concursos de Prognósticos</t>
  </si>
  <si>
    <t>Multas e Juros de Mora  da Contribuição sobre a Receita da Loteria Federal</t>
  </si>
  <si>
    <t>Multas e Juros de Mora da Contribuição sobre a Receita de Loterias Esportivas</t>
  </si>
  <si>
    <t>Multas e Juros de Mora da Contribuição sobre a Receita de Concursos Especiais de Loterias Esportivas</t>
  </si>
  <si>
    <t>Multas e Juros de Mora da Contribuição sobre a Receita de Loterias de Números</t>
  </si>
  <si>
    <t>Multas e Juros de Mora da Contribuição sobre a Receita da Loteria Instantânea</t>
  </si>
  <si>
    <t>Multas e Juros de Mora de Prêmios Prescritos da Loteria Federal</t>
  </si>
  <si>
    <t>Multas e Juros de Mora sobre a Receita da Contribuição de Outros Concursos de Prognósticos</t>
  </si>
  <si>
    <t>Multas e Juros de Mora da Contribuição sobre a Receita das Concessionárias de Energia Elétrica</t>
  </si>
  <si>
    <t>Multas e Juros de Mora da Cota-Parte da Contribuição Sindical</t>
  </si>
  <si>
    <t>Multas e Juros de Mora da Contribuição sobre a Receita de Sorteios Realizados por Entidades Filantrópicas</t>
  </si>
  <si>
    <t>Multas e Juros de Mora da Contribuição sobre a Aposta em Competições Hípicas</t>
  </si>
  <si>
    <t>Multas e Juros de Mora da Cota-Parte do Adicional ao Frete para Renovação da Marinha Mercante</t>
  </si>
  <si>
    <t>Multas e Juros de Mora da Contribuição Relativa à Despedida de Empregado sem Justa Causa</t>
  </si>
  <si>
    <t>Multas e Juros de Mora da Contribuição sobre a Remuneração Devida ao Trabalhador</t>
  </si>
  <si>
    <t>Juros de Mora do FUNDAF – Receita de Contribuições</t>
  </si>
  <si>
    <t>Juros de Mora do FUNDAF – Receita da Contribuição para o Financiamento da Seguridade Social</t>
  </si>
  <si>
    <t>Juros de Mora do FUNDAF - Receita de Parcelamentos da Contribuição para o Financiamento da Seguridade Social</t>
  </si>
  <si>
    <t>Juros de Mora do FUNDAF - Receita da Contribuição sobre Movimentação Financeira</t>
  </si>
  <si>
    <t>Juros de Mora do FUNDAF - Receita de Parcelamentos da Contribuição sobre Movimentação Financeira</t>
  </si>
  <si>
    <t>Juros de Mora do FUNDAF – Receita das Contribuições para os Programas de Integração Social e de Formação do Patrimônio do Servidor Público</t>
  </si>
  <si>
    <t>Juros de Mora do FUNDAF - Receita de Parcelamentos das Contribuições para os Programas de Integração Social e de Formação do Patrimônio do Servidor Público</t>
  </si>
  <si>
    <t>Juros de Mora do FUNDAF - Receita da Contribuição Social sobre o Lucro das Pessoas Jurídicas</t>
  </si>
  <si>
    <t>Juros de Mora do FUNDAF - Receita de Parcelamentos da Contribuição Social sobre o Lucro das Pessoas Jurídicas</t>
  </si>
  <si>
    <t>Juros de Mora do FUNDAF – Contribuição sobre a Receita da Loteria Federal</t>
  </si>
  <si>
    <t>Juros de Mora do FUNDAF - Contribuição sobre a Receita de Loterias Esportivas</t>
  </si>
  <si>
    <t>Juros de Mora do FUNDAF - Contribuição sobre a Receita de Concursos Especiais de Loterias Esportivas</t>
  </si>
  <si>
    <t>Juros de Mora do FUNDAF - Contribuição sobre a Receita de Loterias de Números</t>
  </si>
  <si>
    <t>Juros de Mora do FUNDAF - Contribuição sobre a Receita da Loteria Instantânea</t>
  </si>
  <si>
    <t>Juros de Mora do FUNDAF – Receita de Prêmios Prescritos de Loterias Federais</t>
  </si>
  <si>
    <t>Multas e Juros de Mora das Compensações Financeiras entre o Regime Geral e os Regimes Próprios de Previdência dos Servidores</t>
  </si>
  <si>
    <t>Multas e Juros de Mora de Outras Contribuições</t>
  </si>
  <si>
    <t>Multas e Juros de Mora de Outras Contribuições – Principal</t>
  </si>
  <si>
    <t>Parcelamentos – Multas e Juros de Mora de Outras Contribuições</t>
  </si>
  <si>
    <t>Multa e Juros de Mora da Dívida Ativa dos Tributos</t>
  </si>
  <si>
    <t>Multas e Juros de Mora da Dívida Ativa do Imposto sobre a Importação</t>
  </si>
  <si>
    <t>Receita de Multas e Juros de Mora da Dívida Ativa do Imposto sobre a Importação</t>
  </si>
  <si>
    <t>Receita de Parcelamentos – Multas e Juros de Mora da Dívida Ativa do Imposto sobre a Importação</t>
  </si>
  <si>
    <t>Multas e Juros de Mora da Dívida Ativa do Imposto sobre a Renda e Proventos de Qualquer Natureza</t>
  </si>
  <si>
    <t>Multas e Juros de Mora da Dívida Ativa do Imposto sobre a Renda das Pessoas Físicas</t>
  </si>
  <si>
    <t>Multas e Juros de Mora da Dívida Ativa do Imposto sobre a Renda das Pessoas Jurídicas</t>
  </si>
  <si>
    <t>Multas e Juros de Mora da Dívida Ativa do Imposto sobre a Renda - Retido nas Fontes</t>
  </si>
  <si>
    <t>Receita de Parcelamentos – Multas e Juros de Mora da Dívida Ativa do Imposto sobre a Renda - Pessoas Jurídicas</t>
  </si>
  <si>
    <t>Receita de Parcelamentos - Multas e Juros de Mora da Dívida Ativa do Imposto sobre a Renda - Retido na Fonte</t>
  </si>
  <si>
    <t>Receita de Parcelamentos – Multas e Juros de Mora da Dívida Ativa do Imposto sobre a Renda – Pessoas Físicas</t>
  </si>
  <si>
    <t>Multas da Dívida Ativa do Imposto de Renda Pessoa Jurídica - Simples Nacional</t>
  </si>
  <si>
    <t>Juros de Mora da Dívida Ativa do Imposto de Renda Pessoa Jurídica - Simples Nacional</t>
  </si>
  <si>
    <t>Multas e Juros de Mora da Dívida Ativa do Imposto sobre Produtos Industrializados</t>
  </si>
  <si>
    <t>Receita de Multas e Juros de Mora da Dívida Ativa do Imposto sobre Produtos Industrializados</t>
  </si>
  <si>
    <t>Receita de Parcelamentos – Multas e Juros de Mora da Dívida Ativa do Imposto sobre Produtos Industrializados</t>
  </si>
  <si>
    <t>Multas da Dívida Ativa do Imposto sobre Produtos Industrializados - Simples Nacional</t>
  </si>
  <si>
    <t>Juros de Mora da Dívida Ativa do Imposto sobre Produtos Industrializados - Simples Nacional</t>
  </si>
  <si>
    <t>Multas e Juros de Mora da Dívida Ativa do Imposto sobre Operações de Crédito, Câmbio e Seguro ou Relativas a Títulos ou Valores Mobiliários</t>
  </si>
  <si>
    <t>Receita de Multas e Juros de Mora da Dívida Ativa do Imposto sobre Operações de Crédito, Câmbio e Seguro ou Relativas a Títulos ou Valores Mobiliários</t>
  </si>
  <si>
    <t>Receita de Parcelamentos – Multas e Juros de Mora da Dívida Ativa do Imposto sobre Operações de Crédito, Câmbio e Seguro ou Relativas a Títulos ou Valores Mobiliários</t>
  </si>
  <si>
    <t>Multas e Juros de Mora da Dívida Ativa do Imposto sobre a Exportação</t>
  </si>
  <si>
    <t>Receita de Multas e Juros de Mora da Dívida Ativa do Imposto sobre a Exportação</t>
  </si>
  <si>
    <t>Receita de Parcelamentos – Multas e Juros de Mora da Dívida Ativa do Imposto sobre a Exportação</t>
  </si>
  <si>
    <t>Multas e Juros de Mora da Dívida Ativa do Imposto sobre a Propriedade Territorial Rural</t>
  </si>
  <si>
    <t>Multas e Juros de Mora da Dívida Ativa do Imposto sobre a Propriedade Territorial Rural - Municípios Conveniados</t>
  </si>
  <si>
    <t>Multas e Juros de Mora da Dívida Ativa do Imposto sobre a Propriedade Territorial Rural - Municípios Não-Conveniados</t>
  </si>
  <si>
    <t>Multas e Juros de Mora da Dívida Ativa da Taxa de Fiscalização das Telecomunicações</t>
  </si>
  <si>
    <t>Multas e Juros de Mora da Dívida Ativa da Taxa de Fiscalização de Instalação</t>
  </si>
  <si>
    <t>Multas e Juros de Mora da Dívida Ativa da Taxa de Fiscalização de Funcionamento</t>
  </si>
  <si>
    <t>Multas e Juros de Mora da Dívida Ativa da Taxa de Fiscalização dos Produtos Controlados pelo Ministério do Exército</t>
  </si>
  <si>
    <t>Multas e Juros de Mora da Dívida Ativa do Imposto sobre a Propriedade Predial e Territorial Urbana – IPTU</t>
  </si>
  <si>
    <t>Multas e Juros de Mora da Dívida Ativa do Imposto sobre a Transmissão Inter-Vivos de Bens Imóveis – ITBI</t>
  </si>
  <si>
    <t>Multas e Juros de Mora da Dívida Ativa do Imposto sobre Serviços de Qualquer Natureza – ISS</t>
  </si>
  <si>
    <t>Multas e Juros de Mora da Dívida Ativa do Imposto sobre a Propriedade de Veículos Automotores – IPVA</t>
  </si>
  <si>
    <t>Multas e Juros de Mora da Dívida Ativa do Imposto sobre Circulação de Mercadorias e Prestação de Serviços – ICMS</t>
  </si>
  <si>
    <t>Multa e Juros de Mora da Dívida Ativa de Custas Judiciais</t>
  </si>
  <si>
    <t>Multa e Juros de Mora da Dívida Ativa do Imposto sobre Transmissão “Causa Mortis” e Doação de Bens e Direitos</t>
  </si>
  <si>
    <t>Multas e Juros de Mora da Dívida Ativa da Taxa de Fiscalização e Vigilância Sanitária</t>
  </si>
  <si>
    <t>Multas e Juros de mora da Dívida Ativa das Contribuições de Melhoria.</t>
  </si>
  <si>
    <t>Multas e Juros de Mora da Dívida Ativa de Outros Tributos</t>
  </si>
  <si>
    <t>Multa e Juros de Mora da Dívida Ativa das Contribuições</t>
  </si>
  <si>
    <t>Multas e Juros de Mora da Dívida Ativa da Contribuição para Financiamento da Seguridade Social</t>
  </si>
  <si>
    <t>Receita de Multas e Juros de Mora  da Dívida Ativa da Contribuição para Financiamento da Seguridade Social</t>
  </si>
  <si>
    <t>Receita de Parcelamentos – Multas e Juros de Mora da Dívida Ativa da Contribuição para Financiamento da Seguridade Social</t>
  </si>
  <si>
    <t>Multas e Juros de Mora da Dívida Ativa da Contribuição do Salário-Educação</t>
  </si>
  <si>
    <t>Multas e Juros de Mora da Dívida Ativa da Contribuição sobre Movimentação ou Transmissão de Valores e de Créditos e Direitos de natureza Financeira</t>
  </si>
  <si>
    <t>Receita de Multas e Juros de Mora da Dívida Ativa da Contribuição sobre Movimentação ou Transmissão de Valores e de Créditos e Direitos de natureza Financeira</t>
  </si>
  <si>
    <t>Receita de Parcelamentos – Multas e Juros de Mora da Dívida Ativa da Contribuição sobre Movimentação Financeira</t>
  </si>
  <si>
    <t>Multas e Juros de Mora da Dívida Ativa das Contribuições Previdenciárias para o Regime Geral de Previdência Social.</t>
  </si>
  <si>
    <t>Multas e Juros de Mora da Dívida Ativa da Contribuição Previdenciária do Segurado Obrigatório – Contribuinte Individual</t>
  </si>
  <si>
    <t>Multas e Juros de Mora da Dívida Ativa da Contribuição Previdenciária do Segurado Assalariado</t>
  </si>
  <si>
    <t>Multas e Juros de Mora da Dívida Ativa da Contribuição Previdenciária da Empresa sobre o Segurado Assalariado</t>
  </si>
  <si>
    <t>Multas e Juros de Mora da Dívida Ativa da Contribuição Previdenciária da Empresa Optante pelo SIMPLES</t>
  </si>
  <si>
    <t>Multas e Juros de Mora da Dívida Ativa da Contribuição Previdenciária sobre Espetáculo Desportivo</t>
  </si>
  <si>
    <t>Multas e Juros de Mora da Dívida Ativa da Contribuição Previdenciária sobre Produção Rural</t>
  </si>
  <si>
    <t>Multas e Juros de Mora da Dívida Ativa da Contribuição Previdenciária em Regime de Parcelamento de Débitos</t>
  </si>
  <si>
    <t>Multas e Juros de Mora da Dívida Ativa da Contribuição Previdenciária para o Seguro de Acidente do Trabalho</t>
  </si>
  <si>
    <t>Multas e Juros de Mora da Dívida Ativa da Contribuição Previdenciária sobre Reclamatória Trabalhista</t>
  </si>
  <si>
    <t>Multas e Juros de Mora da Dívida Ativa da Contribuição Previdenciária do Segurado em Regime de Parcelamento de Débitos dos Municípios</t>
  </si>
  <si>
    <t>Multas e Juros de Mora da Dívida Ativa da Contribuição Previdenciária do Segurado Obrigatório – Empresário</t>
  </si>
  <si>
    <t>Multas e Juros de Mora da Dívida Ativa da Contribuição Previdenciária do Segurado Facultativo</t>
  </si>
  <si>
    <t>Multas e Juros de Mora da Dívida Ativa da Contribuição Previdenciária do Segurado Especial</t>
  </si>
  <si>
    <t>Multas e Juros de Mora da Dívida Ativa da Contribuição Previdenciária do Segurado Obrigatório – Empregado Doméstico</t>
  </si>
  <si>
    <t>Multas e Juros de Mora da Dívida Ativa da Contribuição Previdenciária dos Órgãos do Poder Público</t>
  </si>
  <si>
    <t>Multas e Juros de Mora da Dívida Ativa da Contribuição Previdenciária das Entidades Filantrópicas</t>
  </si>
  <si>
    <t>Multas e Juros de Mora da Dívida Ativa da Contribuição Previdenciária – Retenção sobre Nota Fiscal – Sub-rogação</t>
  </si>
  <si>
    <t>Multas e Juros de Mora da Dívida Ativa de Arrecadação FIES – Certificados Financeiros do Tesouro Nacional</t>
  </si>
  <si>
    <t>Multas e Juros de Mora da Dívida Ativa da Arrecadação FNS – Certificados Financeiros do Tesouro Nacional</t>
  </si>
  <si>
    <t>Multas e Juros de Mora da Dívida Ativa de Certificados da Dívida Pública – CDP</t>
  </si>
  <si>
    <t>Multas e Juros de Mora da Dívida Ativa da Contribuição Previdenciária na Forma de Depósito Judicial, Recursal e Custas Judiciais</t>
  </si>
  <si>
    <t>Multas e Juros de Mora da Dívida Ativa da Contribuição Previdenciária – Parcelamentos</t>
  </si>
  <si>
    <t>Multas e Juros da Dívida Ativa da Contribuição Previdenciária da Empresa Incidente sobre a Receita Bruta</t>
  </si>
  <si>
    <t>Multas e Juros de Mora da Dívida Ativa de Outras Contribuições Previdenciárias</t>
  </si>
  <si>
    <t>Multas e Juros de Mora da Dívida Ativa das Contribuições para o PIS/PASEP</t>
  </si>
  <si>
    <t>Receita de Multas e Juros de Mora da Dívida Ativa das Contribuições para o PIS/PASEP</t>
  </si>
  <si>
    <t>Receita de Parcelamentos – Multas e Juros de Mora da Dívida Ativa das Contribuições para o PIS/PASEP</t>
  </si>
  <si>
    <t>Multas e Juros de Mora da Dívida Ativa da Contribuição Social sobre o Lucro das Pessoas Jurídicas</t>
  </si>
  <si>
    <t>Receita de Multas e Juros de Mora da Dívida Ativa da Contribuição Social sobre o Lucro das Pessoas Jurídicas</t>
  </si>
  <si>
    <t>Receita de Parcelamentos – Multas e Juros de Mora da Dívida Ativa da Contribuição Social sobre o Lucro das Pessoas Jurídicas</t>
  </si>
  <si>
    <t>Multas e Juros de Mora da Dívida Ativa sobre a Contribuição dos Concursos e Prognósticos</t>
  </si>
  <si>
    <t>Multas e Juros de Mora da Dívida Ativa da Contribuição sobre a Receita da Loteria Federal</t>
  </si>
  <si>
    <t>Multas e Juros de Mora da Dívida Ativa da Contribuição sobre a Receita de Loterias Esportivas</t>
  </si>
  <si>
    <t>Multas e Juros de Mora da Dívida Ativa da Contribuição sobre a Receita de Concursos Especiais de Loterias Esportivas</t>
  </si>
  <si>
    <t>Multas e Juros de Mora da Dívida Ativa da Contribuição sobre a Receita de Loterias de Números</t>
  </si>
  <si>
    <t>Multas e Juros de Mora da Dívida Ativa da Contribuição sobre a Receita da Loteria Instantânea</t>
  </si>
  <si>
    <t>Multas e Juros de Mora da Dívida Ativa da Contribuição sobre a Receita de Prêmios Prescritos de Loterias Federais</t>
  </si>
  <si>
    <t>Multas e Juros de Mora da Dívida Ativa sobre a Contribuição Relativa à Despedida de Empregado sem Justa Causa</t>
  </si>
  <si>
    <t>Multas e Juros de Mora da Dívida Ativa sobre a Contribuição sobre a Remuneração Devida ao Trabalhador</t>
  </si>
  <si>
    <t>Multas e Juros de Mora da Dívida Ativa da Cota-Parte do Adicional ao Frete para Renovação da Marinha Mercante</t>
  </si>
  <si>
    <t>Multas e Juros de Mora da Dívida Ativa da Contribuição Relativa às Atividades de Comercialização de Petróleo e seus Derivados, Gás Natural e Álcool Carburante</t>
  </si>
  <si>
    <t>Receita de Multas e Juros de Mora da Dívida Ativa da Contribuição Relativa às Atividades de Comercialização de Petróleo e seus Derivados, Gás Natural e Álcool Carburante</t>
  </si>
  <si>
    <t>Receita de Parcelamentos - Multas e Juros de Mora da Dívida Ativa da Contribuição Relativa às Atividades de Comercialização de Petróleo e seus Derivados, Gás Natural e Álcool Carburante</t>
  </si>
  <si>
    <t>Juros de Mora do FUNDAF – Dívida Ativa das Contribuições</t>
  </si>
  <si>
    <t>Juros de Mora do FUNDAF – Receita da Dívida Ativa da Contribuição para o Financiamento da Seguridade Social</t>
  </si>
  <si>
    <t>Juros de Mora do FUNDAF - Receita de Parcelamentos da Dívida Ativa da Contribuição para o Financiamento da Seguridade Social</t>
  </si>
  <si>
    <t>Juros de Mora do FUNDAF – Receita da Dívida Ativa da Contribuição sobre Movimentação Financeira</t>
  </si>
  <si>
    <t>Juros de Mora do FUNDAF - Receita de Parcelamentos da Dívida Ativa da Contribuição sobre Movimentação Financeira</t>
  </si>
  <si>
    <t>Juros de Mora do FUNDAF – Receita da Dívida Ativa das Contribuições para os Programas de Integração Social e de Formação do Patrimônio do Servidor Público</t>
  </si>
  <si>
    <t>Juros de Mora do FUNDAF - Receita de Parcelamentos da Dívida Ativa das Contribuições para os Programas de Integração Social e de Formação do Patrimônio do Servidor Público</t>
  </si>
  <si>
    <t>Juros de Mora do FUNDAF - Receita da Dívida Ativa da Contribuição Social sobre o Lucro das Pessoas Jurídicas</t>
  </si>
  <si>
    <t>Juros de Mora do FUNDAF - Receita de Parcelamentos da Dívida Ativa da Contribuição Social sobre o Lucro das Pessoas Jurídicas</t>
  </si>
  <si>
    <t>Juros de Mora do FUNDAF – Dívida Ativa da Contribuição sobre a Receita da Loteria Federal</t>
  </si>
  <si>
    <t>Juros de Mora do FUNDAF - Dívida Ativa da Contribuição sobre a Receita de Loterias Esportivas</t>
  </si>
  <si>
    <t>Juros de Mora do FUNDAF - Dívida Ativa da Contribuição sobre a Receita de Concursos Especiais de Loterias Esportivas</t>
  </si>
  <si>
    <t>Juros de Mora do FUNDAF - Dívida Ativa da Contribuição sobre a Receita de Loterias de Números</t>
  </si>
  <si>
    <t>Juros de Mora do FUNDAF - Dívida Ativa da Contribuição sobre a Receita da Loteria Instantânea</t>
  </si>
  <si>
    <t>Juros de Mora do FUNDAF – Receita da Dívida Ativa de Prêmios Prescritos de Loterias Federais</t>
  </si>
  <si>
    <t>Multas e Juros de Mora da Dívida Ativa das Contribuições sobre os Serviços de Telecomunicações</t>
  </si>
  <si>
    <t>Multas e Juros de Mora da Dívida Ativa da Contribuição sobre a Receita Operacional Bruta Decorrente de Prestação de Serviços de Telecomunicações</t>
  </si>
  <si>
    <t>Multas e Juros de Mora da Dívida Ativa da Contribuição para o Fomento da Radiodifusão Pública</t>
  </si>
  <si>
    <t>Multas e Juros de Mora da Dívida Ativa de Outras Contribuições</t>
  </si>
  <si>
    <t>Multas e Juros de Mora da Dívida Ativa de Outras Contribuições – Principal</t>
  </si>
  <si>
    <t>Parcelamentos - Multas e Juros de Mora da Dívida Ativa de Outras Contribuições</t>
  </si>
  <si>
    <t>Multa e Juros de Mora da Dívida Ativa de Outras Receitas</t>
  </si>
  <si>
    <t>Multas e Juros de Mora da Dívida Ativa das Multas por Infração à Legislação Trabalhista</t>
  </si>
  <si>
    <t>Multas e Juros de Mora da Dívida Ativa da Receita de Exploração de Recursos Minerais</t>
  </si>
  <si>
    <t>Multas e Juros de Mora da Dívida Ativa da Receita de Outorga de Direitos de Exploração e Pesquisa Mineral</t>
  </si>
  <si>
    <t>Multas e Juros de Mora da Receita da Dívida Ativa das Multas Previstas na Legislação Minerária</t>
  </si>
  <si>
    <t>Multas e Juros de Mora da Receita da Dívida Ativa dos Serviços de Inspeção e Fiscalização da Atividade Mineral</t>
  </si>
  <si>
    <t>Multas e Juros de Mora da Receita da Dívida Ativa da Multa de Poluição de Águas</t>
  </si>
  <si>
    <t>Multas e Juros de Mora da Receita da Dívida Ativa da Outorga de Direitos de Uso de Recursos Hídricos</t>
  </si>
  <si>
    <t>Multas e Juros de Mora da Receita da Dívida Ativa da Multa Prevista no Código Brasileiro de Aeronáutica</t>
  </si>
  <si>
    <t>Multas e Juros de Mora da Receita da Dívida Ativa dos Serviços de Inspeção e Fiscalização</t>
  </si>
  <si>
    <t>Multas e Juros de Mora da Receita da Dívida Ativa das Multas Previstas na Lei Geral das Telecomunicações</t>
  </si>
  <si>
    <t>Multas e Juros de Mora da Receita da Dívida Ativa de Concessões e Permissões – Serviços de Comunicação</t>
  </si>
  <si>
    <t>Multas e Juros de Mora da Dívida Ativa da Outorga dos Serviços de Telecomunicações</t>
  </si>
  <si>
    <t>Multas e Juros de Mora da Dívida Ativa da Outorga dos Serviços de Radiodifusão Sonora e de Sons e Imagens</t>
  </si>
  <si>
    <t>Multas e Juros de Mora da Dívida Ativa da Outorga do Direito de Uso de Radiofrequência</t>
  </si>
  <si>
    <t>Multas e Juros de Mora da Dívida Ativa da Transferência de Concessão, de Permissão ou de Autorização de Telecomunicações ou de Uso de Radiofrequência</t>
  </si>
  <si>
    <t>Multas e Juros de Mora da Dívida Ativa da Outorga para a Utilização de Posições Orbitais</t>
  </si>
  <si>
    <t>Multas e Juros de Mora da Dívida Ativa de Outras Receitas de Concessões e Permissões - Serviços de Comunicação</t>
  </si>
  <si>
    <t>Multas e Juros de Mora da Receita da Dívida Ativa da Contribuição para o Desenvolvimento da Indústria Cinematográfica Nacional</t>
  </si>
  <si>
    <t>Multas e Juros de Mora da Receita da Dívida Ativa decorrente da Não-Aplicação de Incentivos Fiscais em Projetos Culturais e Indústria Cinematográfica</t>
  </si>
  <si>
    <t>Multas e Juros de Mora da Receita da Dívida Ativa das Multas por Infrações à Legislação Cinematográfica</t>
  </si>
  <si>
    <t>Multas e Juros de Mora da Receita da Dívida Ativa da Utilização de Recursos Hídricos – Demais Empresas</t>
  </si>
  <si>
    <t>Multas e Juros de Mora da Receita da Dívida Ativa das Multas Previstas em Lei por Infrações no Setor de Energia Elétrica</t>
  </si>
  <si>
    <t>Multas e Juros de Mora da Receita da Dívida Ativa da Taxa de Fiscalização de Serviços de Energia Elétrica</t>
  </si>
  <si>
    <t>Multas e Juros de Mora da Receita da Dívida Ativa  das Multas Previstas na Legislação sobre Lubrificantes e Combustíveis</t>
  </si>
  <si>
    <t>Multas e Juros de Mora da Dívida Ativa das Compensações Financeiras entre o Regime Geral e os Regimes Próprios de Previdência dos Servidores</t>
  </si>
  <si>
    <t>Multas e Juros de Mora da Receita da Dívida Ativa da Taxa de Fiscalização e Autos de Infração no âmbito do Regime de Previdência Complementar Fechada</t>
  </si>
  <si>
    <t>Multas e Juros de Mora da Receita da Dívida Ativa da Taxa de Fiscalização – TAFIC</t>
  </si>
  <si>
    <t>Multas e Juros de Mora da Receita da Dívida Ativa do Auto de Infração no âmbito do Regime de Previdência Complementar Fechada</t>
  </si>
  <si>
    <t>Outras Multas e Juros de Mora da Dívida Ativa de Outras Receitas</t>
  </si>
  <si>
    <t>Outras Multas e Juros de Mora da Dívida Ativa de Outras Receitas – Principal</t>
  </si>
  <si>
    <t>Parcelamentos - Outras Multas e Juros de Mora da Dívida Ativa de Outras Receitas</t>
  </si>
  <si>
    <t>Multas e Juros de Mora de Outras Receitas</t>
  </si>
  <si>
    <t>Multas e Juros de Mora de Aluguel</t>
  </si>
  <si>
    <t>Multas e Juros de Mora de Arrendamentos</t>
  </si>
  <si>
    <t>Multas e Juros de Mora de Laudêmios</t>
  </si>
  <si>
    <t>Multa e Juros de Mora da Alienação de Bens Imóveis de Domínio da União</t>
  </si>
  <si>
    <t>Multa de Mora da Alienação de Bens Imóveis de Domínio da União – Domínio Pleno, Útil e Direto</t>
  </si>
  <si>
    <t>Juros de Mora da Alienação de Bens Imóveis de Domínio da União – Domínio Pleno, Útil e Direto</t>
  </si>
  <si>
    <t>Multas e Juros de Mora da Alienação de Outros Bens Imóveis</t>
  </si>
  <si>
    <t>Multas e Juros de Mora do Parcelamento</t>
  </si>
  <si>
    <t>Multas e Juros de Mora de Foros</t>
  </si>
  <si>
    <t>Multas e Juros de Mora da Taxa de Ocupação</t>
  </si>
  <si>
    <t>Multas e Juros de Mora de Dividendos</t>
  </si>
  <si>
    <t>Multas e Juros de Mora de Participações</t>
  </si>
  <si>
    <t>Multas e Juros de Mora da Receita dos Direitos “Antidumping” e dos Direitos Compensatórios</t>
  </si>
  <si>
    <t>Multas e Juros de Mora da Receita Decorrente de Bens Apreendidos</t>
  </si>
  <si>
    <t>Multas e Juros de Mora dos Financiamentos à Estocagem de Álcool Etílico Combustível</t>
  </si>
  <si>
    <t>Multas e Juros de Mora da Receita de Exploração de Recursos Minerais</t>
  </si>
  <si>
    <t>Multas e Juros de Mora da Receita de Outorga de Direitos de Exploração e Pesquisa Mineral</t>
  </si>
  <si>
    <t>Multas e Juros de Mora da Receita de Concessão Florestal</t>
  </si>
  <si>
    <t>Multa e Juros de Mora pela Cessão de Uso de Bens da União</t>
  </si>
  <si>
    <t>Multa de Mora pela Cessão de Uso de Bens da União</t>
  </si>
  <si>
    <t>Juros de Mora pela Cessão de Uso de Bens da União</t>
  </si>
  <si>
    <t>Multa e Juros de Mora de Indenização por Posse ou Ocupação Ilícita de Bens da União</t>
  </si>
  <si>
    <t>Multa de Mora de Indenização por Posse ou Ocupação Ilícita de Bens da União</t>
  </si>
  <si>
    <t>Juros de Mora de Indenização por Posse ou Ocupação Ilícita de Bens da União</t>
  </si>
  <si>
    <t>Multas e Juros de Mora do Auto de Infração no âmbito do Regime de Previdência Complementar Fechada</t>
  </si>
  <si>
    <t>Multas e Juros de Mora da Receita Decorrente de Medidas de Suspensão de Concessões dos Direitos de Propriedade Intelectual</t>
  </si>
  <si>
    <t>Multas e Juros de Mora do Ressarcimento Decorrente de Ações Regressivas Oriundas da Relação de Trabalho</t>
  </si>
  <si>
    <t>Multa e Juros de Mora Decorrentes da Restituição de Recursos de Fomento</t>
  </si>
  <si>
    <t>Multas e Juros de Mora das Receitas de Concessão e Outorga na Área de Telecomunicações</t>
  </si>
  <si>
    <t>Multas e Juros de Mora da Outorga dos Serviços de Telecomunicações</t>
  </si>
  <si>
    <t>Multas e Juros de Mora da Outorga dos Serviços de Radiodifusão Sonora e de Sons e Imagens</t>
  </si>
  <si>
    <t>Multas e Juros de Mora da Outorga do Direito de Uso de Radiofrequência</t>
  </si>
  <si>
    <t>Multas e Juros de Mora da Transferência de Concessão, de Permissão ou de Autorização de Telecomunicações ou de Uso de Radiofrequência</t>
  </si>
  <si>
    <t>Multas e Juros de Mora da Outorga para a Utilização de Posições Orbitais</t>
  </si>
  <si>
    <t>Multas e Juros de Mora de Outras Receitas de Concessões e Permissões - Serviços de Comunicação</t>
  </si>
  <si>
    <t>Multas e Juros de Mora Incidentes sobre as Multas Previstas na Lei Geral       das Telecomunicações</t>
  </si>
  <si>
    <t>Multas e Juros de Mora Decorrentes de Multas por Auto de Infração</t>
  </si>
  <si>
    <t>Multas e Juros de Mora dos Serviços de Certificação e Homologação de Produtos de Telecomunicações</t>
  </si>
  <si>
    <t>Outras Multas e Juros de Mora</t>
  </si>
  <si>
    <t>Multas de Outras Origens</t>
  </si>
  <si>
    <t>Multas Previstas na Legislação de Metrologia</t>
  </si>
  <si>
    <t>Multas do Regulamento para o Tráfego Marítimo</t>
  </si>
  <si>
    <t>Multa de Poluição de Águas</t>
  </si>
  <si>
    <t>Multas Previstas em Acordos Internacionais sobre a Pesca</t>
  </si>
  <si>
    <t>Multas Decorrentes de Apreensão de Embarcações de Pesca</t>
  </si>
  <si>
    <t>Multas do Código Eleitoral e Leis Conexas</t>
  </si>
  <si>
    <t>Multas Previstas no Regulamento do Estrangeiro</t>
  </si>
  <si>
    <t>Multas Previstas na Lei do Serviço Militar</t>
  </si>
  <si>
    <t>Multas Previstas na Lei Geral das Telecomunicações</t>
  </si>
  <si>
    <t>Multas Previstas na Legislação Sanitária</t>
  </si>
  <si>
    <t>Multas Previstas na Legislação de Registro do Comércio</t>
  </si>
  <si>
    <t>Multas Previstas na Legislação sobre Lubrificantes e Combustíveis</t>
  </si>
  <si>
    <t>Multas por Infração à Legislação Trabalhista</t>
  </si>
  <si>
    <t>Multas Previstas na Legislação de Trânsito</t>
  </si>
  <si>
    <t>Multas Previstas na Legislação do Seguro-Desemprego e Abono Salarial</t>
  </si>
  <si>
    <t>Multas Previstas na Lei Delegada no 04/62</t>
  </si>
  <si>
    <t>Multas sobre a Fiscalização da Rede de Produção Orgânica</t>
  </si>
  <si>
    <t>Multa Prevista na Lei de Prevenção ao Uso de Drogas</t>
  </si>
  <si>
    <t>Multas Previstas na Legislação sobre Defesa dos Direitos Difusos</t>
  </si>
  <si>
    <t>Multas Previstas na Legislação sobre Defesa dos Direitos Difusos Trabalhistas</t>
  </si>
  <si>
    <t>Multas Previstas na Legislação sobre Defesa dos Direitos Difusos – Outros</t>
  </si>
  <si>
    <t>Multas e Juros Previstos em Contratos</t>
  </si>
  <si>
    <t>Multas Decorrentes da Operação do Transporte Rodoviário de Passageiros e Cargas</t>
  </si>
  <si>
    <t>Multas Previstas por Infrações à Legislação sobre Transportes Ferroviários</t>
  </si>
  <si>
    <t>Multas Previstas no Código Brasileiro de Aeronáutica</t>
  </si>
  <si>
    <t>Multa de Tarifa Pedágio</t>
  </si>
  <si>
    <t>Multas Aplicadas no Âmbito de Processo Judicial</t>
  </si>
  <si>
    <t>Multas Decorrentes de Sentenças Penais Condenatórias</t>
  </si>
  <si>
    <t>Multas Decorrentes de Sentenças Judiciais</t>
  </si>
  <si>
    <t>Multa de Quebra de Fiança</t>
  </si>
  <si>
    <t>Multas Previstas em Lei por Infrações no Setor de Energia elétrica</t>
  </si>
  <si>
    <t>Multas por Danos Ambientais</t>
  </si>
  <si>
    <t>Multas Administrativas por Danos Ambientais</t>
  </si>
  <si>
    <t>Multas Judiciais por Danos Ambientais</t>
  </si>
  <si>
    <t>Multa de Segurança Privada</t>
  </si>
  <si>
    <t xml:space="preserve">Multa por Ato Atentatório ao Exercício da Jurisdição </t>
  </si>
  <si>
    <t>Multas e Juros das Operações Oficiais de Crédito</t>
  </si>
  <si>
    <t>Multas por Infrações à Legislação Cinematográfica</t>
  </si>
  <si>
    <t>Multas Aplicadas pelos Tribunais de Contas</t>
  </si>
  <si>
    <t>Multas Previstas na Legislação sobre Regime de Previdência Privada Complementar</t>
  </si>
  <si>
    <t>Multas por Auto de Infração</t>
  </si>
  <si>
    <t>Multa pelo Descumprimento de Obrigação Acessória Previdenciária</t>
  </si>
  <si>
    <t>Multas por Atraso de Informações da Guia de Recolhimento do FGTS e Informações à Previdência Social</t>
  </si>
  <si>
    <t>Multa a Titulares de Cartórios por Descumprimento das Obrigações Previstas na Legislação Previdenciária</t>
  </si>
  <si>
    <t>Multas Aplicadas a Empresa por Não Emissão ou Emissão em Atraso da Comunicação por Acidente de Trabalho</t>
  </si>
  <si>
    <t>Multas Aplicadas por Ausência de Desconto em Folha de Pagamento Proveniente de Benefícios Pagos Indevidamente</t>
  </si>
  <si>
    <t>Multas Aplicadas por Litigância de Má-Fé em Processos Judiciais contra o INSS</t>
  </si>
  <si>
    <t>Multas Previstas na Legislação Minerária</t>
  </si>
  <si>
    <t>Multas Decorrentes de Serviços de Migração</t>
  </si>
  <si>
    <t>Multa por Infração à Legislação de Licitação</t>
  </si>
  <si>
    <t>Multas e Indenizações pela Exploração do Patrimônio Genético</t>
  </si>
  <si>
    <t>Multas e Indenizações pela Exploração do Patrimônio Genético em Áreas de Domínio da União</t>
  </si>
  <si>
    <t>Multas e Indenizações pela Exploração do Patrimônio Genético no Mar Territorial, Zona Econômica Exclusiva ou Plataforma Continental</t>
  </si>
  <si>
    <t>Outras Multas</t>
  </si>
  <si>
    <t>Indenizações e Restituições</t>
  </si>
  <si>
    <t>Indenizações</t>
  </si>
  <si>
    <t>Indenizações previstas na Legislação sobre Defesa de Direitos Difusos</t>
  </si>
  <si>
    <t>Indenizações por Danos Causados ao Patrimônio Público</t>
  </si>
  <si>
    <t>Indenização por Posse ou Ocupação Ilícita de Bens da União</t>
  </si>
  <si>
    <t>Outras Indenizações</t>
  </si>
  <si>
    <t>Restituições</t>
  </si>
  <si>
    <t>Restituições de Convênios</t>
  </si>
  <si>
    <t>Restituições de Convênios – Primárias</t>
  </si>
  <si>
    <t>Restituições de Convênios – Financeira</t>
  </si>
  <si>
    <t>Restituições de Benefícios não Desembolsados</t>
  </si>
  <si>
    <t>Restituições de Benefícios Não Desembolsados - Fundo de Amparo ao Trabalhador</t>
  </si>
  <si>
    <t>Restituições de Benefícios Não Desembolsados - Recursos Próprios Não-Financeiros</t>
  </si>
  <si>
    <t>Restituição de Benefícios Previdenciários Oriundos de Fraude</t>
  </si>
  <si>
    <t>Restituição de Benefícios Previdenciários Oriundos de Erro</t>
  </si>
  <si>
    <t>Restituição de Benefícios Pagos Indevidamente pelo Banco Depositário</t>
  </si>
  <si>
    <t>Restituição de Benefícios Previdenciários Mediante Consignação em Folha de Pagamento</t>
  </si>
  <si>
    <t>Restituição de Benefícios Previdenciários Oriundos de Parcelamento de Débito</t>
  </si>
  <si>
    <t>Outras Restituições de Benefícios Não Desembolsados – Demais Fontes</t>
  </si>
  <si>
    <t>Outras Restituições de Benefícios</t>
  </si>
  <si>
    <t>Restituição de Benefícios Oriundos de Encargos Previdenciários da União</t>
  </si>
  <si>
    <t>Restituições de Benefícios de Prestação Continuada e de Renda Mensal Vitalícia</t>
  </si>
  <si>
    <t>Outras Restituições de Benefícios Previdenciários</t>
  </si>
  <si>
    <t>Restituição de Contribuições Previdenciárias Complementares</t>
  </si>
  <si>
    <t>Restituições não Reclamadas das Condenações Judiciais</t>
  </si>
  <si>
    <t>Ressarcimento por Operadoras de Seguros Privados de Assistência à Saúde</t>
  </si>
  <si>
    <t>Ressarcimento do Custo de Disponibilização de Medicamentos</t>
  </si>
  <si>
    <t>Recuperação de Despesas de Exercícios Anteriores</t>
  </si>
  <si>
    <t>Ressarcimento de Pagamentos de Honorários Técnico-Periciais</t>
  </si>
  <si>
    <t>Ressarcimento de Despesas do Porte de Remessa e Retorno dos Autos</t>
  </si>
  <si>
    <t>Compensações Financeiras entre o Regime Geral e os Regimes Próprios de Previdência dos Servidores</t>
  </si>
  <si>
    <t>Compensações Financeiras entre o Regime Geral e os Regimes Próprios de Previdência dos Servidores – Principal</t>
  </si>
  <si>
    <t>Compensações Financeiras entre o Regime Geral e os Regimes Próprios de Previdência dos Servidores – Parcelamentos</t>
  </si>
  <si>
    <t>Restituição de Parcelas do Seguro Desemprego Recebidas Indevidamente</t>
  </si>
  <si>
    <t>Recuperação de Sinistros</t>
  </si>
  <si>
    <t>Ressarcimento de Pagamentos de Despesas pela Deportação</t>
  </si>
  <si>
    <t>Ressarcimento Decorrente de Ações Regressivas Oriundas da Relação de Trabalho</t>
  </si>
  <si>
    <t>Restituição de Recursos de Fomento</t>
  </si>
  <si>
    <t>Devoluções de Recursos decorrentes de Restituições Indevidas do Imposto de Renda</t>
  </si>
  <si>
    <t>Outras Restituições</t>
  </si>
  <si>
    <t>Retorno de Investimentos Mediante Participação em Empresas e Projetos</t>
  </si>
  <si>
    <t>Receita da Dívida Ativa</t>
  </si>
  <si>
    <t>Receita da Dívida Ativa Tributária</t>
  </si>
  <si>
    <t>Receita da Dívida Ativa do Imposto sobre a Renda e Proventos de Qualquer Natureza</t>
  </si>
  <si>
    <t>Receita da Dívida Ativa do Imposto sobre a Renda das Pessoas Físicas</t>
  </si>
  <si>
    <t>Receita da Dívida Ativa do Imposto sobre a Renda das Pessoas Jurídicas</t>
  </si>
  <si>
    <t>Receita da Dívida Ativa do Imposto sobre a Renda Retido nas Fontes</t>
  </si>
  <si>
    <t>Receita de Parcelamentos – Dívida Ativa do Imposto sobre a Renda das Pessoas Jurídicas</t>
  </si>
  <si>
    <t>Receita de Parcelamentos – Dívida Ativa do Imposto sobre a Renda Retido na Fonte</t>
  </si>
  <si>
    <t>Receita de Parcelamentos – Dívida Ativa do Imposto sobre a Renda das Pessoas Físicas</t>
  </si>
  <si>
    <t>Receita da Dívida Ativa do Imposto de Renda Pessoa Jurídica - Simples Nacional</t>
  </si>
  <si>
    <t>Receita da Dívida Ativa do Imposto sobre Produtos Industrializados</t>
  </si>
  <si>
    <t>Receita do Principal da Dívida Ativa do Imposto sobre Produtos Industrializados</t>
  </si>
  <si>
    <t>Receita de Parcelamentos – Dívida Ativa do Imposto sobre Produtos Industrializados</t>
  </si>
  <si>
    <t>Receita da Dívida Ativa do Imposto sobre Produtos Industrializados - Simples Nacional</t>
  </si>
  <si>
    <t>Receita da Dívida Ativa do Imposto sobre Operações de Crédito, Câmbio e Seguro, ou Relativas a Títulos ou Valores Mobiliários</t>
  </si>
  <si>
    <t>Receita do Principal da Dívida Ativa do Imposto sobre Operações de Crédito, Câmbio e Seguro, ou Relativas a Títulos ou Valores Mobiliários</t>
  </si>
  <si>
    <t>Receita de Parcelamentos – Dívida Ativa do Imposto sobre Operações de Crédito, Câmbio e Seguro, ou Relativas a Títulos ou Valores Mobiliários</t>
  </si>
  <si>
    <t>Receita da Dívida Ativa do Imposto sobre a Propriedade Territorial Rural</t>
  </si>
  <si>
    <t>Receita da Dívida Ativa do Imposto sobre a Propriedade Territorial Rural - Municípios Conveniados</t>
  </si>
  <si>
    <t>Receita da Dívida Ativa do Imposto sobre a Propriedade Territorial Rural - Municípios Não-Conveniados</t>
  </si>
  <si>
    <t>Receita da Dívida Ativa do Imposto sobre a Importação</t>
  </si>
  <si>
    <t>Receita do Principal da Dívida Ativa do Imposto sobre a Importação</t>
  </si>
  <si>
    <t>Receita de Parcelamentos – Dívida Ativa do Imposto sobre a Importação</t>
  </si>
  <si>
    <t>Receita da Dívida Ativa do Imposto sobre a Exportação</t>
  </si>
  <si>
    <t>Receita do Principal da Dívida Ativa do Imposto sobre a Exportação</t>
  </si>
  <si>
    <t>Receita de Parcelamentos – Dívida Ativa do Imposto sobre a Exportação</t>
  </si>
  <si>
    <t>Receita da Dívida Ativa de Custas Judiciais</t>
  </si>
  <si>
    <t>Receita da Dívida Ativa da Taxa de Fiscalização de Telecomunicações</t>
  </si>
  <si>
    <t>Receita da Dívida Ativa da Taxa de Fiscalização de Instalação</t>
  </si>
  <si>
    <t>Receita da Dívida Ativa da Taxa de Fiscalização de Funcionamento</t>
  </si>
  <si>
    <t>Receita da Dívida Ativa decorrente da Taxa de Fiscalização – TAFIC</t>
  </si>
  <si>
    <t>Receita da Dívida Ativa do Imposto sobre a Propriedade Predial e Territorial Urbana – IPTU</t>
  </si>
  <si>
    <t>Receita da Dívida Ativa do Imposto sobre a Transmissão Inter-Vivos de Bens Imóveis – ITBI</t>
  </si>
  <si>
    <t>Receita da Dívida Ativa do Imposto sobre Serviços de Qualquer Natureza – ISS</t>
  </si>
  <si>
    <t>Receita da Dívida Ativa do Imposto sobre a Propriedade de Veículos Automotores – IPVA</t>
  </si>
  <si>
    <t>Receita da Dívida Ativa do Imposto sobre Circulação de Mercadorias e Prestação de Serviços – ICMS</t>
  </si>
  <si>
    <t>Receita da Dívida Ativa do Imposto sobre Transmissão “Causa Mortis” e Doação de Bens e Direitos</t>
  </si>
  <si>
    <t>Receita da Dívida Ativa da Taxa de Fiscalização e Vigilância Sanitária</t>
  </si>
  <si>
    <t>Receita da Dívida Ativa da Taxa de Saúde Suplementar</t>
  </si>
  <si>
    <t>Receita da Dívida Ativa das Contribuições de Melhoria.</t>
  </si>
  <si>
    <t>Receita da Dívida Ativa de Outros Tributos</t>
  </si>
  <si>
    <t>Receita da Dívida Ativa de Outros Tributos – Principal</t>
  </si>
  <si>
    <t>Parcelamentos - Receita da Dívida Ativa de Outros Tributos</t>
  </si>
  <si>
    <t>Receita da Dívida Ativa não tributária</t>
  </si>
  <si>
    <t>Receita da Dívida Ativa das Contribuições Previdenciárias para o Regime Geral de Previdência Social</t>
  </si>
  <si>
    <t>Receita da Dívida Ativa da Contribuição Previdenciária do Segurado Obrigatório – Contribuinte Individual</t>
  </si>
  <si>
    <t>Receita da Dívida Ativa da Contribuição Previdenciária do Segurado Assalariado</t>
  </si>
  <si>
    <t>Receita da Dívida Ativa da Contribuição Previdenciária da Empresa sobre o Segurado Assalariado</t>
  </si>
  <si>
    <t>Receita da Dívida Ativa da Contribuição Previdenciária da Empresa Optante pelo SIMPLES</t>
  </si>
  <si>
    <t>Receita da Dívida Ativa da Contribuição Previdenciária sobre Espetáculo Desportivo</t>
  </si>
  <si>
    <t>Receita da Dívida Ativa da Contribuição Previdenciária sobre Produção Rural</t>
  </si>
  <si>
    <t>Receita da Dívida Ativa da Contribuição Previdenciária em Regime de Parcelamento de Débitos</t>
  </si>
  <si>
    <t>Receita da Dívida Ativa da Contribuição Previdenciária para o Seguro de Acidente do Trabalho</t>
  </si>
  <si>
    <t>Receita de Mora da Dívida Ativa da Contribuição Previdenciária sobre Reclamatória Trabalhista</t>
  </si>
  <si>
    <t>Receita da Dívida Ativa da Contribuição Previdenciária do Segurado em Regime de Parcelamento de Débitos dos Municípios</t>
  </si>
  <si>
    <t>Receita da Dívida Ativa da Contribuição Previdenciária do Segurado Obrigatório – Empresário</t>
  </si>
  <si>
    <t>Receita da Dívida Ativa da Contribuição Previdenciária do Segurado Facultativo</t>
  </si>
  <si>
    <t>Receita da Dívida Ativa da Contribuição Previdenciária do Segurado Especial</t>
  </si>
  <si>
    <t>Receita da Dívida Ativa da Contribuição Previdenciária do Segurado Obrigatório – Empregado Doméstico</t>
  </si>
  <si>
    <t>Receita da Dívida Ativa da Contribuição Previdenciária dos Órgãos do Poder Público</t>
  </si>
  <si>
    <t>Receita da Dívida Ativa da Contribuição Previdenciária das Entidades Filantrópicas</t>
  </si>
  <si>
    <t>Receita da Dívida Ativa da Contribuição Previdenciária – Retenção sobre Nota Fiscal – Sub-rogação</t>
  </si>
  <si>
    <t>Receita da Dívida Ativa da Arrecadação FIES – Certificados Financeiros do Tesouro Nacional</t>
  </si>
  <si>
    <t>Receita da Dívida Ativa da Arrecadação FNS – Certificados Financeiros do Tesouro Nacional</t>
  </si>
  <si>
    <t>Receita da Dívida Ativa de Certificados da Dívida Pública – CDP</t>
  </si>
  <si>
    <t>Receita da Dívida Ativa da Contribuição Previdenciária na Forma de Depósito Judicial, Recursal e Custas Judiciais</t>
  </si>
  <si>
    <t>Receita da Dívida Ativa da Contribuição Previdenciária – Parcelamentos</t>
  </si>
  <si>
    <t>Receita da Dívida Ativa da Contribuição Previdenciária da Empresa Incidente sobre a Receita Bruta</t>
  </si>
  <si>
    <t>Receita da Dívida Ativa de Outras Contribuições Previdenciárias</t>
  </si>
  <si>
    <t>Receita da Dívida Ativa da Contribuição para o Financiamento da Seguridade Social</t>
  </si>
  <si>
    <t>Receita do Principal da Dívida Ativa da Contribuição para o Financiamento da Seguridade Social</t>
  </si>
  <si>
    <t>Receita de Parcelamentos – Dívida Ativa da Contribuição para o Financiamento da Seguridade Social</t>
  </si>
  <si>
    <t>Receita da Dívida Ativa da Contribuição do Salário-Educação</t>
  </si>
  <si>
    <t>Receita da Dívida Ativa da Contribuição sobre Movimentação ou Transmissão de Valores e de Créditos e Direitos de Natureza Financeira</t>
  </si>
  <si>
    <t>Receita do Principal da Dívida Ativa da Contribuição sobre Movimentação ou Transmissão de Valores e de Créditos e Direitos de Natureza Financeira</t>
  </si>
  <si>
    <t>Receita de Parcelamentos – Dívida Ativa da Contribuição sobre Movimentação ou Transmissão de Valores e de Créditos e Direitos de Natureza Financeira</t>
  </si>
  <si>
    <t>Receita da Dívida Ativa da Contribuição para o PIS/PASEP</t>
  </si>
  <si>
    <t>Receita do Principal da Dívida Ativa da Contribuição para o PIS/PASEP</t>
  </si>
  <si>
    <t>Receita de Parcelamentos - Dívida Ativa da Contribuição para o PIS/PASEP</t>
  </si>
  <si>
    <t>Receita da Dívida Ativa da Contribuição Social sobre o Lucro Líquido das Pessoas Jurídicas</t>
  </si>
  <si>
    <t>Receita do Principal da Dívida Ativa da Contribuição Social sobre o Lucro Líquido das Pessoas Jurídicas</t>
  </si>
  <si>
    <t>Receita de Parcelamentos - Dívida Ativa da Contribuição Social sobre o Lucro das Pessoas Jurídicas</t>
  </si>
  <si>
    <t>Receita da Dívida Ativa da Contribuição dos Concursos e Prognósticos</t>
  </si>
  <si>
    <t>Receita da Dívida Ativa da Contribuição sobre a Receita da Loteria Federal</t>
  </si>
  <si>
    <t>Receita da Dívida Ativa da Contribuição sobre a Receita de Loterias Esportivas</t>
  </si>
  <si>
    <t>Receita da Dívida Ativa da Contribuição sobre a Receita de Concursos Especiais de Loterias Esportivas</t>
  </si>
  <si>
    <t>Receita da Dívida Ativa da Contribuição sobre a Receita da Loteria de Números</t>
  </si>
  <si>
    <t>Receita da Dívida Ativa da Contribuição sobre a Receita da Loteria Instantânea</t>
  </si>
  <si>
    <t>Receita da Dívida Ativa de Prêmios Prescritos de Loterias Federais</t>
  </si>
  <si>
    <t>Receita da Dívida Ativa das Multas do Código Eleitoral e Leis Conexas</t>
  </si>
  <si>
    <t>Receita da Dívida Ativa da Cota-Parte do Adicional ao Frete para a Renovação da Marinha Mercante</t>
  </si>
  <si>
    <t>Receita da Dívida Ativa da Contribuição sobre Aposta em Competições Hípicas</t>
  </si>
  <si>
    <t>Receita da Dívida Ativa de Aluguéis</t>
  </si>
  <si>
    <t>Receita da Dívida Ativa de Foros</t>
  </si>
  <si>
    <t>Receita da Dívida Ativa de Taxa de Ocupação</t>
  </si>
  <si>
    <t>Receita da Dívida Ativa de Arrendamento</t>
  </si>
  <si>
    <t>Receita da Dívida Ativa de Laudêmios</t>
  </si>
  <si>
    <t>Receita da Dívida Ativa de Outras Contribuições</t>
  </si>
  <si>
    <t>Receita da Dívida Ativa de Outras Contribuições - Principal</t>
  </si>
  <si>
    <t>Receita de Parcelamentos - Dívida Ativa de Outras Contribuições</t>
  </si>
  <si>
    <t>Receita da Dívida Ativa da Contribuição sobre a Receita Operacional Bruta Decorrente de Prestação de Serviços de Telecomunicações</t>
  </si>
  <si>
    <t>Receita da Dívida Ativa da Contribuição para o Fomento da Radiodifusão Pública</t>
  </si>
  <si>
    <t>Receita da Dívida Ativa das Multas por Infração à Legislação Trabalhista</t>
  </si>
  <si>
    <t>Receita da Dívida Ativa da Contribuição Relativa à Despedida de Empregado sem Justa Causa</t>
  </si>
  <si>
    <t>Receita da Dívida Ativa da Contribuição sobre a Remuneração Devida ao Trabalhador</t>
  </si>
  <si>
    <t>Receita da Dívida Ativa da Contribuição Relativa às Atividades de Comercialização de Petróleo e seus Derivados, Gás Natural e Álcool Carburante</t>
  </si>
  <si>
    <t>Receita da Dívida Ativa da Contribuição Relativa às Atividades de Comercialização de Petróleo e seus Derivados, Gás Natural e Álcool Carburante – Principal</t>
  </si>
  <si>
    <t xml:space="preserve">Receita de Parcelamentos - Dívida Ativa da Contribuição Relativa às Atividades de Comercialização de Petróleo e seus Derivados, Gás Natural e Álcool Carburante </t>
  </si>
  <si>
    <t>Receita da Dívida Ativa da Atividade Mineral</t>
  </si>
  <si>
    <t>Receita da Dívida Ativa da Exploração de Recursos Minerais</t>
  </si>
  <si>
    <t>Receita da Dívida Ativa da Outorga de Direitos de Exploração e Pesquisa Mineral</t>
  </si>
  <si>
    <t>Receita da Dívida Ativa das Multas Previstas na Legislação Minerária</t>
  </si>
  <si>
    <t>Receita da Dívida Ativa dos Serviços de Inspeção e Fiscalização da Atividade Mineral</t>
  </si>
  <si>
    <t>Receita da Dívida Ativa da Multa de Poluição de Águas</t>
  </si>
  <si>
    <t>Receita da Dívida Ativa da Outorga de Direitos de Uso de Recursos Hídricos</t>
  </si>
  <si>
    <t>Receita da Dívida Ativa da Multa Prevista no Código Brasileiro de Aeronáutica</t>
  </si>
  <si>
    <t>Receita da Dívida Ativa dos Serviços de Inspeção e Fiscalização</t>
  </si>
  <si>
    <t>Receita da Dívida Ativa das Multas Previstas na Lei Geral das Telecomunicações</t>
  </si>
  <si>
    <t>Receita da Dívida Ativa de Concessões e Permissões – Serviços de Comunicação</t>
  </si>
  <si>
    <t>Receita da Dívida Ativa da Outorga dos Serviços de Telecomunicações</t>
  </si>
  <si>
    <t>Receita da Dívida Ativa da Outorga dos Serviços de Radiodifusão Sonora e de Sons e Imagens</t>
  </si>
  <si>
    <t>Receita da Dívida Ativa da Outorga do Direito de Uso de Radiofrequência</t>
  </si>
  <si>
    <t>Receita da Dívida Ativa da Transferência de Concessão, de Permissão ou de Autorização de Telecomunicações ou de Uso de Radiofrequência</t>
  </si>
  <si>
    <t>Receita da Dívida Ativa da Outorga para a Utilização de Posições Orbitais</t>
  </si>
  <si>
    <t>Receita da Dívida Ativa de Outras Receitas de Concessões e Permissões - Serviços de Comunicação</t>
  </si>
  <si>
    <t>Receita da Dívida Ativa da Contribuição para o Desenvolvimento da Indústria Cinematográfica Nacional</t>
  </si>
  <si>
    <t>Receita da Dívida Ativa da Receita decorrente da Não-Aplicação de Incentivos Fiscais em Projetos Culturais e Indústria Cinematográfica</t>
  </si>
  <si>
    <t>Dívida Ativa das Multas por Infrações à Legislação Cinematográfica</t>
  </si>
  <si>
    <t>Receita da Dívida Ativa da Utilização de Recursos Hídricos – Demais Empresas</t>
  </si>
  <si>
    <t>Receita da Dívida Ativa das Multas Previstas em Lei por Infrações no Setor de Energia Elétrica</t>
  </si>
  <si>
    <t>Receita da Dívida Ativa da Taxa de Fiscalização de Serviços de Energia Elétrica</t>
  </si>
  <si>
    <t>Receita da Dívida Ativa das Multas Previstas na Legislação sobre Lubrificantes e Combustíveis</t>
  </si>
  <si>
    <t>Receita da Dívida Ativa das Compensações Financeiras entre o Regime Geral e os Regimes Próprios de Previdência dos Servidores</t>
  </si>
  <si>
    <t>Receita da Dívida Ativa de Multas por Infração - Contrato Administrativo</t>
  </si>
  <si>
    <t>Receita da Dívida Ativa de Reposição ou Indenização de Servidor</t>
  </si>
  <si>
    <t>Receita da Dívida Ativa de Ressarcimento ao Erário</t>
  </si>
  <si>
    <t>Receita da Dívida Ativa do Ressarcimento ao Erário Decorrente de Decisão do Tribunal de Contas da União</t>
  </si>
  <si>
    <t>Receita da Dívida Ativa de Ressarcimento ao Sistema Único de Saúde</t>
  </si>
  <si>
    <t>Receita da Dívida Ativa de Multas por Infração da Ordem Econômica</t>
  </si>
  <si>
    <t>Receita da Dívida Ativa por Multa de Trânsito</t>
  </si>
  <si>
    <t>Receita da Dívida Ativa de Multas por Infração à Lei Complementar nº 109/01 – Previdência Privada</t>
  </si>
  <si>
    <t>Receita da Dívida Ativa por Infração Administrativa</t>
  </si>
  <si>
    <t>Receita da Dívida Ativa de Outros Serviços</t>
  </si>
  <si>
    <t>Receita da Dívida Ativa das Multas Previstas na Legislação sobre Regime de Previdência Privada Complementar</t>
  </si>
  <si>
    <t>Receita da Dívida Ativa de Multas Aplicadas no Âmbito de Processo Judicial</t>
  </si>
  <si>
    <t>Receita da Dívida Ativa de Multas Decorrentes de Sentenças Penais Condenatórias</t>
  </si>
  <si>
    <t>Receita da Dívida Ativa de Multas Decorrentes de Sentenças Judiciais</t>
  </si>
  <si>
    <t>Receita da Dívida Ativa Não Tributária de Outras Receitas</t>
  </si>
  <si>
    <t>Receita da Dívida Ativa Não-Tributária de Outras Receitas – Principal</t>
  </si>
  <si>
    <t>Parcelamentos - Receita da Dívida Ativa Não-Tributária de Outras Receitas</t>
  </si>
  <si>
    <t xml:space="preserve">Receitas Decorrentes de Aportes Periódicos para Amortização de Déficit Atuarial do RPPS </t>
  </si>
  <si>
    <t>Receitas Decorrentes de Compensações ao RGPS</t>
  </si>
  <si>
    <t>Receitas Diversas</t>
  </si>
  <si>
    <t>Receita de Parcelamentos – Outras Receitas</t>
  </si>
  <si>
    <t>Receita de Ônus de Sucumbência</t>
  </si>
  <si>
    <t>Receita Decorrente de Alienação de Bens Apreendidos</t>
  </si>
  <si>
    <t>Receita de Leilões de Mercadorias Apreendidas</t>
  </si>
  <si>
    <t>Receita de Alienação de Bens Apreendidos</t>
  </si>
  <si>
    <t>Receita de Alienação de Bens Caucionados</t>
  </si>
  <si>
    <t>Receita de Alienação de Bens Apreendidos Associados ao Tráfico Ilícito de Entorpecentes e Drogas Afins</t>
  </si>
  <si>
    <t>Receita de Valores Apreendidos Associados ao Tráfico Ilícito de Entorpecentes e Drogas Afins</t>
  </si>
  <si>
    <t>Produtos de Depósitos Abandonados (Dinheiro ou Objetos de Valor)</t>
  </si>
  <si>
    <t>Receita de Bens e Valores Perdidos em Favor da União</t>
  </si>
  <si>
    <t>Receita de Bens e Valores Alienados em Favor da União</t>
  </si>
  <si>
    <t>Receita de Reversão de Garantias em Favor da União</t>
  </si>
  <si>
    <t>Receita Decorrente da Não Aplicação de Incentivos Fiscais em Projetos Culturais e pela Indústria Cinematográfica</t>
  </si>
  <si>
    <t>Receita de Direitos “Antidumping” e dos Direitos Compensatórios</t>
  </si>
  <si>
    <t>Demais Receitas para o Desenvolvimento do Desporto</t>
  </si>
  <si>
    <t>Receita Decorrente de Medidas de Suspensão de Concessões dos Direitos de Propriedade Intelectual</t>
  </si>
  <si>
    <t>Receita de Participação do Seguro – DPVAT – Sistema Nacional de Trânsito</t>
  </si>
  <si>
    <t>Receita de Reserva Global de Reversão</t>
  </si>
  <si>
    <t>Recolhimento do Beneficiário ao Fundo de Saúde Militar</t>
  </si>
  <si>
    <t>Contribuição Voluntária – Montepio Civil</t>
  </si>
  <si>
    <t>Receita de Seguros decorrente da Indenização por Sinistro</t>
  </si>
  <si>
    <t>Receita de Leilão de Cotas de Importação</t>
  </si>
  <si>
    <t>Recolhimento e Transferência de Depósitos Judiciais e Extrajudiciais</t>
  </si>
  <si>
    <t>Recursos Decorrentes da Prestação de Contas de Campanha Eleitoral</t>
  </si>
  <si>
    <t>Recursos Decorrentes da Prestação de Contas de Campanha Eleitoral - Sobras de Campanha Plebiscitária</t>
  </si>
  <si>
    <t>Disponibilidades de Recursos do Fundo Social</t>
  </si>
  <si>
    <t>Receita de Variação Cambial</t>
  </si>
  <si>
    <t>Outras Receitas Eventuais</t>
  </si>
  <si>
    <t>Outras Receitas</t>
  </si>
  <si>
    <t>Registra o valor total da arrecadação de outras receitas correntes tais como multas, juros, restituições, indenizações, receita da dívida ativa, aplicações financeiras e outras.</t>
  </si>
  <si>
    <t>Registra o valor da receita arrecadada com penalidades pecuniárias decorrentes da inobservância de normas, e com rendimentos destinados a indenização pelo atraso no cumprimento da obrigação representando o resultado de aplicações impostas ao contribuinte faltoso, como sanção legal no campo tributário (impostos, taxas e contribuição de melhoria) não-tributário (contribuições sociais e econômicas, patrimoniais, industriais, de serviços e diversas) e de natureza administrativa, por infrações a regulamentos.</t>
  </si>
  <si>
    <t>Registra a receita arrecadada com penalidades pecuniárias decorrentes da inobservância de normas tributárias e com rendimentos destinados à indenização pelo atraso no cumprimento da obrigação tributária principal.</t>
  </si>
  <si>
    <t>Registra o total da receita arrecadada com multa decorrente de inobservância de norma tributária, e juros destinados à indenização pelo atraso no cumprimento da obrigação tributária imposta aos contribuintes, referentes ao Imposto de Importação.</t>
  </si>
  <si>
    <t>Registra a receita arrecadada com multa decorrente de inobservância de norma tributária, e juros destinados à indenização pelo atraso no cumprimento da obrigação tributária imposta aos contribuintes, referentes ao Imposto de Importação.</t>
  </si>
  <si>
    <t>Registra o valor decorrente de parcelamentos de Multas e Juros de Mora do Imposto sobre a Importação, no âmbito do Programa de Recuperação Fiscal - REFIS e do Programa Especial de Parcelamento de Débito – PAES, criados respectivamente por meio das leis nº 9.964/2000 e 10.684/2003.</t>
  </si>
  <si>
    <t xml:space="preserve">Registra a receita arrecadada com multa decorrente de inobservância de norma tributária, e juros destinados à indenização pelo atraso no cumprimento da obrigação tributária imposta aos contribuintes, referentes ao Imposto sobre a Renda e Proventos de Qualquer Natureza. </t>
  </si>
  <si>
    <t>Registra a receita arrecadada com multa decorrente de inobservância de norma tributária, e juros destinados à indenização pelo atraso no cumprimento da obrigação tributária, referentes ao Imposto sobre a Renda das Pessoas Físicas.</t>
  </si>
  <si>
    <t>Registra a receita arrecadada com multa decorrente de inobservância de norma tributária, e juros destinados à indenização pelo atraso no cumprimento da obrigação tributária imposta aos contribuintes, referentes ao Imposto sobre a Renda das Pessoas Jurídicas.</t>
  </si>
  <si>
    <t>Registra a receita arrecadada com multa decorrente de inobservância de norma tributária e juros destinados à indenização pelo atraso no cumprimento da obrigação tributária imposta aos contribuintes, referentes ao Imposto sobre a Renda Retido nas Fontes.</t>
  </si>
  <si>
    <t>Registra o valor decorrente de parcelamentos de Multas e Juros de Mora do Imposto sobre a Renda – Pessoas Jurídicas, no âmbito do Programa de Recuperação Fiscal - REFIS e do Programa Especial de Parcelamento de Débito – PAES, criados respectivamente por meio das leis nº 9.964/2000 e 10.684/2003.</t>
  </si>
  <si>
    <t>Registra o valor decorrente de parcelamentos de Multas e Juros de Mora do Imposto sobre a Renda – Retido na Fonte, no âmbito do Programa de Recuperação Fiscal - REFIS e do Programa Especial de Parcelamento de Débito – PAES, criados respectivamente por meio das leis nº 9.964/2000 e 10.684/2003.</t>
  </si>
  <si>
    <t>Registra o valor decorrente de parcelamentos de Multas e Juros de Mora do Imposto sobre a Renda – Pessoas Físicas, no âmbito do Programa de Recuperação Fiscal - REFIS e do Programa Especial de Parcelamento de Débito – PAES, criados respectivamente por meio das leis nº 9.964/2000 e 10.684/2003.</t>
  </si>
  <si>
    <t>Registra o valor das receitas de Multa e Juros de Mora Simples Federal e Nacional – IRPJ.</t>
  </si>
  <si>
    <t>Registra o total receita arrecadada com multa decorrente de inobservância de norma tributária e juros destinados à indenização pelo atraso no cumprimento da obrigação tributária imposta aos contribuintes, referentes ao Imposto sobre Produtos Industrializados.</t>
  </si>
  <si>
    <t>Registra a receita arrecadada com multa decorrente de inobservância de norma tributária, e juros destinados à indenização pelo atraso no cumprimento da obrigação tributária imposta aos contribuintes, referentes ao Imposto sobre Produtos Industrializados.</t>
  </si>
  <si>
    <t>Registra o valor decorrente de parcelamentos de Multas e Juros de Mora do Imposto sobre Produtos Industrializados, no âmbito do Programa de Recuperação Fiscal - REFIS e do Programa Especial de Parcelamento de Débito – PAES, criados respectivamente por meio das leis nº 9.964/2000 e 10.684/2003.</t>
  </si>
  <si>
    <t>Registra o valor das receitas de Multa e Juros de Mora Simples Federal e Nacional – IPI.</t>
  </si>
  <si>
    <t>Registra o total da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</si>
  <si>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Registra 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</si>
  <si>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Registra o valor decorrente de parcelamentos de Multa e Juros de Mora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</si>
  <si>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Registra o valor total da receita arrecadada com multa decorrente de inobservância de norma tributária, e juros destinados à indenização pelo atraso no cumprimento da obrigação tributária imposta aos contribuintes, referentes ao Imposto sobre a Exportação.</t>
  </si>
  <si>
    <t>Registra a receita arrecadada com multa decorrente de inobservância de norma tributária, e juros destinados à indenização pelo atraso no cumprimento da obrigação tributária imposta aos contribuintes, referentes ao Imposto sobre a Exportação.</t>
  </si>
  <si>
    <t>Registra o valor decorrente de parcelamentos de Multa e Juros de Mora do Imposto sobre a Exportação, no âmbito do Programa de Recuperação Fiscal - REFIS e do Programa Especial de Parcelamento de Débito – PAES, criados respectivamente por meio das leis nº 9.964/2000 e 10.684/2003.</t>
  </si>
  <si>
    <t>Registra a receita arrecadada com multa decorrente de inobservância de norma tributária e juros destinados à indenização pelo atraso no  cumprimento da obrigação tributária imposta aos contribuintes, referentes ao Imposto sobre a Propriedade Territorial Rural.</t>
  </si>
  <si>
    <t>Registra o valor da receita resultante da aplicação de penas pecuniárias impostas aos contribuintes referentes ao Imposto sobre a Propriedade Rural – Municípios Conveniados.</t>
  </si>
  <si>
    <t>Registra o valor da receita resultante da aplicação de penas pecuniárias impostas aos contribuintes referentes ao Imposto sobre a Propriedade Rural – Municípios Não-Conveniados.</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</si>
  <si>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</si>
  <si>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Registra o valor da arrecadação de receita de multas e juros de mora referentes à Taxa de Fiscalização dos Produtos Controlados pelo Ministério do Exército. Tem como destinação legal o Fundo do Exército. (Decreto-Lei n° 2.025, de 30/05/1983, e Decreto n° 91.575, de 27/08/1985.)</t>
  </si>
  <si>
    <t>Registra a receita decorrente da aplicação de penas pecuniárias impostas aos contribuintes referentes à taxa de fiscalização dos serviços de irrigação e operação da adução de água.</t>
  </si>
  <si>
    <t>Registra o valor total da arrecadação da receita de multas e juros de mora da Taxa de Fiscalização dos Mercados de Seguro, da Capitalização e da Previdência Aberta.</t>
  </si>
  <si>
    <t>Registra o valor total da arrecadação da receita de multas e juros de mora incidentes sobre a Taxa de Fiscalização e Vigilância Sanitária.</t>
  </si>
  <si>
    <t>Registra o valor total da arrecadação da receita de multas e juros de mora incidentes sobre a Taxa de Saúde Suplementar.</t>
  </si>
  <si>
    <t>Registra o valor da arrecadação de receita de multas e juros de mora da Taxa de Fiscalização dos Mercados de Títulos e Valores Mobiliários.</t>
  </si>
  <si>
    <t>Registra o valor da arrecadação de receita de multas e juros de mora do Imposto sobre a Propriedade Predial e Territorial Urbana – IPTU.</t>
  </si>
  <si>
    <t>Registra o valor da arrecadação de receita de multas e juros de mora do Imposto sobre a Transmissão Inter-Vivos de Bens Imóveis – ITBI.</t>
  </si>
  <si>
    <t>Registra o valor da arrecadação de receita de multas e juros de mora do Imposto sobre Serviços de Qualquer Natureza – ISS.</t>
  </si>
  <si>
    <t>Registra o valor da arrecadação de receita de multas e juros de mora do Imposto sobre a Propriedade de Veículos Automotores – IPVA.</t>
  </si>
  <si>
    <t>Registra o valor da arrecadação de receita de multas e juros de mora do Imposto sobre Circulação de Mercadorias e Prestação de Serviços – ICMS.</t>
  </si>
  <si>
    <t>Registra o valor da arrecadação de receitas com multas e juros de mora de contribuições de melhoria.</t>
  </si>
  <si>
    <t>Registra a receita arrecadada com multa decorrente de inobservância de norma tributária, e juros destinados à indenização pelo atraso no  cumprimento da obrigação tributária imposta aos contribuintes, referentes a tributos que não se enquadram nos itens anteriores.</t>
  </si>
  <si>
    <t>Registra a receita arrecadada com multa decorrente da inobservância de norma tributária e juros destinados à indenização pelo atraso no cumprimento da obrigação tributária imposta aos contribuintes, referentes a tributos que não se enquadram nos itens anteriores.</t>
  </si>
  <si>
    <t>Registra o valor decorrente de parcelamentos de Multa e Juros de Mora de Outros Tributos, no âmbito do Programa de Recuperação Fiscal - REFIS e do Programa Especial de Parcelamento de Débito – PAES, criados respectivamente por meio das leis nº 9.964/2000 e 10.684/2003.</t>
  </si>
  <si>
    <t>Registra a receita arrecadada com multa decorrente de inobservância de norma específica, e juros destinados à indenização pelo atraso no pagamento das contribuições sociais e econômicas, patrimoniais, industriais, de serviços e diversas.</t>
  </si>
  <si>
    <t>Registra o valor total da arrecadação de receita de multas e juros de mora referentes à Contribuição para o Financiamento da Seguridade Social.</t>
  </si>
  <si>
    <t>Registra o valor da arrecadação de receita de multas e juros de mora da Contribuição para o Financiamento da Seguridade Social.</t>
  </si>
  <si>
    <t>Registra o valor decorrente de parcelamentos de Multa e Juros de Mora da Contribuição para o Financiamento da Seguridade Social, no âmbito do Programa de Recuperação Fiscal - REFIS e do Programa Especial de Parcelamento de Débito – PAES, criados respectivamente por meio das leis nº 9.964/2000 e 10.684/2003.</t>
  </si>
  <si>
    <t>Registra o valor da arrecadação de receita de multas e juros de mora referentes à Contribuição do Salário-Educação.</t>
  </si>
  <si>
    <t>Registra a receita arrecadada com multa e juros de mora sobre a Contribuição Relativa às Atividades de Comercialização de Petróleo e seus Derivados, Gás Natural e Álcool Carburante.</t>
  </si>
  <si>
    <t>Registra o valor da receita de multas e juros de mora da Contribuição Relativa às Atividades de Comercialização de Petróleo e seus Derivados, Gás Natural e Álcool Carburante.</t>
  </si>
  <si>
    <t>Registra o valor decorrente de parcelamentos de Multa e Juros de Mora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</si>
  <si>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Registra o valor total da arrecadação de receita de multas e juros de mora referentes à Contribuição sobre Movimentação Financeira.</t>
  </si>
  <si>
    <t>Registra o valor da arrecadação de receita de multas e juros de mora  da Contribuição sobre Movimentação Financeira.</t>
  </si>
  <si>
    <t>Registra o valor decorrente de parcelamentos de Multa e Juros de Mora da Contribuição sobre Movimentação Financeira, no âmbito do Programa de Recuperação Fiscal - REFIS e do Programa Especial de Parcelamento de Débito – PAES, criados respectivamente por meio das leis nº 9.964/2000 e 10.684/2003.</t>
  </si>
  <si>
    <t>Registra o valor da arrecadação decorrente de aplicação de penalidades pecuniárias incidentes sobre as contribuições para o Regime Próprio de Previdência do Servidor - RPPS não recolhidas até a data estabelecida.</t>
  </si>
  <si>
    <t>Registra o valor da arrecadação decorrente de aplicação de penalidades pecuniárias incidentes sobre as contribuições patronais para o Regime Próprio de Previdência do Servidor - RPPS não recolhidas até a data estabelecida.</t>
  </si>
  <si>
    <t>Registra o valor da arrecadação decorrente de aplicação de penalidades pecuniárias incidentes sobre as contribuições do servidor para o Regime Próprio de Previdência do Servidor - RPPS não recolhidas até a data estabelecida.</t>
  </si>
  <si>
    <t>Registra o valor da receita com penalidades pecuniárias sobre as contribuições devidas à Seguridade Social e não recolhidas até a data de seu vencimento, com base no art. 58, inciso III, do Decreto nº 2.173, de 6 de março de 1997.</t>
  </si>
  <si>
    <t>Registra o valor total da receita com a aplicação de penas pecuniárias impostas aos contribuintes, referentes à Contribuição Previdenciária do Segurado Obrigatório – Contribuinte Individual</t>
  </si>
  <si>
    <t>Registra o valor da receita com a aplicação de penas pecuniárias impostas aos contribuintes, referentes à Contribuição Previdenciária do Segurado Assalariado.</t>
  </si>
  <si>
    <t>Registra o valor da receita com a aplicação de penas pecuniárias impostas aos contribuintes, referentes à Contribuição Previdenciária da Empresa sobre o Segurado Assalariado.</t>
  </si>
  <si>
    <t>Registra o valor da receita com a aplicação de penas pecuniárias impostas aos contribuintes, referentes à Contribuição Previdenciária da Empresa Optante pelo SIMPLES.</t>
  </si>
  <si>
    <t>Registra o valor da receita com a aplicação de penas pecuniárias impostas aos contribuintes, referentes à Contribuição Previdenciária sobre Espetáculo Desportivo.</t>
  </si>
  <si>
    <t>Registra o valor da receita com a aplicação de penas pecuniárias impostas aos contribuintes, referentes à Contribuição Previdenciária sobre Produção Rural.</t>
  </si>
  <si>
    <t>Registra o valor da receita com a aplicação de penas pecuniárias impostas aos contribuintes, referentes à Contribuição Previdenciária em Regime de Parcelamento de débitos.</t>
  </si>
  <si>
    <t>Registra o valor da receita com a aplicação de penas pecuniárias impostas aos contribuintes, referentes à Contribuição Previdenciária para o Seguro de Acidente do Trabalho.</t>
  </si>
  <si>
    <t>Registra o valor da receita com a aplicação de penas pecuniárias impostas aos contribuintes, referentes à Contribuição Previdenciária sobre Reclamatória Trabalhista.</t>
  </si>
  <si>
    <t>Registra o valor da receita com a aplicação de penas pecuniárias impostas aos contribuintes, referentes à Contribuição Previdenciária do Segurado em Regime de Parcelamento de Débitos dos Municípios.</t>
  </si>
  <si>
    <t>Registra o valor da receita com a aplicação de penas pecuniárias impostas aos contribuintes, referentes à Contribuição Previdenciária do Segurado Obrigatório – Empresário.</t>
  </si>
  <si>
    <t>Registra o valor total da receita com a aplicação de penas pecuniárias impostas aos contribuintes, referentes à Contribuição Previdenciária do Segurado Facultativo.</t>
  </si>
  <si>
    <t>Registra o valor da receita com a aplicação de penas pecuniárias impostas aos contribuintes, referentes à Contribuição Previdenciária do Segurado Especial.</t>
  </si>
  <si>
    <t>Registra o valor da receita com a aplicação de penas pecuniárias impostas aos contribuintes, referentes à Contribuição Previdenciária do Segurado Obrigatório – Empregado Doméstico.</t>
  </si>
  <si>
    <t>Registra o valor da receita com a aplicação de penas pecuniárias impostas aos contribuintes, referentes à Contribuição Previdenciária dos Órgãos do Poder Público.</t>
  </si>
  <si>
    <t>Registra o valor da receita com a aplicação de penas pecuniárias impostas aos contribuintes, referentes à Contribuição Previdenciária das Entidades Filantrópicas.</t>
  </si>
  <si>
    <t>Registra o valor da receita com a aplicação de penas pecuniárias impostas aos contribuintes, referentes à Contribuição Previdenciária – Retenção sobre Nota Fiscal – Sub-rogação.</t>
  </si>
  <si>
    <t>Registra o valor da receita com a aplicação de penas pecuniárias impostas aos contribuintes, referentes à Arrecadação do Fundo de Financiamento ao Estudante de Ensino Superior – FIES – Certificados Financeiros do Tesouro Nacional.</t>
  </si>
  <si>
    <t>Registra o valor da receita com a aplicação de penas pecuniárias impostas aos contribuintes, referentes à Arrecadação do Fundo Nacional de Saúde – FNS – Certificados Financeiros do Tesouro Nacional.</t>
  </si>
  <si>
    <t>Registra o valor da receita com a aplicação de penas pecuniárias impostas aos contribuintes referentes aos Certificados da Dívida Pública.</t>
  </si>
  <si>
    <t>Registra o valor da receita com a aplicação de penas pecuniárias impostas aos contribuintes, referentes à Contribuição Previdenciária na Forma de Depósito Judicial, Recursal e Custas Judiciais.</t>
  </si>
  <si>
    <t>Registra as multas e juros de mora relativos ao não recolhimento das contribuições relacionadas aos arts 7º e 8º da Medida Provisória nº 540, de 2011.</t>
  </si>
  <si>
    <t>Registra o valor da receita com a aplicação de penas pecuniárias impostas aos contribuintes, referentes a outras contribuições previdenciárias.</t>
  </si>
  <si>
    <t>Registra o valor total da receita decorrente de penalidades pecuniárias incidentes sobre as contribuições devidas para os Programas de Integração Social e de Formação do Patrimônio do Servidor Público – PIS/PASEP –,e não recolhidas até a data de seu vencimento.</t>
  </si>
  <si>
    <t>Registra o valor da receita decorrente de penalidades pecuniárias das contribuições devidas para os Programas de Integração Social e de Formação do Patrimônio do Servidor Público – PIS/PASEP –, não recolhidas até a data de seu vencimento.</t>
  </si>
  <si>
    <t>Registra o valor decorrente de parcelamentos de Multa e Juros de Mora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</si>
  <si>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Registra o valor total da arrecadação de receita de multas e juros de mora da Contribuição Social sobre o Lucro das Pessoas Jurídicas não recolhida até a data de seu vencimento.</t>
  </si>
  <si>
    <t>Registra o valor da arrecadação de receita de multas e juros de mora  da Contribuição Social sobre o Lucro das Pessoas Jurídicas não recolhida até a data de seu vencimento.</t>
  </si>
  <si>
    <t>Registra o valor decorrente de parcelamentos de Multas e Juros de Mora da Contribuição Social sobre o Lucro das Pessoas Jurídicas, no âmbito do Programa de Recuperação Fiscal - REFIS e do Programa Especial de Parcelamento de Débito – PAES, criados respectivamente por meio das leis nº 9.964/2000 e 10.684/2003.</t>
  </si>
  <si>
    <t>Registra o valor da arrecadação de receita de multas e juros de mora da Contribuição dos Concursos de Prognósticos não recolhida até a data de seu vencimento.</t>
  </si>
  <si>
    <t>Registra o valor da arrecadação de receita proveniente de penalidades pecuniárias incidentes sobre a CEF pelo não recolhimento, no prazo estabelecido, da Contribuição sobre a Receita da Loteria Federal.</t>
  </si>
  <si>
    <t>Registra o valor da arrecadação de receita proveniente de penalidades pecuniárias incidentes sobre a CEF pelo não recolhimento, no prazo estabelecido, da Contribuição sobre a Receita de Loterias Esportivas.</t>
  </si>
  <si>
    <t>Registra o valor da arrecadação de receita proveniente de penalidades pecuniárias incidentes sobre a CEF pelo não recolhimento, no prazo estabelecido, da Contribuição sobre a Receita de Concursos Especiais de Loterias Esportivas.</t>
  </si>
  <si>
    <t>Registra o valor da arrecadação de receita proveniente de penalidades pecuniárias incidentes sobre a CEF pelo não recolhimento, no prazo estabelecido, da Contribuição sobre a Receita de Loterias de Números.</t>
  </si>
  <si>
    <t>Registra o valor da arrecadação de receita proveniente de penalidades pecuniárias incidentes sobre a CEF pelo não recolhimento, no prazo estabelecido, da Contribuição sobre a Receita da Loteria Instantânea.</t>
  </si>
  <si>
    <t>Registra o valor da arrecadação de receita proveniente de penalidades pecuniárias incidentes sobre a CEF pelo não recolhimento, no prazo estabelecido, da Contribuição sobre a Receita de Prêmios Prescritos da Loteria Federal.</t>
  </si>
  <si>
    <t>Registra o valor da arrecadação de receita proveniente de penalidades pecuniárias incidentes sobre a CEF pelo não recolhimento, no prazo estabelecido, da Contribuição sobre a Receita de Outros Concursos de Prognósticos.</t>
  </si>
  <si>
    <t>Registra o valor das penabilidades pecuniárias pelo não-recolhimento, no prazo estabelecido, da Contribuição sobre a Receita das Concessionárias de Energia Elétrica.</t>
  </si>
  <si>
    <t>Registra o valor da receita decorrente de penalidades pecuniárias pelo não-recolhimento, no prazo estabelecido, da Cota-Parte da Contribuição Sindical.</t>
  </si>
  <si>
    <t>Registra o valor da receita decorrente de penalidades pecuniárias pelo não-recolhimento, no prazo estabelecido, da Contribuição sobre a receita de sorteios realizados por entidades filantrópicas.</t>
  </si>
  <si>
    <t>Registra o valor da receita com penalidades pecuniárias incidentes sobre as contribuições devidas à Cota-Parte do Adicional ao Frete da Marinha Mercante, não recolhidas até a data estabelecida.</t>
  </si>
  <si>
    <t>Registra o valor da arrecadação de receita de multas e juros de mora da Contribuição Relativa à Despedida de Empregado sem Justa Causa, não recolhidas até a data de seu vencimento.</t>
  </si>
  <si>
    <t>Registra o valor da arrecadação de receita de multas e juros de mora da Contribuição sobre a Remuneração Devida ao Trabalhador não recolhida até a data de seu vencimento.</t>
  </si>
  <si>
    <t xml:space="preserve">Registra a receita de juros de mora até o limite de 1%, vinculados ao Fundo Especial de Desenvolvimento e Aperfeiçoamento das Atividades de Fiscalização - FUNDAF, incidentes sobre créditos não pagos no vencimento, relativos à receita de Contribuições Sociais administradas pela Secretaria da Receita Federal, excetuando-se as Contribuições Previdenciárias arrecadadas pelo INSS. </t>
  </si>
  <si>
    <t>Registra a receita de juros de mora até o limite de 1%, vinculados ao Fundo Especial de Desenvolvimento e Aperfeiçoamento das Atividades de Fiscalização - FUNDAF, incidentes sobre créditos não pagos no vencimento, relativos à receita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</si>
  <si>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</si>
  <si>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relativos à receita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</si>
  <si>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</si>
  <si>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relativos à receita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</si>
  <si>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decorrente de Parcelamentos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</si>
  <si>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</si>
  <si>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decorrente de Parcelamentos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</si>
  <si>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Federal.</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</si>
  <si>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</si>
  <si>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Concursos Especiais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</si>
  <si>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de Números.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</si>
  <si>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Instantânea.</t>
  </si>
  <si>
    <t>Registra a receita de juros de mora até o limite de 1%, vinculados ao Fundo Especial de Desenvolvimento e Aperfeiçoamento das Atividades de Fiscalização - FUNDAF, incidentes sobre créditos não pagos no vencimento, relativos à receita de Prêmios Prescritos de Loterias Federais.</t>
  </si>
  <si>
    <t>Registra as receitas decorrentes do resultado da aplicação de penas pecuniárias impostas aos contribuintes referentes a contribuições não recolhidas até o vencimento.</t>
  </si>
  <si>
    <t xml:space="preserve">Registra a receita de juros destinada às indenizações pelo atraso no cumprimento da obrigação com contribuições e multas, de caráter punitivo ou moratório, decorrente da inobservância de normas reguladoras, não enquadradas nos itens anteriores.  </t>
  </si>
  <si>
    <t>Registra a receita de juros destinados à indenização pelo atraso no cumprimento da obrigação com contribuições, e multas de caráter punitivo ou moratório, decorrentes da inobservância de normas reguladoras, não enquadrados nos itens anteriores.</t>
  </si>
  <si>
    <t>Registra o valor decorrente de parcelamentos de Multas e Juros de Mora de Outras Contribuições, no âmbito do Programa de Recuperação Fiscal - REFIS e do Programa Especial de Parcelamento de Débito – PAES, criados respectivamente por meio das leis nº 9.964/2000 e 10.684/2003.</t>
  </si>
  <si>
    <t>Registra o valor total da arrecadação da receita de multas e juros de mora incidentes sobre a dívida ativa dos tributos.</t>
  </si>
  <si>
    <t xml:space="preserve">Registra o valor total da arrecadação de receita de multas e juros de mora incidentes sobre a dívida ativa do Imposto sobre a Importação. </t>
  </si>
  <si>
    <t>Registra o valor da arrecadação de receita de multas e juros de mora incidentes sobre a dívida ativa do Imposto sobre a Importação.</t>
  </si>
  <si>
    <t>Registra o valor decorrente de parcelamentos de Multas e Juros de Mora da Dívida Ativa do Imposto sobre a Importação, no âmbito do Programa de Recuperação Fiscal - REFIS e do Programa Especial de Parcelamento de Débito – PAES, criados respectivamente por meio das leis nº 9.964/2000 e 10.684/2003.</t>
  </si>
  <si>
    <t>Registra o valor da arrecadação de receita de multas e juros de mora incidentes sobre a dívida ativa do Imposto sobre a Renda e Proventos de Qualquer Natureza.</t>
  </si>
  <si>
    <t>Resultado de penas pecuniárias impostas aos contribuintes pelo não-cumprimento de obrigações para com a Fazenda Pública no transcurso do prazo exigível, incidente sobre a dívida ativa do Imposto sobre a Renda de Pessoas Jurídicas, na modalidade do Simples Nacional.</t>
  </si>
  <si>
    <t>Resultado de encargos financeiros impostos aos contribuintes pelo não pagamento de obrigações para com a Fazenda Pública no transcurso do prazo exigível, portanto, incidentes sobre a dívida ativa do Imposto sobre a Renda de Pessoas Jurídicas, na modalidade do Simples Nacional.</t>
  </si>
  <si>
    <t>Registra o valor total da arrecadação de receita de multas e juros de mora incidentes sobre a dívida ativa do Imposto sobre Produtos Industrializados.</t>
  </si>
  <si>
    <t>Registra o valor da arrecadação de receita de multas e juros de mora incidentes sobre a dívida ativa do Imposto sobre Produtos Industrializados.</t>
  </si>
  <si>
    <t>Registra o valor decorrente de parcelamentos de Multas e Juros de Mora da Dívida Ativa do Imposto sobre Produtos Industrializados, no âmbito do Programa de Recuperação Fiscal - REFIS e do Programa Especial de Parcelamento de Débito – PAES, criados respectivamente por meio das leis nº 9.964/2000 e 10.684/2003.</t>
  </si>
  <si>
    <t>Resultado de penas pecuniárias impostas aos contribuintes pelo não-cumprimento de obrigações para com a Fazenda Pública no transcurso do prazo exigível, incidente sobre a dívida ativa do Imposto sobre Produtos Industrializados, na modalidade do Simples Nacional.</t>
  </si>
  <si>
    <t>Resultado dos encargos financeiros impostos aos contribuintes pelo não pagamento de obrigações para com a Fazenda Pública no transcurso do prazo exigível, incidente sobre a dívida ativa do Imposto sobre Produtos Industrializados, na modalidade do Simples Nacional.</t>
  </si>
  <si>
    <t>Registra o valor total da arrecadação de receita de multas e juros de mora incidentes sobre a dívida ativa do Imposto sobre a Operações de Crédito, Câmbio e Seguro ou Relativas a Títulos ou Valores Mobiliários.</t>
  </si>
  <si>
    <t>Registra o valor da arrecadação de receita de multas e juros de mora incidentes sobre a dívida ativa do Imposto sobre a Operações de Crédito, Câmbio e Seguro ou Relativas a Títulos ou Valores Mobiliários.</t>
  </si>
  <si>
    <t>Registra o valor decorrente de parcelamentos de Multas e Juros de Mora da Dívida Ativa do Imposto sobre Operações de Crédito, Câmbio e Seguro ou Relativas a Títulos e Valores Mobiliários, no âmbito do Programa de Recuperação Fiscal - REFIS e do Programa Especial de Parcelamento de Débito – PAES, criados respectivamente por meio das leis nº 9.964/2000 e 10.684/2003.</t>
  </si>
  <si>
    <t>Registra o valor total da arrecadação de receitas de multas e juros de mora incidentes sobre a dívida ativa do Imposto sobre a Exportação.</t>
  </si>
  <si>
    <t>Registra o valor da arrecadação de receitas de multas e juros de mora incidentes sobre a dívida ativa do Imposto sobre a Exportação.</t>
  </si>
  <si>
    <t>Registra o valor decorrente de parcelamentos de Multas e Juros de Mora da Dívida Ativa do Imposto sobre a Exportação, no âmbito do Programa de Recuperação Fiscal - REFIS e do Programa Especial de Parcelamento de Débito – PAES, criados respectivamente por meio das leis nº 9.964/2000 e 10.684/2003.</t>
  </si>
  <si>
    <t>Registra o valor da arrecadação de receitas de multas e juros de mora incidentes sobre a dívida ativa do Imposto sobre a Propriedade Territorial Rural.</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</si>
  <si>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devido aos municípios que optarem pela fiscalização e cobrança desse imposto.</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</si>
  <si>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parcialmente devido aos municípios que não optarem pela fiscalização e cobrança desse imposto.</t>
  </si>
  <si>
    <t>Registra o valor da arrecadação de receitas de multas e juros de mora incidentes sobre a dívida ativa da Taxa de Fiscalização dos Produtos Controlados pelo Ministério do Exército. (Decreto-Lei n° 2.025/1983).</t>
  </si>
  <si>
    <t>Registra o valor da arrecadação de receitas de multas e juros de mora incidentes sobre a dívida ativa do Imposto sobre a Propriedade Predial e Territorial Urbana – IPTU.</t>
  </si>
  <si>
    <t>Registra o valor da arrecadação de receitas de multas e juros de mora incidentes sobre a dívida ativa do Imposto sobre a Transmissão Inter-Vivos de Bens Imóveis – ITBI.</t>
  </si>
  <si>
    <t>Registra o valor da arrecadação de receitas de multas e juros de mora incidentes sobre a dívida ativa do Imposto sobre Serviços de Qualquer Natureza – ISS.</t>
  </si>
  <si>
    <t>Registra o valor da arrecadação de receitas de multas e juros de mora incidentes sobre a dívida ativa do Imposto sobre Propriedade de Veículos Automotores – IPVA.</t>
  </si>
  <si>
    <t>Registra o valor da arrecadação de receitas de multas e juros de mora incidentes sobre a dívida ativa do Imposto sobre Circulação de Mercadorias e Prestação de Serviços – ICMS.</t>
  </si>
  <si>
    <t xml:space="preserve">Registra o valor da arrecadação de receitas de multas e juros de mora incidentes sobre a dívida ativa de custas judiciais. </t>
  </si>
  <si>
    <t>Registra o valor da arrecadação de receitas de multas e juros de mora incidentes sobre a dívida ativa do Imposto sobre Transmissão “Causa Mortis” e Doação de Bens e Direitos.</t>
  </si>
  <si>
    <t>Registra o valor da arrecadação de receitas de multas e juros de mora incidentes sobre a dívida ativa da Taxa de Fiscalização e Vigilância Sanitária.</t>
  </si>
  <si>
    <t>Registra o valor da arrecadação de receitas de multas e juros de mora incidentes sobre a dívida ativa das contribuições de melhoria.</t>
  </si>
  <si>
    <t>Registra o valor da arrecadação de receitas de multas e juros de mora incidentes sobre outros tributos não classificados nos itens anteriores.</t>
  </si>
  <si>
    <t>Registra o valor total da arrecadação da receita de multas e juros de mora incidentes sobre a dívida ativa das contribuições.</t>
  </si>
  <si>
    <t>Registra o valor total da arrecadação de receitas de multas e juros de mora incidentes sobre a dívida ativa da Contribuição para o Financiamento da Seguridade Social.</t>
  </si>
  <si>
    <t>Registra o valor da arrecadação de receitas de multas e juros de mora  da dívida ativa da Contribuição para o Financiamento da Seguridade Social.</t>
  </si>
  <si>
    <t>Registra o valor decorrente de parcelamentos de Multas e Juros de Mora da Dívida Ativa da Contribuição para o Financiamento da Seguridade Social, no âmbito do Programa de Recuperação Fiscal - REFIS e do Programa Especial de Parcelamento de Débito – PAES, criados respectivamente por meio das leis nº 9.964/2000 e 10.684/2003.</t>
  </si>
  <si>
    <t>Registra o valor da arrecadação de receitas de multas e juros de mora incidentes sobre a dívida ativa da Contribuição para o Salário-Educação.</t>
  </si>
  <si>
    <t>Registra o valor total da arrecadação de receitas de multas e juros de mora incidentes sobre a dívida ativa da Contribuição Sobre Movimentação ou Transmissão de Valores e de Créditos e Direitos de Natureza Financeira.</t>
  </si>
  <si>
    <t>Registra o valor da arrecadação de receitas de multas e juros de mora  da dívida ativa da contribuição sobre movimentação ou transmissão da Contribuição para o Financiamento da Seguridade Social de Valores e de Créditos e Direitos de Natureza Financeira.</t>
  </si>
  <si>
    <t>Registra o valor decorrente de parcelamentos de Multas e Juros de Mora da Dívida Ativa da Contribuição sobre Movimentação Financeira, no âmbito do Programa de Recuperação Fiscal - REFIS e do Programa Especial de Parcelamento de Débito – PAES, criados respectivamente por meio das leis nº 9.964/2000 e 10.684/2003.</t>
  </si>
  <si>
    <t>Registra o valor da arrecadação de receitas resultado de penas pecuniárias impostas aos contribuintes pelo não cumprimento de obrigações para com a Fazenda Pública no transcurso do prazo exigível, incidentes sobre a dívida ativa das Contribuições Previdenciárias para o Regime Geral de Previdência Social.</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</si>
  <si>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Contribuinte Individual.</t>
  </si>
  <si>
    <t>Registra o valor da receita resultante de penas pecuniárias impostas aos contribuintes pelo não cumprimento de obrigações para com a Fazenda Pública no transcurso do prazo exigível, incidentes sobre a dívida ativa da Contribuição Previdenciária do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</si>
  <si>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da Empresa sobre 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</si>
  <si>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da Empresa Optante pelo SIMPLES.</t>
  </si>
  <si>
    <t>Registra o valor da receita resultante de penas pecuniárias impostas aos contribuintes pelo não cumprimento de obrigações para com a Fazenda Pública no transcurso do prazo exigível, incidentes sobre a dívida ativa da Contribuição Previdenciária sobre Espetáculo Desportivo.</t>
  </si>
  <si>
    <t>Registra o valor da receita resultante de penas pecuniárias impostas aos contribuintes pelo não cumprimento de obrigações para com a Fazenda Pública no transcurso do prazo exigível, incidentes sobre a dívida ativa da Contribuição Previdenciária sobre Produção Rural.</t>
  </si>
  <si>
    <t>Registra o valor da receita resultante de penas pecuniárias impostas aos contribuintes pelo não cumprimento de obrigações para com a Fazenda Pública no transcurso do prazo exigível, incidentes sobre a dívida ativa da Contribuição Previdenciária em Regime de Parcelamento de Débitos.</t>
  </si>
  <si>
    <t>Registra o valor da receita resultante de penas pecuniárias impostas aos contribuintes pelo não cumprimento de obrigações para com a Fazenda Pública no transcurso do prazo exigível, incidentes sobre a dívida ativa da Contribuição Previdenciária para o Seguro de Acidente do Trabalho.</t>
  </si>
  <si>
    <t>Registra o valor da receita resultante de penas pecuniárias impostas aos contribuintes pelo não cumprimento de obrigações para com a Fazenda Pública no transcurso do prazo exigível, incidentes sobre a dívida ativa da Contribuição Previdenciária sobre Reclamatória Trabalhista.</t>
  </si>
  <si>
    <t>Registra o valor da receita resultante de penas pecuniárias impostas aos contribuintes pelo não cumprimento de obrigações para com a Fazenda Pública no transcurso do prazo exigível, incidentes sobre a dívida ativa da Contribuição Previdenciária do Segurado em Regime de Parcelamento de Débitos dos Municípios.</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</si>
  <si>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Empresário.</t>
  </si>
  <si>
    <t>Registra o valor da receita resultante de penas pecuniárias impostas aos contribuintes pelo não cumprimento de obrigações para com a Fazenda Pública no transcurso do prazo exigível, incidentes sobre a dívida ativa da Contribuição Previdenciária do Segurado Facultativo.</t>
  </si>
  <si>
    <t>Registra o valor da receita resultante de penas pecuniárias impostas aos contribuintes pelo não cumprimento de obrigações para com a Fazenda Pública no transcurso do prazo exigível, incidentes sobre a dívida ativa da Contribuição Previdenciária do Segurado Especial.</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</si>
  <si>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Empregado Doméstico.</t>
  </si>
  <si>
    <t>Registra o valor da receita resultante de penas pecuniárias impostas aos contribuintes pelo não cumprimento de obrigações para com a Fazenda Pública no transcurso do prazo exigível, incidentes sobre a dívida ativa da Contribuição Previdenciária dos Órgãos do Poder Público.</t>
  </si>
  <si>
    <t>Registra o valor da receita resultante de penas pecuniárias impostas aos contribuintes pelo não cumprimento de obrigações para com a Fazenda Pública no transcurso do prazo exigível, incidentes sobre a dívida ativa da Contribuição Previdenciária das Entidades Filantrópicas.</t>
  </si>
  <si>
    <t>Registra o valor da receita resultante de penas pecuniárias impostas aos contribuintes pelo não cumprimento de obrigações para com a Fazenda Pública no transcurso do prazo exigível, incidentes sobre a dívida ativa da Contribuição Previdenciária – Retenção sobre Nota Fiscal – Sub-rogação.</t>
  </si>
  <si>
    <t>Registra o valor da receita resultante de penas pecuniárias impostas aos contribuintes pelo não cumprimento de obrigações para com a Fazenda Pública no transcurso do prazo exigível, incidentes sobre a dívida ativa da Arrecadação do Fundo de Financiamento ao Estudante do Ensino Superior FIES – Certificados Financeiros do Tesouro Nacional.</t>
  </si>
  <si>
    <t>Registra o valor da receita resultante de penas pecuniárias impostas aos contribuintes pelo não cumprimento de obrigações para com a Fazenda Pública no transcurso do prazo exigível, incidentes sobre a dívida ativa da Arrecadação do Fundo Nacional de Saúde – FNS – Certificados Financeiros do Tesouro Nacional.</t>
  </si>
  <si>
    <t>Registra o valor da receita resultante de penas pecuniárias impostas aos contribuintes pelo não cumprimento de obrigações para com a Fazenda Pública no transcurso do prazo exigível, incidentes sobre a dívida ativa de Certificados da Dívida Pública.</t>
  </si>
  <si>
    <t>Registra o valor da receita resultante de penas pecuniárias impostas aos contribuintes pelo não cumprimento de obrigações para com a Fazenda Pública no transcurso do prazo exigível, incidentes sobre a dívida ativa da Contribuição Previdenciária na Forma de Depósito Judicial, Recursal e Custas Judiciais.</t>
  </si>
  <si>
    <t>Registra o valor da receita resultante de penas pecuniárias impostas aos contribuintes pelo não-cumprimento de obrigações para com a Fazenda Pública no transcurso do prazo exigível, incidente sobre a dívida ativa da Contribuição Previdenciária decorrente de parcelamentos.</t>
  </si>
  <si>
    <t>Registra a arrecadação decorrente de penas pecuniárias impostas aos contribuintes pelo não-cumprimento de obrigações para com a Fazenda Pública no transcurso do prazo exigível, incidente sobre a dívida ativa da contribuição previdenciária da empresa incidente sobre a receita bruta.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</si>
  <si>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Registra o valor da receita resultante de penas pecuniárias impostas aos contribuintes pelo não cumprimento de obrigações para com a Fazenda Pública no transcurso do prazo exigível, incidentes sobre a dívida ativa de outras contribuições previdenciárias.</t>
  </si>
  <si>
    <t>Registra o valor total da arrecadação de receita de multas e juros de mora da dívida ativa das contribuições para o PIS/PASEP.</t>
  </si>
  <si>
    <t>Registra o valor da arrecadação de receita de multas e juros de mora  da dívida ativa das contribuições para o PIS/PASEP.</t>
  </si>
  <si>
    <t>Registra o valor decorrente de parcelamentos de Multas e Juros de Mora da Dívida Ativa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</si>
  <si>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 xml:space="preserve">Registra o valor total da arrecadação de receitas de multas e juros de mora incidentes sobre a dívida ativa da Contribuição Social sobre o Lucro Líquido das Pessoas Jurídicas. </t>
  </si>
  <si>
    <t>Registra o valor da arrecadação de receitas de multas e juros de mora  da dívida ativa da Contribuição Social sobre o Lucro Líquido das Pessoas Jurídicas.</t>
  </si>
  <si>
    <t>Registra o valor decorrente de parcelamentos de Multas e Juros de Mora da Dívida Ativa da Contribuição Social sobre o Lucro das Pessoas Jurídicas, no âmbito do Programa de Recuperação Fiscal - REFIS e do Programa Especial de Parcelamento de Débito – PAES, criados respectivamente por meio das leis nº 9.964/2000 e 10.684/2003.</t>
  </si>
  <si>
    <t>Registra o valor da arrecadação de receitas de multas e juros de mora incidentes sobre a dívida ativa da Contribuição dos Concursos e Prognósticos.</t>
  </si>
  <si>
    <t>Registra o valor da receita advinda de crédito da Fazenda Pública, pelo não recolhimento no transcurso do prazo exigível, incidente sobre a dívida ativa da Contribuição sobre a Receita da Loteria Federal.</t>
  </si>
  <si>
    <t>Registra o valor da receita advinda de crédito da Fazenda Pública, pelo não recolhimento no transcurso do prazo exigível, incidente sobre a dívida ativa da Contribuição sobre a Receita de Loterias Esportivas.</t>
  </si>
  <si>
    <t>Registra o valor da receita advinda de crédito da Fazenda Pública, pelo não recolhimento no transcurso do prazo exigível, incidente sobre a dívida ativa da Contribuição sobre a Receita de Concursos Especiais de Loterias Esportivas.</t>
  </si>
  <si>
    <t>Registra o valor da receita advinda de crédito da Fazenda Pública, pelo não recolhimento no transcurso do prazo exigível, incidente sobre a dívida ativa da Contribuição sobre a Receita de Loterias de Números.</t>
  </si>
  <si>
    <t>Registra o valor da receita advinda de crédito da Fazenda Pública, pelo não recolhimento no transcurso do prazo exigível, incidente sobre a dívida ativa da Contribuição sobre a Receita da Loteria Instantânea.</t>
  </si>
  <si>
    <t>Registra o valor da receita advinda de crédito da Fazenda Pública, pelo não recolhimento no transcurso do prazo exigível, incidente sobre a dívida ativa da Contribuição sobre a Receita de Prêmios Prescritos de Loterias Federais.</t>
  </si>
  <si>
    <t>Registra o valor da arrecadação de receitas de multas e juros de mora incidentes sobre a dívida ativa da Contribuição Relativa à Despedida de Empregado sem Justa Causa.</t>
  </si>
  <si>
    <t>Registra o valor da arrecadação de receitas de multas e juros de mora incidentes sobre a dívida ativa da Contribuição sobre a Remuneração Devida ao Trabalhador.</t>
  </si>
  <si>
    <t>Registra o valor da arrecadação de receitas de multas e juros de mora incidentes sobre a dívida ativa da Cota-Parte do Adicional ao Frete para a Renovação da Marinha Mercante.</t>
  </si>
  <si>
    <t>Registra o valor da arrecadação de receitas de multas e juros de mora incidentes sobre a dívida ativa da Contribuição Relativa às Atividades de Comercialização de Petróleo e seus Derivados, Gás Natural e Álcool Carburante.</t>
  </si>
  <si>
    <t>Registra o valor da arrecadação de receita de multas e juros de mora incidentes sobre a dívida ativa da Contribuição Relativa às Atividades de Comercialização de Petróleo e seus Derivados, Gás Natural e Álcool Carburante.</t>
  </si>
  <si>
    <t>Registra o valor decorrente de parcelamentos de Multas e Juros de Mora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</si>
  <si>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 xml:space="preserve">Registra as receitas advindas de créditos da fazenda Pública, pelo não pagamento dos contribuintes no transcurso do prazo exigível, na forma de juros de mora, até o limite de 1%, incidentes sobre a dívida ativa das contribuições sociais administradas pela Secretaria da Receita Federal, vinculados ao Fundo Especial de Desenvolvimento e Aperfeiçoamento das Atividades de Fiscalização – FUNDAF, excetuando-se as contribuições previdenciárias arrecadadas pelo INSS. </t>
  </si>
  <si>
    <t>Registra as receitas advindas de créditos da fazenda Pública, pelo não pagamento dos contribuintes no transcurso do prazo exigível, na forma de juros de mora, até o limite de 1%, incidentes sobre a dívida ativa da Contribuição para o Financiamento da Seguridade Social,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</si>
  <si>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decorrentes de parcelamentos da Dívida Ativa da Contribuição para o Financiamento da Seguridade Social,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</si>
  <si>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Movimentação Financeira,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</si>
  <si>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decorrentes de Parcelamentos da Dívida Ativa da Contribuição sobre Movimentação Financeira,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</si>
  <si>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das contribuições para os Programas de Integração Social e de Formação do Patrimônio do Servidor Público,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</si>
  <si>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decorrentes de Parcelamentos da Dívida Ativa das Contribuições para os Programas de Integração Social e de Formação do Patrimônio do Servidor Público,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</si>
  <si>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Social sobre o Lucro das Pessoas Jurídicas,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</si>
  <si>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decorrentes de parcelamentos da Dívida Ativa da Contribuição Social sobre o Lucro das Pessoas Jurídicas,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</si>
  <si>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da Loteria Federal,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</si>
  <si>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de Loterias Esportivas,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</si>
  <si>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de Concursos Especiais de Loterias Esportivas,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</si>
  <si>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de Loterias de Números,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</si>
  <si>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da Loteria Instantânea,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</si>
  <si>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de Prêmios Prescritos da Loteria Federal, vinculados ao Fundo Especial de Desenvolvimento e Aperfeiçoamento das Atividades de Fiscalização – FUNDAF.</t>
  </si>
  <si>
    <t>Registra o valor total da arrecadação de receitas de multas e juros de mora incidentes sobre a dívida ativa de outras contribuições não classificadas nos itens anteriores.</t>
  </si>
  <si>
    <t>Registra o valor da arrecadação de receitas de multas e juros de mora incidentes sobre a dívida ativa de outras contribuições não classificadas nos itens anteriores.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</si>
  <si>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</si>
  <si>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Registra o valor total da arrecadação da receita de multas e juros de mora incidentes sobre a dívida ativa de outras receitas.</t>
  </si>
  <si>
    <t xml:space="preserve">Registra o valor da arrecadação de receita de multas e juros de mora de obrigações para com a Fazenda Pública, pelo não pagamento dos contribuintes no transcurso do prazo exigível, incidente sobre a Dívida de Infração à Legislação Trabalhista. </t>
  </si>
  <si>
    <t>Registra o valor da arrecadação da receita advinda de crédito da Fazenda Pública, pelo não pagamento dos contribuintes no transcurso do prazo exigível, incidente sobre a dívida ativa da Receita de Exploração de Recursos Minerais.</t>
  </si>
  <si>
    <t>Registra o valor da arrecadação da receita advinda de crédito da Fazenda Pública, pelo não pagamento dos contribuintes no transcurso do prazo exigível, incidente sobre a dívida ativa da Receita de Outorga de Direitos de Exploração e Pesquisa Mineral.</t>
  </si>
  <si>
    <t>Registra o valor da arrecadação de receita advinda pelo não-pagamento no transcurso de prazo exigível, incidente sobre a dívida ativa das multas previstas na legislação mineraria.</t>
  </si>
  <si>
    <t>Registra o valor da arrecadação de receita advinda pelo não-pagamento no transcurso de prazo exigível, incidente sobre a dívida ativa dos serviços de inspeção e fiscalização da atividade mineral.</t>
  </si>
  <si>
    <t>Registra as receitas advindas do não-pagamento no transcurso de prazo exigível, incidente sobre a dívida ativa da Multa de Poluição de Águas.</t>
  </si>
  <si>
    <t>Registra as receitas advindas do não-pagamento no transcurso de prazo exigível, incidente sobre a dívida ativa da Outorga de Direitos de Uso de Recursos Hídricos.</t>
  </si>
  <si>
    <t>Registra as receitas advindas do não-pagamento no transcurso de prazo exigível, incidente sobre a dívida ativa da Multa Prevista no Código Brasileiro de Aeronáutica.</t>
  </si>
  <si>
    <t>Registra as receitas advindas do não-pagamento no transcurso de prazo exigível, incidente sobre a dívida ativa dos Serviços de Inspeção e Fiscalização.</t>
  </si>
  <si>
    <t>Registra as receitas advindas do não-pagamento no transcurso de prazo exigível, incidente sobre a dívida ativa das Multas Previstas na Lei Geral das Telecomunicações.</t>
  </si>
  <si>
    <t>Registra as receitas advindas do não-pagamento no transcurso de prazo exigível, incidente sobre a dívida ativa da Contribuição para o Desenvolvimento da Indústria Cinematográfica Nacional.</t>
  </si>
  <si>
    <t>Registra as receitas advindas do não-pagamento no transcurso de prazo exigível, incidente sobre a dívida ativa decorrente da Não-Aplicação de Incentivos Fiscais em Projetos Culturais e Indústria Cinematográfica.</t>
  </si>
  <si>
    <t>Registra as receitas advindas do não-pagamento no transcurso de prazo exigível, incidente sobre a dívida ativa das Multas por Infrações à Legislação Cinematográfica.</t>
  </si>
  <si>
    <t>Registra as receitas advindas do não-pagamento no transcurso de prazo exigível, incidente sobre a dívida ativa da Utilização de Recursos Hídricos – Demais Empresas.</t>
  </si>
  <si>
    <t>Registra as receita advindas do não-pagamento no transcurso de prazo exigível, incidente sobre a dívida ativa das Multas Previstas em Lei por Infrações no Setor de Energia Elétrica.</t>
  </si>
  <si>
    <t>Registra as receitas advindas do não-pagamento no transcurso de prazo exigível, incidente sobre a dívida ativa da Taxa de Fiscalização de Serviços de Energia Elétrica.</t>
  </si>
  <si>
    <t>Registra as receitas advindas do não-pagamento no transcurso de prazo exigível, incidente sobre a dívida ativa da Multa das Multas Previstas na Legislação sobre Lubrificantes e Combustíveis.</t>
  </si>
  <si>
    <t>Registra as receitas advindas do não-pagamento no transcurso de prazo exigível, incidente sobre a dívida ativa das Compensações Financeiras entre o Regime Geral e os Regimes Próprios de Previdência dos Servidores.</t>
  </si>
  <si>
    <t>Registra os recursos decorrentes das multas e juros de mora da receita da dívida ativa da taxa de fiscalização e dos autos de infração no âmbito do regime de previdência complementar fechada.</t>
  </si>
  <si>
    <t>Registra os recursos decorrentes das multas e juros de mora da receita da dívida ativa da taxa de fiscalização no âmbito do regime de previdência complementar fechada.</t>
  </si>
  <si>
    <t>Registra os recursos decorrentes das multas e juros de mora da receita da dívida ativa do auto de infração, no âmbito do regime de previdência complementar fechada.</t>
  </si>
  <si>
    <t>Registra o valor da arrecadação de receita de multas e juros de mora da dívida ativa de outras receitas não classificadas nos itens anteriores.</t>
  </si>
  <si>
    <t>Registra o valor da arrecadação do principal da receita de multas e juros de mora da dívida ativa de outras receitas não classificadas nos itens anteriores.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</si>
  <si>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</si>
  <si>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Registra a arrecadação de multas de caráter punitivo ou moratório e de juros destinados à indenização pelo pagamento em atraso das demais receitas de serviços não classificadas nos itens anteriores.</t>
  </si>
  <si>
    <t>Registra o valor total da arrecadação com receitas provenientes de multas e juros de mora aplicados por atraso no pagamento de aluguéis devidos por uso do patrimônio imobiliário, decorrentes de cláusulas contratuais pactuadas.</t>
  </si>
  <si>
    <t>Registra o valor total da arrecadação de multas e juros de mora aplicados por atraso no pagamento de rendas devidas por uso do patrimônio imobiliário sob a forma de arrendamento, decorrentes de cláusulas contratuais pactuadas.</t>
  </si>
  <si>
    <t>Registra a receita decorrente de multas e juros de mora por atrasos nos recolhimentos das diferenças de laudêmios.</t>
  </si>
  <si>
    <t>Registra o valor das receitas de Multa e Juros de Mora da Alienação de Bens Imóveis de Domínio da União.</t>
  </si>
  <si>
    <t>Registra o valor das receitas de Multa de Mora da Alienação de Bens Imóveis de Domínio da União – Domínio Pleno, Útil e Direto.</t>
  </si>
  <si>
    <t>Registra o valor das receitas de Juros de Mora da Alienação de Bens Imóveis de Domínio da União – Domínio Pleno, Útil e Direto.</t>
  </si>
  <si>
    <t>Registra a receita decorrente de multas e juros de mora de alienação de outros bens imóveis, aplicados por atrasos nos recolhimentos de parcelas referentes à aquisição de domínio útil ou pleno de imóveis.</t>
  </si>
  <si>
    <t>Registra a receita decorrente de multas e juros de mora de parcelamentos, aplicados por atrasos no recolhimento de débitos para com a União de acordo com o artigo 61 da Lei nº 9.430, de 27 de dezembro de 1996, e o parágrafo quarto do art. 36 da Lei nº 9.069, de 29 de julho de 1995.</t>
  </si>
  <si>
    <t>Registra a receita decorrente de multas e juros de mora aplicados por atrasos no recolhimento de débitos de foro para com a União, de acordo com art. 61 da Lei nº 9.430, de 27 de dezembro de 1996, e o parágrafo 4 do art. 36 da Lei nº 9.069, de 29 de julho de 1995.</t>
  </si>
  <si>
    <t>Registra a receita decorrente de multas e juros mora aplicados por atrasos no recolhimento de débitos de taxa de ocupação para com a União, de acordo com o art. 61 da Lei 9.430, de 27 de dezembro de 1996, e o parágrafo 4º do art. 36 da Lei nº 9.069, de 29 de junho de 1995.</t>
  </si>
  <si>
    <t>Registra o valor total da receita proveniente do resultado da aplicação de penas pecuniárias incidentes sobre os valores de dividendos devidos.</t>
  </si>
  <si>
    <t>Registra o valor total da receita proveniente do resultado da aplicação de penas pecuniárias incidentes sobre os valores de participações devidas.</t>
  </si>
  <si>
    <t>Registra o valor da arrecadação de receita de multas incidentes sobre Receita dos Direitos “Antidumping” e dos Direitos Compensatórios em atraso.</t>
  </si>
  <si>
    <t>Registra o valor total da receita proveniente do resultado da aplicação de penas pecuniárias incidentes sobre as receitas decorrentes de bens apreendidos.</t>
  </si>
  <si>
    <t>Registra o valor da receita proveniente de pagamentos de juros destinados à indenização pelo atraso no cumprimento de obrigações e multas de caráter punitivo ou moratório, decorrentes da inobservância de obrigações contratuais dos financiamentos concedidos de estocagem de álcool etílico combustível.</t>
  </si>
  <si>
    <t>Registra o valor da arrecadação de receitas de multas e juros de mora aplicados por atrasos no pagamento da Receita de Exploração de Recursos Minerais.</t>
  </si>
  <si>
    <t>Registra o valor da arrecadação da receita de multas e juros de mora aplicados por atrasos no pagamento da Receita de Outorga de Direitos de Exploração e Pesquisa Mineral.</t>
  </si>
  <si>
    <t>Registra o valor da arrecadação de receita de multas e juros de mora em decorrência da falta de pagamento, no prazo previsto, da outorga de direito de exploração de florestas públicas para a produção sustentável.</t>
  </si>
  <si>
    <t>Registra o valor das receitas de Multa e Juros de Mora pela Cessão de Uso de Bens da União.</t>
  </si>
  <si>
    <t>Registra o valor das receitas de Multa de Mora pela Cessão de Uso de Bens da União.</t>
  </si>
  <si>
    <t>Registra o valor das receitas de Juros de Mora pela Cessão de Uso de Bens da União.</t>
  </si>
  <si>
    <t>Registra o valor das receitas de Multa e Juros de Mora de Indenização por Posse ou Ocupação Ilícita de Bens da União.</t>
  </si>
  <si>
    <t>Registra o valor das receitas de Multa de Mora de Indenização por Posse ou Ocupação Ilícita de Bens da União.</t>
  </si>
  <si>
    <t>Registra o valor das receitas de Juros de Mora de Indenização por Posse ou Ocupação Ilícita de Bens da União.</t>
  </si>
  <si>
    <t>Registra os recursos decorrentes das multas e juros de mora do auto de infração, no âmbito do regime de previdência complementar fechada.</t>
  </si>
  <si>
    <t>Registra os recursos decorrentes das multas de mora e de ofício e dos juros de mora da receita de medidas de suspensão de concessões dos direitos de propriedade intelectual.</t>
  </si>
  <si>
    <t>Registra os recursos decorrentes das multas e juros de mora da receita relativa ao ressarcimento de ações regressivas oriundas da relação de trabalho.</t>
  </si>
  <si>
    <t>Registra a receita de multa e juros de mora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</si>
  <si>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Registra a arrecadação de recursos de outras multas que não as listadas anteriormente, desde que sejam referentes a infrações a regulamentos específicos.</t>
  </si>
  <si>
    <t>Registra o valor da arrecadação de receita de multas de violação da política de metrologia, da normalização industrial e da certificação de qualidade de produtos industriais.</t>
  </si>
  <si>
    <t>Registra o valor da arrecadação de receita de multas devidas por embarcações brasileiras, quando em águas sob jurisdição nacional ou em alto-mar; por embarcações estrangeiras em águas territoriais, navios de guerra estrangeiros e outras embarcações que violem as normas expressas no Regulamento para o Tráfego Marítimo.</t>
  </si>
  <si>
    <t>Registra a receita com penalidades pecuniárias destinadas a punir o infrator pela poluição de águas, como lançamento de óleos, produtos oleosos e substâncias químicas tóxicas nas águas públicas.</t>
  </si>
  <si>
    <t>Registra a receita com multas e juros de mora aplicados para punir quem infringe o Acordo Internacional de Pesca. As multas são devidas por embarcações estrangeiras, sem contrato de arrendamento com pessoa jurídica nacional, ou autorização legal prevista em acordos internacionais para pesca em águas territoriais.</t>
  </si>
  <si>
    <t>Registra a receita de multas e juros de mora aplicados para punir o infrator pela apreensão de embarcação de pesca. As multas são devidas quando da apreensão de embarcações que, por ação ou omissão, violam as normas expressas no código de pesca.</t>
  </si>
  <si>
    <t>Registra o valor total da arrecadação com multas e juros de mora aplicados com o fim de punir quem infringe o código eleitoral e leis conexas. Compreende a multa devida pelos eleitores que não compareceram e não justificarem sua ausência perante o juiz eleitoral até 30 dias após a realização da eleição.</t>
  </si>
  <si>
    <t>Registra o valor da arrecadação de receita de multas devidas por estrangeiros, residentes ou não no País, que violem o Regulamento do Estrangeiro.</t>
  </si>
  <si>
    <t>Registra o valor da receita com multas devidas pelo cidadão brasileiro do sexo masculino que não se alistar até os 19 anos para prestar serviço militar.</t>
  </si>
  <si>
    <t>Registra o valor da arrecadação de receita de multas cometidas por concessionários de serviços de telecomunicações e de radiodifusão, seja no regime público ou privado.</t>
  </si>
  <si>
    <t>Registra o valor total da arrecadação com multas e juros de mora aplicados com o fim de punir a quem transgride o disposto na legislação sanitária. As multas são devidas quando da infração, fraude, falsificação e adulteração das matérias-primas e produtos farmacêuticos, bem como quaisquer produtos ou insumos que interessem à saúde pública.</t>
  </si>
  <si>
    <t>Registra o valor total da arrecadação com multas e juros de mora aplicados com o fim de punir a quem infringe leis ou regulamentos que disciplinam as atividades de agentes auxiliares do comércio, de armazéns gerais e outros sujeitos ao controle e fiscalização dos órgãos de registro do comércio.</t>
  </si>
  <si>
    <t>Registra o valor da receita com multas impostas pela Agência Nacional do Petróleo – ANP –, por infrações relativas à regulamentação do mercado de lubrificantes e combustíveis.</t>
  </si>
  <si>
    <t>Registra o valor da arrecadação de receita de multas referentes à Legislação Trabalhista, tais como: extravio ou inutilização de carteira de trabalho, falta de registro de empregado, prorrogação de jornada de trabalho sem acordo, pagamento de salário atrasado, infrações às normas de segurança e medicina do trabalho etc.</t>
  </si>
  <si>
    <t>Registra o valor da arrecadação de multas aplicadas com a finalidade de punir a quem transgride a legislação de trânsito.</t>
  </si>
  <si>
    <t>Registra o valor da arrecadação de receita de multas referentes à legislação do seguro desemprego e abono salarial.</t>
  </si>
  <si>
    <t>Registra o valor da arrecadação de receita de multas decorrentes da intervenção da União no domínio econômico, para assegurar a livre distribuição de mercadorias e serviços essenciais ao consumo e uso do povo, bem como para assegurar o suprimento dos bens necessários às atividades agropecuárias, da pesca, e industriais do País.</t>
  </si>
  <si>
    <t>Receita oriunda das ações decorrentes da fiscalização de todas as atividades pertinentes à agricultura orgânica, que envolve segmentos de várias cadeias produtivas, incluindo produção, processamento, distribuição, armazenamento, transporte e comercialização.</t>
  </si>
  <si>
    <t>Registra o valor da arrecadação de receita decorrente da imposição de penalidade pelo descumprimento de medidas educativas aplicadas sobre o infrator que, injustificadamente, se recuse a cumpri-las.</t>
  </si>
  <si>
    <t>Registra o valor da arrecadação de receita de multas referentes às infrações previstas em legislações sobre defesa de direitos difusos.</t>
  </si>
  <si>
    <t>Registra o valor das receitas advindas do pagamento de multas referentes às infrações previstas em legislações sobre defesa de direitos difusos trabalhistas, aplicadas pelo Ministério do Trabalho e Emprego, Ministério Público do Trabalho e ações judiciais da Justiça do Trabalho.</t>
  </si>
  <si>
    <t>Registra o valor das receitas advindas de pagamento de multas referentes às infrações previstas em legislações sobre defesa de direitos difusos que não sejam de caráter trabalhista.</t>
  </si>
  <si>
    <t>Registra o valor total da arrecadação de multas cobradas por infrações das legislações de operação do transporte rodoviário de passageiros e cargas, bem como dos contratos de concessão de serviços de transporte rodoviário.</t>
  </si>
  <si>
    <t>Registra o valor total da receita proveniente do recolhimento de multas por infrações a disposições previstas no regulamento de transporte ferroviário e contratos de concessões de serviços de transporte ferroviário de passageiros e cargas.</t>
  </si>
  <si>
    <t>Registra o valor da receita com multas cobradas por infrações previstas no Código Brasileiro de Aeronáutica.</t>
  </si>
  <si>
    <t>Registra o valor total da receita proveniente de multas e juros de mora cobrados sobre a tarifa de pedágio.</t>
  </si>
  <si>
    <t>Registra o valor da arrecadação da receita de multas que são aplicadas no âmbito de processo judicial.</t>
  </si>
  <si>
    <t>Registra o valor da arrecadação da receita de multas decorrentes de sentenças penais condenatórias.</t>
  </si>
  <si>
    <t>Registra o valor da arrecadação da receita de multas decorrentes de sentenças judiciais.</t>
  </si>
  <si>
    <t>Registra o valor da arrecadação de receita de fiança quebrada ou perdida, em conformidade com o disposto na lei processual penal.</t>
  </si>
  <si>
    <t>Registra o valor da arrecadação de receita de multas em valores atualizados, nos casos previstos nos regulamentos ou nos contratos, ou pela reincidência em fato que tenha gerado advertência escrita, nas atividades realizadas no setor de energia elétrica.</t>
  </si>
  <si>
    <t>Registra as receitas provenientes de sanções penais e administrativas derivadas de condutas e atividades lesivas ao meio ambiente aplicadas pelo Poder Judiciário ou por órgãos fiscalizadores.</t>
  </si>
  <si>
    <t>Registra as receitas provenientes de sanções administrativas derivadas de condutas e atividades lesivas ao meio ambiente aplicadas por órgãos fiscalizadores.</t>
  </si>
  <si>
    <t>Registra as receitas provenientes de sanções penais derivadas de condutas e atividades lesivas ao meio ambiente determinadas pelo Poder Judiciário.</t>
  </si>
  <si>
    <t>Registra o valor da arrecadação de receita de multas aplicadas por infrações praticadas por empresas particulares que explorem serviços de vigilância e de transporte de valores.</t>
  </si>
  <si>
    <t xml:space="preserve">Registra o valor total da receita decorrente de multa aplicada em função do descumprimento dos provimentos mandamentais ou criação de embaraços à efetivação de provimentos judiciais de natureza antecipatória ou final.                                    </t>
  </si>
  <si>
    <t>Registra o valor da receita decorrente de pagamento de juros destinados à indenização pelo atraso no cumprimento de obrigações e multas de caráter punitivo ou moratório decorrentes da inobservância de obrigações contratuais, de caráter financeiro.</t>
  </si>
  <si>
    <t>Registra o valor da receita com recursos provenientes de multas aplicadas pelo descumprimento da obrigatoriedade de que trata a legislação cinematográfica. Os recursos destinam-se à Agência nacional de Cinema – ANCINE.</t>
  </si>
  <si>
    <t>Registra o valor dos recursos provenientes de multas aplicadas pelo Tribunal de Contas da União, Tribunais de Contas dos Estados, Tribunal de Contas do Distrito Federal e Tribunais de Contas dos Municípios, pelo não cumprimento a decisão daqueles Tribunais.</t>
  </si>
  <si>
    <t>Registra o valor da arrecadação de receita de multas aplicadas pelo descumprimento da obrigatoriedade de que trata a legislação sobre regime de previdência privada complementar.</t>
  </si>
  <si>
    <t>Registra o valor da arrecadação da receita de multas exercidas pelo poder de polícia previstas na legislação mineraria.</t>
  </si>
  <si>
    <t>Registra as receitas provenientes da cobrança de multas pelos serviços de migração prestados pelo Departamento de Polícia Federal, discriminadas no inciso I do art. 3º da Lei Complementar nº 89, de 18 de fevereiro de 1997.</t>
  </si>
  <si>
    <t>Registra o valor da arrecadação de receita de multas aplicadas por infrações praticadas em inobservância à legislação aplicada aos procedimentos de licitação.</t>
  </si>
  <si>
    <t>Registra os recursos decorrentes das multas pela exploração do patrimônio genético em áreas de domínio público.</t>
  </si>
  <si>
    <t>Registra os recursos decorrentes das multas e indenizações pela exploração do patrimônio genético em áreas de domínio da União.</t>
  </si>
  <si>
    <t>Registra os recursos decorrentes da multas e indenizações pela exploração do patrimônio genético em áreas de domínio da União.</t>
  </si>
  <si>
    <t>Registra o valor total da arrecadação da receita com indenizações e restituições.</t>
  </si>
  <si>
    <t>Registra o valor total das receitas recebidas por meio de indenizações pela exploração de recursos minerais, de petróleo, xisto betuminoso e gás; pela produção de energia elétrica; por danos ao patrimônio público; entre outros.</t>
  </si>
  <si>
    <t>Registra o valor das receitas de Indenização por Posse ou Ocupação Ilícita de Bens da União.</t>
  </si>
  <si>
    <t>Registra a arrecadação de recursos recebidos como ressarcimento por danos causados ao patrimônio público, não classificado nos itens anteriores.</t>
  </si>
  <si>
    <t>Registra o valor total das receitas recebidas por meio de restituições, por devoluções em decorrência de pagamentos indevidos e reembolso ou retorno de pagamentos efetuados a título de antecipação.</t>
  </si>
  <si>
    <t>Registra o valor da receita arrecadada decorrente de restituição de contribuições previdenciárias complementares pagas pelo BACEN àFundação Banco Central de Previdência Privada – CENTRUS, relativas aos servidores que se aposentem a partir de janeiro de 1991.(Lei nº 9.650, de 27/05/98, Lei nº 8.112 de 11/12/90).</t>
  </si>
  <si>
    <t>Registra o valor da arrecadação de receita de restituições de condenações judiciais por danos causados aos investidores que perderam o direito à reclamação no prazo de dois anos, ocorrendo a prescrição.</t>
  </si>
  <si>
    <t>Registra o valor da arrecadação de receita de restituições por operadoras de seguros privados de assistência à saúde.</t>
  </si>
  <si>
    <t>Registra o valor de arrecadação da receita de ressarcimento do custo de disponibilização de medicamentos.</t>
  </si>
  <si>
    <t>Registra o valor de receitas decorrentes de recuperação de despesas efetuadas em exercícios anteriores e canceladas no exercício corrente, provenientes do recebimento de disponibilidades referentes a devoluções de recursos pagos a maior.</t>
  </si>
  <si>
    <t>Registra o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</si>
  <si>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Registra a receita decorrente de Compensações Financeiras entre o Regime Geral e os Regimes Próprios de Previdência dos Servidores – Principal</t>
  </si>
  <si>
    <t>Registra a receita decorrente de Compensações Financeiras entre o Regime Geral e os Regimes Próprios de Previdência dos Servidores – Parcelamentos</t>
  </si>
  <si>
    <t>Registra 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</si>
  <si>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Registra a receita decorrente do pagamento de prestação inadimplida que já foi objeto de indenização nas operações amparadas pelo Seguro de Crédito à Exportação, com recursos orçamentários e financeiros alocados no Fundo.</t>
  </si>
  <si>
    <t>Registra o valor da arrecadação de receita proveniente do ressarcimento das despesas havidas com a deportação do estrangeiro do território nacional havidas pelo Tesouro Nacional.</t>
  </si>
  <si>
    <t>Registra os recursos decorrentes do ressarcimento de ações regressivas oriundas da relação de trabalho.</t>
  </si>
  <si>
    <t>Registra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</si>
  <si>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Registra a receita proveniente de recursos que se originaram da devolução de recursos das seguintes restituições: a) devolução de restituição indevida – Imposto de Renda Pessoa Jurídica – IRPJ código darf 1054; b) devolução de recursos aplicados com redução em investimento – Imposto de Renda Pessoa Jurídica - IRPJ código darf 0733; c) devolução de restituição não paga – Imposto de Renda Pessoa Jurídica – IRPJ código darf 4634; e d) devolução de restituição indevida – Parecer da Procuradoria Geral da Fazenda Nacional – PGFN/CAT no 141 - Imposto de Renda Pessoa Jurídica – IRPJ código DARF 0312.</t>
  </si>
  <si>
    <t>Registra o retorno de recursos decorrentes da participação em empresas e aquisição de direitos sobre os resultados de projetos.</t>
  </si>
  <si>
    <t xml:space="preserve">Registra o valor total da arrecadação da receita da dívida ativa constituída de créditos da Fazenda Pública, de natureza tributária e não tributária e de contribuições, exigíveis pelo transcurso do prazo para pagamento, inscritos na forma de legislação própria, depois de apurada sua liquidez e certeza </t>
  </si>
  <si>
    <t>Registra o valor total da arrecadação que constitui créditos de natureza tributária, exigível pelo transcurso do prazo para pagamento, inscritos na forma de legislação própria, depois de apurada sua liquidez e certeza.</t>
  </si>
  <si>
    <t>Registra o valor total das receitas da dívida ativa do Imposto sobre a Renda e Proventos de Qualquer Natureza de Pessoa Física, Jurídica, ou Retido nas Fontes, advindos de crédito da Fazenda Pública, pelo não pagamento dos contribuintes, no transcurso do prazo exigível.</t>
  </si>
  <si>
    <t>Registra o valor total da arrecadação da receita advinda de crédito da Fazenda Pública, pelo não pagamento dos contribuintes, no transcurso do prazo exigível, do Imposto sobre a Renda e Proventos das Pessoas Físicas.</t>
  </si>
  <si>
    <t>Registra o valor arrecadado da receita advinda de crédito da Fazenda Pública, pelo não pagamento dos contribuintes, no transcurso do prazo exigível, do Imposto sobre a Renda e Proventos das Pessoas Jurídicas.</t>
  </si>
  <si>
    <t>Registra o valor da arrecadação da receita advinda de crédito da Fazenda Pública, pelo não pagamento dos contribuintes, no transcurso do prazo exigível, do Imposto sobre a Renda Retido nas Fontes.</t>
  </si>
  <si>
    <t>Registra o valor decorrente de parcelamentos da Dívida Ativa do Imposto sobre a Renda das Pessoas Jurídicas, no âmbito do Programa de Recuperação Fiscal - REFIS e do Programa Especial de Parcelamento de Débito – PAES, criados respectivamente por meio das leis nº 9.964/2000 e 10.684/2003.</t>
  </si>
  <si>
    <t>Registra o valor decorrente de parcelamentos da Dívida Ativa do Imposto sobre a Renda Retido na Fonte, no âmbito do Programa de Recuperação Fiscal - REFIS e do Programa Especial de Parcelamento de Débito – PAES, criados, respectivamente, por meio das leis nº 9.964/2000 e 10.684/2003.</t>
  </si>
  <si>
    <t>Registra o valor decorrente de parcelamentos da Dívida Ativa do Imposto sobre a Renda das Pessoas Físicas, no âmbito do Programa de Recuperação Fiscal - REFIS e do Programa Especial de Parcelamento de Débito – PAES, criados, respectivamente, por meio das leis nº 9.964/2000 e 10.684/2003.</t>
  </si>
  <si>
    <t>A receita de crédito do Imposto sobre a Renda e Proventos das Pessoas Jurídicas – Simples Nacional, constante no Livro de Inscrição da Dívida Ativa, assim inscrito em razão do não pagamento da obrigação no transcurso do prazo exigível.</t>
  </si>
  <si>
    <t>Registra o valor total das receitas advindas de crédito da Fazenda Pública, pelo não pagamento dos contribuintes, no transcurso do prazo exigível, do Imposto sobre Produtos Industrializados.</t>
  </si>
  <si>
    <t>Registra o valor das receitas advindas de crédito da Fazenda Pública, pelo não pagamento dos contribuintes, no transcurso do prazo exigível, do Imposto sobre Produtos Industrializados.</t>
  </si>
  <si>
    <t>Registra o valor decorrente de parcelamentos da Dívida Ativa do Imposto sobre Produtos Industrializados, no âmbito do Programa de Recuperação Fiscal - REFIS e do Programa Especial de Parcelamento de Débito – PAES, criados, respectivamente, por meio das leis nº 9.964/2000 e 10.684/2003.</t>
  </si>
  <si>
    <t>A receita de crédito do Imposto sobre Produtos Industrializados – Simples Nacional, constante no Livro de Inscrição da Dívida Ativa, assim inscrito em razão do não pagamento da obrigação no transcurso do prazo exigível.</t>
  </si>
  <si>
    <t>Registra o valor total das receitas advindas de créditos da fazenda pública, pelo não pagamento dos contribuintes, no transcurso do prazo exigível, do Imposto sobre Operações de Crédito, Câmbio e Seguro, ou Relativas a Títulos ou Valores Mobiliários.</t>
  </si>
  <si>
    <t>Registra o valor das receitas advindas de créditos da fazenda pública, pelo não pagamento dos contribuintes, no transcurso do prazo exigível, do Imposto sobre Operações de Crédito, Câmbio e Seguro, ou Relativas a Títulos ou Valores Mobiliários.</t>
  </si>
  <si>
    <t>Registra o valor decorrente de parcelamentos da Dívida Ativa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</si>
  <si>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Registra o valor total das receitas advindas de créditos da Fazenda Pública, pelo não pagamento dos contribuintes, no transcurso do prazo exigível do Imposto Territorial Rural.</t>
  </si>
  <si>
    <t>Registra a receita de crédito do Imposto sobre a Propriedade Territorial Rural constante no Livro de Inscrição da Dívida Ativa, assim inscrito em razão do não-pagamento da obrigação no transcurso do prazo exigível, devido aos municípios que optarem pela fiscalização e cobrança desse imposto.</t>
  </si>
  <si>
    <t>Registra a receita de crédito do Imposto sobre a Propriedade Territorial Rural constante no Livro de Inscrição da Dívida Ativa, assim inscrito em razão do não-pagamento da obrigação no transcurso do prazo exigível, parcialmente devido aos municípios que não optarem pela fiscalização e cobrança desse imposto.</t>
  </si>
  <si>
    <t>Registra o valor total das receitas advindas de créditos da Fazenda Pública, pelo não pagamento dos contribuintes, no transcurso do prazo exigível, do Imposto sobre a Importação.</t>
  </si>
  <si>
    <t>Registra o valor das receitas advindas de créditos da Fazenda Pública, pelo não pagamento dos contribuintes, no transcurso do prazo exigível, do Imposto sobre a Importação.</t>
  </si>
  <si>
    <t>Registra o valor decorrente de parcelamentos da Dívida Ativa do Imposto sobre a Importação, no âmbito do Programa de Recuperação Fiscal - REFIS e do Programa Especial de Parcelamento de Débito – PAES, criados, respectivamente, por meio das leis nº 9.964/2000 e 10.684/2003.</t>
  </si>
  <si>
    <t>Registra o valor total das receitas advindas de créditos da Fazenda Pública, pelo não pagamento dos contribuintes, no transcurso do prazo exigível, do Imposto sobre a Exportação.</t>
  </si>
  <si>
    <t>Registra o valor das receitas advindas de créditos da Fazenda Pública, pelo não pagamento dos contribuintes, no transcurso do prazo exigível, do Imposto sobre a Exportação.</t>
  </si>
  <si>
    <t>Registra o valor decorrente de parcelamentos da Dívida Ativa do Imposto sobre a Exportação, no âmbito do Programa de Recuperação Fiscal - REFIS e do Programa Especial de Parcelamento de Débito – PAES, criados, respectivamente, por meio das leis nº 9.964/2000 e 10.684/2003.</t>
  </si>
  <si>
    <t>Registra o valor da arrecadação de receita da dívida ativa, pelo não pagamento de custas judiciais no transcurso do prazo exigível.</t>
  </si>
  <si>
    <t>Registra a receita decorrente do pagamento da Dívida Ativa da Taxa de Fiscalização TAFIC.</t>
  </si>
  <si>
    <t>Registra o valor da arrecadação de receita da dívida ativa, pelo não pagamento do Imposto sobre a Propriedade Predial e Territorial Urbana – IPTU – no transcurso do prazo exigível.</t>
  </si>
  <si>
    <t>Registra o valor da arrecadação de receita da dívida ativa, pelo não pagamento do Imposto sobre a Transmissão Inter-Vivos de Bens Imóveis – ITBI – no transcurso do prazo exigível.</t>
  </si>
  <si>
    <t>Registra o valor da arrecadação de receita da dívida ativa, pelo não pagamento do Imposto sobre Serviços de Qualquer Natureza – ISS – no transcurso do prazo exigível.</t>
  </si>
  <si>
    <t>Registra o valor da arrecadação de receita de dívida ativa, pelo não pagamento do Imposto sobre Propriedade de Veículos Automotores – IPVA – no transcurso do prazo exigível.</t>
  </si>
  <si>
    <t>Registra o valor da arrecadação de receita da dívida ativa, pelo não pagamento do Imposto sobre Circulação de Mercadorias e Prestação de Serviços – ICMS – no transcurso do prazo exigível.</t>
  </si>
  <si>
    <t>Registra o valor da arrecadação de receitas da dívida ativa, pelo não pagamento do Imposto sobre Transmissão “Causa Mortis” e Doação de Bens e Direitos.</t>
  </si>
  <si>
    <t>Registra o valor da arrecadação de receitas da dívida ativa referente à Taxa de Fiscalização e Vigilância Sanitária.</t>
  </si>
  <si>
    <t>Registra o valor da arrecadação de receitas da dívida ativa referente à Taxa de Saúde Suplementar.</t>
  </si>
  <si>
    <t>Registra o valor da arrecadação de receitas da dívida ativa das contribuições de melhoria.</t>
  </si>
  <si>
    <t>Registra o valor da arrecadação de receita da dívida ativa referente a outros tributos não classificados nos itens acima, devidos e não pagos, que foram inscritos em dívida ativa.</t>
  </si>
  <si>
    <t>Registra o valor da arrecadação do principal da receita da dívida ativa referente a outros tributos não classificados nos itens acima, devidos e não pagos, que foram inscritos em dívida ativa.</t>
  </si>
  <si>
    <t>Registra o valor decorrente de parcelamentos da Dívida Ativa de Outros Tributos, no âmbito do Programa de Recuperação Fiscal - REFIS e do Programa Especial de Parcelamento de Débito – PAES, criados, respectivamente, por meio das leis nº 9.964/2000 e 10.684/2003.</t>
  </si>
  <si>
    <t>Registra o valor total da arrecadação de receita da dívida ativa não tributária de demais créditos da Fazenda Pública, tais como os provenientes de receitas patrimoniais, agropecuárias, industriais e de serviços, referentes a infrações e regulamentos específicos e outros. Exigível pelo transcurso do prazo de pagamento, inscrita na forma de legislação própria, depois de apurada sua liquidez e certeza.</t>
  </si>
  <si>
    <t>Registra o valor da receita advinda de crédito da Fazenda Pública, pelo não pagamento dos contribuintes no curso do prazo exigível, das Contribuições Previdenciárias para o Regime Geral de Previdência Social.</t>
  </si>
  <si>
    <t>Registra o valor da receita advinda de crédito da Fazenda Pública, pelo não pagamento dos contribuintes, no curso do prazo exigível, da Contribuição Previdenciária do Segurado Obrigatório – Contribuinte Individual.</t>
  </si>
  <si>
    <t>Registra o valor da receita advinda de crédito da Fazenda Pública, pelo não pagamento dos contribuintes, no curso do prazo exigível, da Contribuição Previdenciária do Segurado Assalariado.</t>
  </si>
  <si>
    <t>Registra o valor da receita advinda de crédito da Fazenda Pública, pelo não pagamento dos contribuintes, no curso do prazo exigível, da Contribuição Previdenciária da Empresa sobre o Segurado Assalariado.</t>
  </si>
  <si>
    <t>Registra o valor da receita advinda de crédito da Fazenda Pública, pelo não pagamento dos contribuintes, no curso do prazo exigível, da Contribuição Previdenciária da Empresa Optante pelo SIMPLES.</t>
  </si>
  <si>
    <t>Registra o valor da receita advinda de crédito da Fazenda Pública, pelo não pagamento dos contribuintes, no curso do prazo exigível, da Contribuição Previdenciária sobre Espetáculo Desportivo.</t>
  </si>
  <si>
    <t>Registra o valor da receita advinda de crédito da Fazenda Pública, pelo não pagamento dos contribuintes, no curso do prazo exigível, da Contribuição Previdenciária sobre Produção Rural.</t>
  </si>
  <si>
    <t>Registra o valor da receita advinda de crédito da Fazenda Pública, pelo não pagamento dos contribuintes, no curso do prazo exigível, da Contribuição Previdenciária em Regime de Parcelamento de Débitos.</t>
  </si>
  <si>
    <t>Registra o valor da receita advinda de crédito da Fazenda Pública, pelo não pagamento dos contribuintes, no curso do prazo exigível, da Contribuição Previdenciária para o Seguro de Acidente do Trabalho.</t>
  </si>
  <si>
    <t>Registra o valor da receita advinda de crédito da Fazenda Pública, pelo não pagamento dos contribuintes, no curso do prazo exigível, da Contribuição Previdenciária sobre Reclamatória Trabalhista.</t>
  </si>
  <si>
    <t>Registra o valor da receita advinda de crédito da Fazenda Pública, pelo não pagamento dos contribuintes, no curso do prazo exigível, da Contribuição Previdenciária do Segurado em Regime de Parcelamento de Débitos dos Municípios.</t>
  </si>
  <si>
    <t>Registra o valor da receita advinda de crédito da Fazenda Pública, pelo não pagamento dos contribuintes, no curso do prazo exigível, da Contribuição Previdenciária do Segurado Obrigatório.</t>
  </si>
  <si>
    <t>Registra o valor da receita advinda de crédito da Fazenda Pública, pelo não pagamento dos contribuintes, no curso do prazo exigível, da Contribuição Previdenciária do Segurado Facultativo.</t>
  </si>
  <si>
    <t>Registra o valor da receita advinda de crédito da Fazenda Pública, pelo não pagamento dos contribuintes, no curso do prazo exigível, da Contribuição Previdenciária do Segurado Especial.</t>
  </si>
  <si>
    <t>Registra o valor da receita advinda de crédito da Fazenda Pública, pelo não pagamento dos contribuintes, no curso do prazo exigível, da Contribuição Previdenciária do Segurado Obrigatório – Empregado Doméstico.</t>
  </si>
  <si>
    <t>Registra o valor da receita advinda de crédito da Fazenda Pública, pelo não pagamento dos contribuintes, no curso do prazo exigível, da Contribuição Previdenciária dos Órgãos do Poder Público.</t>
  </si>
  <si>
    <t>Registra o valor da receita advinda de crédito da Fazenda Pública, pelo não pagamento dos contribuintes, no curso do prazo exigível, da Contribuição Previdenciária das Entidades Filantrópicas.</t>
  </si>
  <si>
    <t>Registra o valor da receita advinda de crédito da Fazenda Pública, pelo não pagamento dos contribuintes, no curso do prazo exigível, da Contribuição Previdenciária – Retenção sobre Nota Fiscal – Sub-rogação.</t>
  </si>
  <si>
    <t>Registra o valor da receita advinda de crédito da Fazenda Pública, pelo não pagamento dos contribuintes, no curso do prazo exigível, da Arrecadação do Fundo de Financiamento ao Estudante do Ensino Superior – FIES – Certificados Financeiros do Tesouro Nacional.</t>
  </si>
  <si>
    <t>Registra o valor da receita advinda de crédito da Fazenda Pública, pelo não pagamento dos contribuintes, no curso do prazo exigível, da Arrecadação do Fundo Nacional de Saúde – FNS – Certificados Financeiros do Tesouro Nacional.</t>
  </si>
  <si>
    <t>Registra o valor da receita advinda de crédito da Fazenda Pública, pelo não pagamento dos contribuintes, no curso do prazo exigível, de Certificados da Dívida Pública – CDP.</t>
  </si>
  <si>
    <t>Registra o valor da receita advinda de crédito da Fazenda Pública, pelo não pagamento dos contribuintes, no curso do prazo exigível, da Contribuição Previdenciária na Forma de Depósito Judicial, Recursal e Custas Judiciais.</t>
  </si>
  <si>
    <t>Registra o valor da receita de crédito da Contribuição Previdenciária na Forma de Parcelamentos, constante no Livro de Inscrição da Dívida Ativa, assim inscrito em razão do não pagamento da obrigação no transcurso do prazo exigível.</t>
  </si>
  <si>
    <t>Registra a receita decorrente do crédito da Contribuição Previdenciária da Empresa Incidente sobre a Receita Bruta constante no Livro de Inscrição da Dívida Ativa, assim inscrito em razão do não-pagamento da obrigação no transcurso do prazo exigível.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</si>
  <si>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Registra o valor da receita advinda de crédito da Fazenda Pública, pelo não pagamento dos contribuintes, no curso do prazo exigível, de outras contribuições previdenciárias.</t>
  </si>
  <si>
    <t>Registra o valor total da arrecadação da receita de dívida ativa, pelo não pagamento da Contribuição para o Financiamento da Seguridade Social, no transcurso do prazo exigível.</t>
  </si>
  <si>
    <t>Registra o valor da arrecadação da receita de dívida ativa, pelo não pagamento da contribuição para o financiamento da seguridade social, no transcurso do prazo exigível.</t>
  </si>
  <si>
    <t>Registra o valor da arrecadação de receitas decorrentes de Parcelamentos da dívida ativa da Contribuição para o Financiamento da Seguridade Social.</t>
  </si>
  <si>
    <t>Registra o valor da arrecadação de receita de dívida ativa, pelo não pagamento da Contribuição do Salário Educação.</t>
  </si>
  <si>
    <t>Registra o valor total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</si>
  <si>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Registra o valor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</si>
  <si>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Registra o valor da arrecadação de receita decorrente de parcelamentos da dívida ativa da contribuição para o Financiamento da Seguridade Social de Valores e de Créditos e Direitos de Natureza Financeira.</t>
  </si>
  <si>
    <t>Registra o valor total da arrecadação de receita de dívida ativa, pelo não pagamento da Contribuição para o PIS/PASEP.</t>
  </si>
  <si>
    <t>Registra o valor da arrecadação de receita de dívida ativa, pelo não pagamento da Contribuição para o PIS/PASEP.</t>
  </si>
  <si>
    <t>Registra o valor decorrente de parcelamentos da Dívida Ativa da Contribuição para o PIS/PASEP, no âmbito do Programa de Recuperação Fiscal - REFIS e do Programa Especial de Parcelamento de Débito – PAES, criados, respectivamente, por meio das leis nº 9.964/2000 e 10.684/2003.</t>
  </si>
  <si>
    <t>Registra o valor total da arrecadação de receita de dívida ativa, pelo não pagamento da Contribuição Social sobre o Lucro Líquido das Pessoas Jurídicas, no transcurso do prazo exigível.</t>
  </si>
  <si>
    <t>Registra o valor da arrecadação de receita de dívida ativa, pelo não pagamento da Contribuição Social sobre o Lucro Líquido das Pessoas Jurídicas, no transcurso do prazo exigível.</t>
  </si>
  <si>
    <t>Registra o valor decorrente de parcelamentos da Dívida Ativa da Contribuição Social sobre o Lucro das Pessoas Jurídicas, no âmbito do Programa de Recuperação Fiscal - REFIS e do Programa Especial de Parcelamento de Débito – PAES, criados, respectivamente, por meio das leis nº 9.964/2000 e 10.684/2003.</t>
  </si>
  <si>
    <t>Registra o valor da arrecadação de receita de dívida ativa, pelo não pagamento da Contribuição dos Concursos e Prognósticos, no transcurso do prazo exigível.</t>
  </si>
  <si>
    <t>Registra o valor da receita advinda de crédito da Fazenda Pública, pelo não recolhimento, no transcurso do prazo exigível, das Contribuições sobre a Receita da Loteria Federal.</t>
  </si>
  <si>
    <t>Registra o valor da receita advinda de crédito da Fazenda Pública, pelo não recolhimento, no transcurso do prazo exigível, das Contribuições sobre a Receita de Loterias Esportivas.</t>
  </si>
  <si>
    <t>Registra o valor da receita advinda de crédito da Fazenda Pública, pelo não recolhimento, no transcurso do prazo exigível, das Contribuições sobre a Receita de Concursos Especiais de Loterias Esportivas.</t>
  </si>
  <si>
    <t>Registra o valor da receita advinda de crédito da Fazenda Pública, pelo não recolhimento, no transcurso do prazo exigível, das Contribuições sobre a Receita da Loteria de Números.</t>
  </si>
  <si>
    <t>Registra o valor da receita advinda de crédito da Fazenda Pública, pelo não recolhimento, no transcurso do prazo exigível, das Contribuições sobre a Receita da Loteria Instantânea.</t>
  </si>
  <si>
    <t>Registra o valor da receita advinda de crédito da Fazenda Pública, pelo não recolhimento, no transcurso do prazo exigível, de Prêmios de Loterias Federais.</t>
  </si>
  <si>
    <t>Registra o valor da arrecadação da receita da dívida ativa de multas do Código Eleitoral e Leis Conexas.</t>
  </si>
  <si>
    <t>Registra o valor da arrecadação da receita advinda de crédito da Fazenda Pública, pelo não pagamento dos contribuintes, no transcurso prazo exigível, da Cota-Parte do Adicional ao Frete para a Renovação da Marinha Mercante.</t>
  </si>
  <si>
    <t>Registra o valor da arrecadação de receita de dívida ativa, pelo não pagamento da Contribuição sobre Aposta em Competições Hípicas, no transcurso do prazo exigível.</t>
  </si>
  <si>
    <t>Registra o valor da arrecadação da receita da dívida ativa de aluguéis.</t>
  </si>
  <si>
    <t>Registra o valor da arrecadação da receita da dívida ativa de foros.</t>
  </si>
  <si>
    <t>Registra o valor da arrecadação da receita da dívida ativa de taxa de ocupação.</t>
  </si>
  <si>
    <t>Registra o valor da arrecadação da receita da dívida ativa de arrendamento.</t>
  </si>
  <si>
    <t>Registra o valor da arrecadação da receita da dívida ativa de laudêmios.</t>
  </si>
  <si>
    <t>Registra o valor da arrecadação de receita de dívida ativa, pelo não pagamento de outras contribuições não classificadas nos itens anteriores, no transcurso do prazo exigível.</t>
  </si>
  <si>
    <t>Registra o valor da arrecadação do principal da receita de dívida ativa, pelo não pagamento de outras contribuições não classificadas nos itens anteriores, no transcurso do prazo exigível.</t>
  </si>
  <si>
    <t>Registra o valor decorrente de parcelamentos da Dívida Ativa de Outras Contribuições, no âmbito do Programa de Recuperação Fiscal - REFIS e do Programa Especial de Parcelamento de Débito – PAES, criados, respectivamente, por meio das leis nº 9.964/2000 e 10.684/2003.</t>
  </si>
  <si>
    <t>Registra o valor da arrecadação de receita de dívida ativa de créditos não tributários, pelo não pagamento das Multas por Infração à Legislação Trabalhista, no transcurso do prazo exigível.</t>
  </si>
  <si>
    <t>Registra o valor da arrecadação de receita de dívida ativa, pelo não pagamento da Contribuição Relativa à Despedida de Empregado sem Justa Causa, no transcurso do prazo exigível.</t>
  </si>
  <si>
    <t>Registra o valor da arrecadação de receita de dívida ativa, pelo não pagamento da Contribuição sobre a Remuneração Devida ao Trabalhador, no transcurso do prazo exigível.</t>
  </si>
  <si>
    <t>Registra o valor da arrecadação de receita de dívida ativa, pelo não pagamento da Contribuição Relativa às Atividades de Comercialização de Petróleo e seus Derivados, Gás Natural e Álcool Carburante, no transcurso do prazo exigível.</t>
  </si>
  <si>
    <t>Registra o valor da arrecadação do principal da receita de dívida ativa, pelo não pagamento da Contribuição Relativa às Atividades de Comercialização de Petróleo e seus Derivados, Gás Natural e Álcool Carburante, no transcurso do prazo exigível.</t>
  </si>
  <si>
    <t>Registra o valor decorrente de parcelamentos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</si>
  <si>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Registra o valor da arrecadação de receita de créditos decorrentes da atividade mineral, constantes no Livro de Inscrição da Dívida Ativa, assim inscritos em razão do não-pagamento das obrigações no transcurso do prazo exigível.</t>
  </si>
  <si>
    <t>Registra o valor da arrecadação de Receita da Dívida Ativa da Exploração de Recursos Minerais.</t>
  </si>
  <si>
    <t>Registra o valor da arrecadação de Receita da Dívida Ativa da Outorga de Direitos de Exploração e Pesquisa Mineral.</t>
  </si>
  <si>
    <t>Registra o valor da arrecadação de Receita da Dívida Ativa das Multas Previstas na Legislação Mineraria.</t>
  </si>
  <si>
    <t>Registra o valor da arrecadação de Receita da Dívida Ativa dos Serviços de Inspeção e Fiscalização da Atividade Mineral.</t>
  </si>
  <si>
    <t>Registra a receita de créditos decorrentes da Multa de Poluição de Águas, constantes no Livro de Inscrição da Dívida Ativa, assim inscritos em razão do não-pagamento das obrigações no transcurso do prazo exigível.</t>
  </si>
  <si>
    <t>Registra a receita de créditos decorrentes da Outorga de Direitos de Uso de Recursos Hídricos, constantes no Livro de Inscrição da Dívida Ativa, assim inscritos em razão do não-pagamento das obrigações no transcurso do prazo exigível.</t>
  </si>
  <si>
    <t xml:space="preserve">Registra a receita de créditos decorrentes da Multa Prevista no Código Brasileiro de Aeronáutica, constantes no Livro de Inscrição da Dívida Ativa, assim inscritos em razão do não-pagamento das obrigações no transcurso do prazo exigível. </t>
  </si>
  <si>
    <t>Registra a receita de créditos decorrentes dos Serviços de Inspeção e Fiscalização, constantes no Livro de Inscrição da Dívida Ativa, assim inscritos em razão do não pagamento das obrigações no transcurso do prazo exigível.</t>
  </si>
  <si>
    <t>Registra a receita de créditos decorrentes das Multas Previstas na Lei Geral das Telecomunicações, constantes no Livro de Inscrição da Dívida Ativa, assim inscritos em razão do não-pagamento das obrigações no transcurso do prazo exigível.</t>
  </si>
  <si>
    <t>Registra a receita de créditos decorrentes da Contribuição para o Desenvolvimento da Indústria Cinematográfica Nacional, constantes no Livro de Inscrição da Dívida Ativa, assim inscritos em razão do não-pagamento das obrigações no transcurso do prazo exigível.</t>
  </si>
  <si>
    <t>Registra a receita de créditos decorrentes da Não-Aplicação de Incentivos Fiscais em Projetos Culturais e da Indústria Cinematográfica, constantes no Livro de Inscrição da Dívida Ativa, assim inscritos em razão do não-pagamento das obrigações no transcurso do prazo exigível.</t>
  </si>
  <si>
    <t>Registra a receita de créditos decorrentes das Multas por Infrações à Legislação Cinematográfica, constantes no Livro de Inscrição da Dívida Ativa, assim inscritos em razão do não-pagamento das obrigações no transcurso do prazo exigível.</t>
  </si>
  <si>
    <t>Registra a receita de créditos decorrentes da Utilização de Recursos Hídricos – Demais Empresas, constantes no Livro de Inscrição da Dívida Ativa, assim inscritos em razão do não-pagamento das obrigações no transcurso do prazo exigível.</t>
  </si>
  <si>
    <t>Registra a receita de créditos decorrentes das Multas Previstas em Lei por infrações no Setor de Energia Elétrica, constantes no Livro de Inscrição da Dívida Ativa, assim inscritos em razão do não-pagamento das obrigações no transcurso do prazo exigível.</t>
  </si>
  <si>
    <t>Registra a receita de créditos decorrentes da Taxa de Fiscalização de Serviços de Energia Elétrica, constantes no Livro de Inscrição da Dívida Ativa, assim inscritos em razão do não-pagamento das obrigações no transcurso do prazo exigível.</t>
  </si>
  <si>
    <t>Registra a receita de créditos decorrentes das Multas Previstas na Legislação sobre Lubrificantes e Combustíveis, constantes no Livro de Inscrição da Dívida Ativa, assim inscritos em razão do não-pagamento das obrigações no transcurso do prazo exigível.</t>
  </si>
  <si>
    <t>Registra a receita de créditos decorrentes das Compensações Financeiras entre o Regime Geral e os Regimes Próprios de Previdência dos Servidores, constantes no Livro de Inscrição da Dívida Ativa, assim inscritos em razão do não-pagamento das obrigações no transcurso do prazo exigível.</t>
  </si>
  <si>
    <t>Registra o valor das receitas de Receita da Dívida Ativa de Multas por Infração - Contrato Administrativo.</t>
  </si>
  <si>
    <t>Registra o valor das receitas de Receita da Dívida Ativa de Reposição ou Indenização de Servidor.</t>
  </si>
  <si>
    <t>Registra o valor das receitas de Receita da Dívida Ativa de Ressarcimento ao Erário.</t>
  </si>
  <si>
    <t>Registra o valor das receitas de Receita da Dívida Ativa do Ressarcimento ao Erário Decorrente de Decisão do Tribunal de Contas da União.</t>
  </si>
  <si>
    <t>Registra o valor das receitas de Receita da Dívida Ativa de Ressarcimento ao Sistema Único de Saúde.</t>
  </si>
  <si>
    <t>Registra o valor das receitas de Receita da Dívida Ativa de Multas por Infração da Ordem Econômica.</t>
  </si>
  <si>
    <t>Registra o valor das receitas de Receita da Dívida Ativa por Multa de Trânsito.</t>
  </si>
  <si>
    <t>Registra o valor das receitas de Receita da Dívida Ativa de Multas por Infração à Lei Complementar nº 109/01 – Previdência Privada.</t>
  </si>
  <si>
    <t>Registra o valor das receitas de Receita da Dívida Ativa por Infração Administrativa.</t>
  </si>
  <si>
    <t>Registra as receitas provenientes de sanções legais ou contratuais e devidamente inscritas na dívida ativa por entidades competente e aplicadas pela Administração Pública. Tem por objetivo registrar a arrecadação dos recursos inscritos na dívida ativa e recolhidos junto a Procuradoria Geral da Fazenda em atendimento aos mais diversos órgãos da Administração Pública Federal.</t>
  </si>
  <si>
    <t>Registra a receita decorrente do pagamento da dívida ativa das multas previstas na legislação referentes ao regime de previdência privada complementar.</t>
  </si>
  <si>
    <t>Registra a receita decorrente do pagamento da dívida ativa das multas aplicadas no âmbito de processo judicial.</t>
  </si>
  <si>
    <t>Registra a receita decorrente do pagamento da dívida ativa das multas decorrentes de sentenças penais condenatórias.</t>
  </si>
  <si>
    <t>Registra a receita decorrente do pagamento da dívida ativa das multas decorrentes de sentenças judiciais.</t>
  </si>
  <si>
    <t>Registra o valor da arrecadação da receita da dívida ativa não tributária de outras receitas não classificadas nos itens anteriores.</t>
  </si>
  <si>
    <t>Registra o valor da arrecadação do principal da receita da dívida ativa não tributária de outras receitas não classificadas nos itens anteriores.</t>
  </si>
  <si>
    <t>Registra o valor decorrente de parcelamentos da Dívida Ativa Não Tributária de Outras Receitas, no âmbito do Programa de Recuperação Fiscal - REFIS e do Programa Especial de Parcelamento de Débito – PAES, criados, respectivamente, por meio das leis nº 9.964/2000 e 10.684/2003.</t>
  </si>
  <si>
    <t>Registra as receitas decorrentes de Aportes Periódicos para Amortização de Déficit Atuarial do RPPS.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</si>
  <si>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</si>
  <si>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Registra o valor decorrente de parcelamentos de Outras Receitas, no âmbito do Programa de Recuperação Fiscal - REFIS e do Programa Especial de Parcelamento de Débito – PAES, criados, respectivamente, por meio das leis nº 9.964/2000 e 10.684/2003.</t>
  </si>
  <si>
    <t>Registra o valor total da arrecadação decorrente de custas do processo de apuração, inscrição e cobrança de dívida ativa, bem como pela defesa judicial paga pelo devedor da ação. No caso da União, o produto dessa arrecadação constitui receita vinculada ao Fundo Especial de Desenvolvimento e Aperfeiçoamento das Atividades de Fiscalização - FUNDAF.</t>
  </si>
  <si>
    <t>Receita advinda de sentença condenatória paga pelo vencido ao vencedor referente às despesas que antecipou. (Lei nº 5.869, de 11/01/73, art. 20).</t>
  </si>
  <si>
    <t xml:space="preserve">Registra o valor total das receitas geradas pela alienação de mercadorias, objeto da pena de perdimento. </t>
  </si>
  <si>
    <t>Registra o valor da arrecadação de receita de leilão de mercadorias apreendidas pelos órgãos fiscalizadores, objeto de perdimento em favor da União, Estado ou Município. O produto da arrecadação tem a seguinte destinação: 60% ao Fundo Especial de Desenvolvimento e Aperfeiçoamento das Atividades de Fiscalização – FUNDAF, e 40% ao Fundo Nacional de Assistência Social - Ministério da Previdência e Assistência Social.</t>
  </si>
  <si>
    <t>Registra o valor da arrecadação de receita de alienações de bens, direitos e valores, objeto do crime de tráfico ilícito de substâncias entorpecentes ou drogas afins. Os valores advindos de apreensão de bens e valores em crimes de tráfico ilícito e uso indevido de substâncias entorpecentes, bem como de apreensão de produtos químicos que direta ou indiretamente possam ser destinados à elaboração ilícita de substâncias entorpecentes, são destinados ao Fundo Nacional Antidrogas – FUNAD, (Lei nº 6.368 de 21/10/76; Lei nº 7.460 de 19/12/86, Lei nº 9.804 de 30/06/99).</t>
  </si>
  <si>
    <t>Registra o valor da receita com caução equivalente ao montante e aos valores depositados, que ainda estão sub judice, em certificados de emissão do Tesouro Nacional.</t>
  </si>
  <si>
    <t>Registra o valor da arrecadação de receita proveniente da alienação de bens e valores que tenham sido objeto de perdimento em favor da União, associados ao tráfico ilícito de entorpecentes e drogas afins, inclusive as glebas de qualquer região do país onde forem localizadas culturas ilegais de plantas psicotrópicas.</t>
  </si>
  <si>
    <t>Registra recursos oriundos do perdimento em favor da União de valores numerários (como, por exemplo, moeda, cheques ou títulos) objeto do crime de tráfico ilícito de substâncias entorpecentes ou drogas afins, previstos tanto no inciso I do art. 1º da Lei nº 9.613/98, quanto nos arts. 33 a 39 da Lei nº 11.343/2006.</t>
  </si>
  <si>
    <t>Registra o valor total da arrecadação decorrente do produto de depósitos abandonados (dinheiro ou objetos de valor) sendo originária da extinção de contratos de depósito regular e voluntário de bens de qualquer espécie por rescisão de prazo.</t>
  </si>
  <si>
    <t>Registra o valor da arrecadação de Receita gerada pela alienação de bens, direitos e valores, objeto da pena de perdimento em favor da União.</t>
  </si>
  <si>
    <t>Registra a receita gerada pela alienação de bens, direitos e valores, objeto da pena de perdimento em favor da União.</t>
  </si>
  <si>
    <t>Registra a receita gerada pela incorporação de valores perdidos em favor da União, quando nos casos de reversão de depósito de garantias, ou outros assemelhados, nos casos relacionados a contratos administrativos.</t>
  </si>
  <si>
    <t>Registra o valor da receita proveniente da não aplicação ou não comprometimento integral de incentivos fiscais em projetos culturais, e por contribuintes da indústria cinematográfica nacional.</t>
  </si>
  <si>
    <t>Registra a receita decorrente da imposição de direitos “antidumping” e de direitos compensatórios, cobrada mediante a aplicação de percentual da margem de “dumping” ou do montante de subsídios suficiente para sanar dano ou ameaça de dano à indústria doméstica brasileira.</t>
  </si>
  <si>
    <t>Registra o valor das demais receitas para o desenvolvimento do desporto, tais como doações, legados e patrocínios; penalidades disciplinares pecuniárias aplicadas aos atletas profissionais; 1%  do valor da indenização fixada pela entidade cedente, no caso de cessão de atleta a entidade estrangeira; 1%  do valor do contrato do atleta profissional pertencente ao Sistema Federal de Desporto, devido e recolhido pela entidade contratante; 1%  da arrecadação proveniente das competições organizadas pelas entidades federais de administração do desporto profissional etc.</t>
  </si>
  <si>
    <t>Registra os recursos decorrentes das medidas de suspensão de concessões dos direitos de propriedade intelectual.</t>
  </si>
  <si>
    <t>Registra o valor da receita com recursos oriundos de reserva global de reversão de 2% destinados à ANEEL para custear seus dispêndios com projetos e atividades relativos a hidrologia, hidrometeorologia, operação de rede hidrometeorológica e fiscalização nacional, e fiscalização de energia elétrica.</t>
  </si>
  <si>
    <t>Registra o valor da receita incidente sobre a remuneração dos militares e destina-se à constituição de Fundos de Saúde, em cada uma das Forças Armadas, que visem ao custeio do atendimento médico-hospitalar de militares e de seus dependentes (MP nº 2.215-10, de 31/08/01).</t>
  </si>
  <si>
    <t>Contribuição efetuada por funcionários públicos civis inscritos no montepio. É calculada com base nos vencimentos e acréscimos percebidos mensalmente pelo servidor.</t>
  </si>
  <si>
    <t>Receita decorrente da realização de leilão de cotas de importação, medida de salvaguarda destinada a proteger a produção nacional, por meio da imposição de quotas quantitativas definidas em leilão. Tal receita destina-se ao Ministério do Desenvolvimento, Indústria e Comércio Exterior.</t>
  </si>
  <si>
    <t xml:space="preserve">Receita decorrente dos depósitos judiciais e extrajudiciais, em dinheiro, de valores referentes a tributos e contribuições federais, inclusive seus acessórios, administrados pela Secretaria da Receita Federal do Brasil do Ministério da Fazenda recolhidos nas instituições financeiras. </t>
  </si>
  <si>
    <t>Registra recursos, em dinheiro ou estimáveis em dinheiro – inclusive na forma de publicidade de qualquer espécie – recebidos por partido político, comitê financeiro ou candidato, cuja origem advenha de fontes vedadas ou fontes não identificadas.</t>
  </si>
  <si>
    <t>Recolhimento dos valores apurados como sobras de campanha plebiscitária, conforme estabelece, por exemplo, o art. 13 da Resolução TSE no 23.348, de 18 de agosto de 2011, que dispõe sobre a arrecadação e a aplicação de recursos e sobre a prestação de contas nos plebiscitos do Estado do Pará.</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</si>
  <si>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</si>
  <si>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Registra o valor total da receita arrecadada relativa às diferenças, para maior, de câmbio ocorridas em depósitos bancários ou transferências de recursos financeiros em moeda estrangeira.</t>
  </si>
  <si>
    <t>Registra o valor total da receita auferida em caráter não permanente ou eventual pelos órgãos e demais entidades da administração pública.</t>
  </si>
  <si>
    <t>Receitas de Capital</t>
  </si>
  <si>
    <t>Operações de Crédito</t>
  </si>
  <si>
    <t>Operações de Crédito Internas</t>
  </si>
  <si>
    <t>Títulos de Responsabilidade do Tesouro</t>
  </si>
  <si>
    <t>Títulos de Responsabilidade do Tesouro – Refinanciamento da Dívida Pública</t>
  </si>
  <si>
    <t>Títulos da Dívida Agrária - TDA</t>
  </si>
  <si>
    <t>Títulos de Responsabilidade do Tesouro – Outras Aplicações</t>
  </si>
  <si>
    <t>Obrigações do Fundo Nacional de Desenvolvimento – FND</t>
  </si>
  <si>
    <t>Empréstimos Compulsórios</t>
  </si>
  <si>
    <t>Operações de Crédito Internas - Contratuais</t>
  </si>
  <si>
    <t>Operações de Crédito Internas para Programas de Educação</t>
  </si>
  <si>
    <t>Operações de Crédito Internas para Programas de Saúde</t>
  </si>
  <si>
    <t>Operações de Crédito Internas para Programas de Saneamento</t>
  </si>
  <si>
    <t>Operações de Crédito Internas para Programas de Meio Ambiente</t>
  </si>
  <si>
    <t>Operações de Crédito Internas para Programas de Modernização da Administração Pública</t>
  </si>
  <si>
    <t>Operações de Crédito Internas para Refinanciamento da Dívida Contratual</t>
  </si>
  <si>
    <t>Operações de Crédito Internas para Programas de Moradia Popular</t>
  </si>
  <si>
    <t>Outras Operações de Crédito Internas – Contratuais</t>
  </si>
  <si>
    <t>Outras Operações de Crédito Internas</t>
  </si>
  <si>
    <t>Operações de Crédito Externas</t>
  </si>
  <si>
    <t>Títulos de Responsabilidade do Tesouro - Outras Aplicações</t>
  </si>
  <si>
    <t>Operações de Crédito Externas – Contratuais</t>
  </si>
  <si>
    <t>Operações de Crédito Externas para Programas de Educação</t>
  </si>
  <si>
    <t>Operações de Crédito Externas para Programas de Saúde</t>
  </si>
  <si>
    <t>Operações de Crédito Externas para Programas de Saneamento</t>
  </si>
  <si>
    <t>Operações de Crédito Externas para Programas de Meio Ambiente</t>
  </si>
  <si>
    <t>Operações de Crédito Externas para Programas de Modernização da Administração Pública</t>
  </si>
  <si>
    <t>Operações de Crédito Externas para Refinanciamento da Dívida Contratual</t>
  </si>
  <si>
    <t>Outras Operações de Crédito Externas - Contratuais</t>
  </si>
  <si>
    <t>Outras Operações de Crédito Externas</t>
  </si>
  <si>
    <t>Alienação de Bens</t>
  </si>
  <si>
    <t>Alienação de Bens Móveis</t>
  </si>
  <si>
    <t>Alienação de Títulos Mobiliários</t>
  </si>
  <si>
    <t>Alienação de Estoques</t>
  </si>
  <si>
    <t>Alienação de Estoques da Política de Garantia de Preços Mínimos – PGPM</t>
  </si>
  <si>
    <t>Alienação de Estoques Reguladores – PGPM</t>
  </si>
  <si>
    <t>Alienação de Estoques Estratégicos – PGPM</t>
  </si>
  <si>
    <t>Alienação de Estoques Destinados a Vendas em Balcão – PGPM</t>
  </si>
  <si>
    <t>Alienação de Estoques Comerciais e Sociais – Comercialização</t>
  </si>
  <si>
    <t>Alienação de Estoques Destinados a Programas Sociais e Institucionais – Comercialização</t>
  </si>
  <si>
    <t>Alienação de Estoques por Atacado – Comercialização</t>
  </si>
  <si>
    <t>Alienação de Estoques Adquiridos em Consignação – Comercialização</t>
  </si>
  <si>
    <t>Alienação de Estoques do Programa de Aquisição de Alimentos – PAA</t>
  </si>
  <si>
    <t>Alienação de Estoques Adquiridos para Combate à Fome e Segurança Alimentar</t>
  </si>
  <si>
    <t>Alienação de Estoques Adquiridos da Agricultura Familiar</t>
  </si>
  <si>
    <t>Alienação de Estoques de Café – FUNCAFÉ</t>
  </si>
  <si>
    <t>Alienação de Estoques do Tesouro Afetos ao FUNCAFÉ</t>
  </si>
  <si>
    <t>Alienação de Estoques Próprios do FUNCAFÉ</t>
  </si>
  <si>
    <t>Outras Aplicações de Estoques</t>
  </si>
  <si>
    <t>Alienação de Animais Reprodutores e Matrizes</t>
  </si>
  <si>
    <t>Alienação de Veículos</t>
  </si>
  <si>
    <t>Alienação de Móveis e Utensílios</t>
  </si>
  <si>
    <t>Alienação de Equipamentos</t>
  </si>
  <si>
    <t>Alienação de Outros Bens Móveis</t>
  </si>
  <si>
    <t>Alienação de Bens Imóveis</t>
  </si>
  <si>
    <t>Alienação de Imóveis Rurais para Colonização e Reforma Agrária</t>
  </si>
  <si>
    <t>Alienação de Bens Imóveis de Domínio da União</t>
  </si>
  <si>
    <t>Alienação de Bens Imóveis de Domínio da União – Domínio Pleno</t>
  </si>
  <si>
    <t>Alienação de Bens Imóveis de Domínio da União – Domínio Útil</t>
  </si>
  <si>
    <t>Alienação de Bens Imóveis de Domínio da União – Domínio Direto</t>
  </si>
  <si>
    <t>Receita da Alienação de Bens Imóveis Residenciais de Propriedade da União, e dos Vinculados ou Incorporados ao FRHB, situados no Distrito Federal</t>
  </si>
  <si>
    <t>Alienação de Embarcações</t>
  </si>
  <si>
    <t>Alienação de Imóveis Rurais</t>
  </si>
  <si>
    <t>Alienação de Imóveis Urbanos</t>
  </si>
  <si>
    <t>Alienação de Outros Bens Imóveis</t>
  </si>
  <si>
    <t>Amortização de Empréstimos</t>
  </si>
  <si>
    <t>Amortização de Empréstimos – BEA/BIB</t>
  </si>
  <si>
    <t>Amortização Proveniente da Execução de Garantia – Operações de Crédito</t>
  </si>
  <si>
    <t>Amortização Proveniente da Execução de Garantia – Operações de Crédito Internas</t>
  </si>
  <si>
    <t>Amortização Proveniente da Execução de Garantia – Operações de Crédito Externas</t>
  </si>
  <si>
    <t>Amortização de Empréstimos – Estados e Municípios</t>
  </si>
  <si>
    <t>Amortização de Empréstimos – Refinanciamento de Dívida de Médio e Longo Prazo</t>
  </si>
  <si>
    <t>Amortizações de Empréstimos – POOC</t>
  </si>
  <si>
    <t>Outras Amortizações de Empréstimos</t>
  </si>
  <si>
    <t>Amortização de Empréstimos – Em Títulos</t>
  </si>
  <si>
    <t>Amortização de Empréstimos – Em Contratos</t>
  </si>
  <si>
    <t>Amortização de Financiamentos</t>
  </si>
  <si>
    <t>Amortização de Financiamentos de Bens</t>
  </si>
  <si>
    <t>Amortização de Financiamentos de Projetos</t>
  </si>
  <si>
    <t>Amortização de Financiamento do Fundo de Financiamento ao Estudante do Ensino Superior – FIES</t>
  </si>
  <si>
    <t>Amortização de Financiamentos à Estocagem de Álcool Etílico Combustível</t>
  </si>
  <si>
    <t>Amortização de Empréstimos Diversos</t>
  </si>
  <si>
    <t>Transferências de Capital</t>
  </si>
  <si>
    <t>Transferências de Recursos Destinados a Programas de Educação</t>
  </si>
  <si>
    <t>Transferências de Recursos Destinados a Programas de Saúde</t>
  </si>
  <si>
    <t>Transferência de Outras Instituições Públicas</t>
  </si>
  <si>
    <t>Transferência de Convênios da União e de suas Entidades</t>
  </si>
  <si>
    <t>Transferências de Convênio da União para o Sistema Único de Saúde – SUS</t>
  </si>
  <si>
    <t>Transferências de Convênio da União destinadas a Programas de Educação</t>
  </si>
  <si>
    <t>Transferências de Convênios da União destinadas a Programas de Saneamento Básico</t>
  </si>
  <si>
    <t>Transferências de Convênios da União destinadas a Programas de Meio Ambiente</t>
  </si>
  <si>
    <t>Transferências de Convênios da União destinadas a Programas de Infra-Estrutura em Transporte</t>
  </si>
  <si>
    <t>Transferências de Convênios dos Estados e do Distrito Federal e de suas Entidades</t>
  </si>
  <si>
    <t>Transferências de Convênios dos Estados para o Sistema Único de Saúde – SUS</t>
  </si>
  <si>
    <t>Transferências de Convênios dos Estados destinadas a Programas de Educação</t>
  </si>
  <si>
    <t>Transferências de Convênios dos Estados destinadas a Programas de Saneamento Básico</t>
  </si>
  <si>
    <t>Transferências de Convênios dos Estados destinadas a Programas de Meio Ambiente</t>
  </si>
  <si>
    <t>Transferências de Convênios dos Estados destinadas a Programas de Infra-Estrutura em Transporte</t>
  </si>
  <si>
    <t>Transferências de Convênios dos Municípios e de suas Entidades</t>
  </si>
  <si>
    <t>Transferências de Convênios dos Municípios destinados a Programas de Saúde</t>
  </si>
  <si>
    <t>Transferências de Convênios dos Municípios destinadas a Programas de Educação</t>
  </si>
  <si>
    <t>Transferências de Convênios de Instituições Privadas</t>
  </si>
  <si>
    <t>Transferências de Convênios do Exterior</t>
  </si>
  <si>
    <t>Outras Receitas de Capital</t>
  </si>
  <si>
    <t>Integralização do Capital Social</t>
  </si>
  <si>
    <t>Integralização com Recursos do Tesouro</t>
  </si>
  <si>
    <t>Integralização com Recursos de Outras Fontes</t>
  </si>
  <si>
    <t>Resultado do Banco Central do Brasil</t>
  </si>
  <si>
    <t>Resultado do Banco Central – Operações com Reservas e Derivativos Cambiais</t>
  </si>
  <si>
    <t>Resultado do Banco Central – Demais Operações</t>
  </si>
  <si>
    <t>Remuneração das Disponibilidades do Tesouro Nacional</t>
  </si>
  <si>
    <t>Receita da Dívida Ativa Proveniente de Amortização de Empréstimos e Financiamentos</t>
  </si>
  <si>
    <t xml:space="preserve">Receita da Dívida Ativa da Alienação de Estoques de Café - FUNCAFÉ </t>
  </si>
  <si>
    <t>Receita Auferida por Detentores de Títulos do Tesouro Nacional Resgatados</t>
  </si>
  <si>
    <t>Registra o valor total da categoria econômica que compreende as operações de crédito, alienação de bens, amortização de empréstimos, transferências de capital e outras.</t>
  </si>
  <si>
    <t>Registra o valor total da receita decorrente da colocação de títulos públicos ou de empréstimos obtidos junto a entidades estatais ou particulares internas ou externas.</t>
  </si>
  <si>
    <t>Registra o valor total da arrecadação decorrente da colocação no mercado interno de títulos públicos, ou de empréstimos obtidos junto a entidades estatais ou particulares.</t>
  </si>
  <si>
    <t>Registra o valor da arrecadação de receita decorrente da colocação no mercado interno de títulos do governo federal, estadual ou municipal.</t>
  </si>
  <si>
    <t>Registra o valor da arrecadação de receita decorrente da colocação no mercado interno de títulos do governo federal, estadual ou municipal, para a dívida pública.</t>
  </si>
  <si>
    <t>Emitidos pelo Tesouro Nacional, destinados ao cumprimento das indenizações por desapropriações de imóveis rurais para fins de colonização e reforma agrária, dentro das ações previstas no Plano Nacional de Reforma Agrária.</t>
  </si>
  <si>
    <t>Registra o valor da arrecadação de receita decorrente da colocação no mercado interno de títulos do governo federal, estadual ou municipal, oriundos de outras aplicações.</t>
  </si>
  <si>
    <t xml:space="preserve">Registra o valor da receita do FND proveniente da emissão de obrigações de longo prazo, com o objetivo de captar recursos junto a investidores, pessoas jurídicas de direito público ou privado, ou pessoas naturais. </t>
  </si>
  <si>
    <t>Registra o valor da arrecadação de receita referente a recursos retidos para o atendimento de necessidade emergencial, obtidos com os empréstimos compulsórios.</t>
  </si>
  <si>
    <t>Registra o valor total da arrecadação de receita com operações de crédito internas contratuais.</t>
  </si>
  <si>
    <t>Registra o valor da arrecadação de receita com operações de crédito internas relativas a programas de educação.</t>
  </si>
  <si>
    <t>Registra o valor da arrecadação de receita com operações de crédito internas relativas a programas de saúde.</t>
  </si>
  <si>
    <t>Registra o valor da arrecadação de receita com operações de crédito internas relativas a programas de saneamento.</t>
  </si>
  <si>
    <t>Registra o valor da arrecadação de receita com operações de crédito internas relativas a programas de meio ambiente.</t>
  </si>
  <si>
    <t>Registra o valor da arrecadação da receita com operações de crédito internas relativas a programas de modernização da máquina pública.</t>
  </si>
  <si>
    <t>Registra o valor da arrecadação da receita com operações de crédito internas para refinanciamento da dívida contratual.</t>
  </si>
  <si>
    <t>Registra o valor da arrecadação da receita de operações de crédito internas relativas a programas de moradia popular.</t>
  </si>
  <si>
    <t>Registra o valor total da arrecadação de receita com outras operações de crédito internas contratuais.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</si>
  <si>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</si>
  <si>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Registra o valor total da arrecadação da receita decorrente da colocação de títulos públicos ou de empréstimos obtidos junto a organizações estatais ou particulares, sediadas no exterior.</t>
  </si>
  <si>
    <t>Registra o valor da arrecadação de receita de títulos do governo federal, estadual ou municipal colocados no mercado externo.</t>
  </si>
  <si>
    <t>Registra o valor da arrecadação de receita de títulos públicos, colocados no mercado para refinanciamento da dívida pública.</t>
  </si>
  <si>
    <t>Registra o valor da arrecadação de receita de títulos públicos colocados no mercado para outras aplicações.</t>
  </si>
  <si>
    <t>Registra o valor total da arrecadação de receita com operações de crédito externas contratuais.</t>
  </si>
  <si>
    <t>Registra o valor da arrecadação de receita com operações de crédito externas relativas a programas de educação.</t>
  </si>
  <si>
    <t>Registra o valor da arrecadação de receita com operações de crédito externas relativas a programas de saúde.</t>
  </si>
  <si>
    <t>Registra o valor da arrecadação de receita com operações de crédito externas relativas a programas de saneamento.</t>
  </si>
  <si>
    <t>Registra o valor da arrecadação de receita com operações de crédito externas relativas a programas de meio ambiente.</t>
  </si>
  <si>
    <t>Registra o valor da arrecadação de receita com operações de crédito externas relativas a programas de modernização da máquina pública.</t>
  </si>
  <si>
    <t>Registra o valor da arrecadação da receita com operações de crédito externas para refinanciamento da dívida contratual.</t>
  </si>
  <si>
    <t>Registra o valor total da arrecadação de receita com outras operações de crédito externas contratuais.</t>
  </si>
  <si>
    <t>Registra o valor total da arrecadação de receita com as demais operações de crédito externas não contempladas no plano de contas.</t>
  </si>
  <si>
    <t>Registra o valor total da receita decorrente da alienação de bens móveis e imóveis.</t>
  </si>
  <si>
    <t>Registra o valor total da arrecadação da receita de alienação de bens móveis tais como: títulos, mercadorias, bens inservíveis ou  desnecessários e outros.</t>
  </si>
  <si>
    <t>Registra o valor total da receita arrecadada com a alienação de títulos e valores mobiliários.</t>
  </si>
  <si>
    <t>Registra o valor total da receita proveniente da venda de estoques públicos ou privados, em consonância com a política agrícola nacional.</t>
  </si>
  <si>
    <t>Registra o valor da arrecadação de receitas proveniente da venda de produtos agrícolas contemplados pela Política de Garantia de Preços Mínimos – PGPM.</t>
  </si>
  <si>
    <t>Registra o valor da arrecadação de receita proveniente da venda de produtos agrícolas contemplados pela Política de Garantia de Preços Mínimos - PGPM, com prioridade para os produtos básicos.</t>
  </si>
  <si>
    <t>Registra o valor da arrecadação da receita proveniente da alienação de Estoques Estratégicos Vinculados à Política de Garantia de Preços Mínimos – PGPM.</t>
  </si>
  <si>
    <t>Registra o valor da arrecadação de receita originária das vendas dos produtos agrícolas disponíveis nos estoques governamentais, aos pequenos e médios produtores, a preços compatíveis com os praticados em leilões públicos.</t>
  </si>
  <si>
    <t>Registra o valor da arrecadação de receita proveniente da venda de produtos destinados a atender programas de abastecimento alimentar.</t>
  </si>
  <si>
    <t>Registra o valor da arrecadação de receita proveniente da venda de produtos alimentícios, higiene e limpeza, destinados ao atendimento de programas institucionais de abastecimento alimentar.</t>
  </si>
  <si>
    <t>Registra o valor da arrecadação da receita proveniente da venda de produtos diversos, de caráter emergencial, objeto de parcerias com entidades públicas ou privadas, para atender a programas assistenciais na área alimentar.</t>
  </si>
  <si>
    <t>Registra o valor da arrecadação de receitas provenientes da venda de estoques comerciais e sociais de produtos adquiridos em consignação.</t>
  </si>
  <si>
    <t>Registra o valor da arrecadação de receitas de alienação de estoques de alimentos pela Companhia Nacional de Abastecimento - CONAB cujos produtos foram adquiridos mediante recursos transferidos pelo Ministério do Desenvolvimento Social - MDS.</t>
  </si>
  <si>
    <t>Registra o valor da arrecadação de receitas de Alienação de estoques de alimentos pela Companhia Nacional de Abastecimento - CONAB cujos produtos foram adquiridos mediante recursos transferidos pelo Ministério do Desenvolvimento Agrário - MDA.</t>
  </si>
  <si>
    <t>Registra o valor da arrecadação de receitas de alienação de estoques do Fundo de Defesa da Economia Cafeeira – FUNCAFÉ.</t>
  </si>
  <si>
    <t>Registra o valor da arrecadação de receitas de alienação de estoques de café do Tesouro Nacional que estão sob guarda do Fundo de Defesa da Economia Cafeeira - FUNCAFÉ.</t>
  </si>
  <si>
    <t>Registra o valor da arrecadação de receita de alienação de estoques de café próprios do Fundo de Defesa da Economia Cafeeira - FUNCAFÉ.</t>
  </si>
  <si>
    <t>Registra o valor da receita de outras alienações de estoques, não classificadas nos itens anteriores.</t>
  </si>
  <si>
    <t>Registra o valor da arrecadação de receita de alienação de animais reprodutores e matrizes.</t>
  </si>
  <si>
    <t>Receita proveniente da alienação de veículos.</t>
  </si>
  <si>
    <t>Receita proveniente da alienação de móveis e utensílios.</t>
  </si>
  <si>
    <t>Receita proveniente da alienação de equipamentos.</t>
  </si>
  <si>
    <t>Registra o valor total da arrecadação com alienação de outros bens móveis que não se enquadram nos itens anteriores.</t>
  </si>
  <si>
    <t>Registra o valor total da arrecadação da receita de alienação de bens imóveis, residenciais ou não, de propriedade da União, Estados ou Municípios.</t>
  </si>
  <si>
    <t>Registra o valor da arrecadação de receita de alienação de bens imóveis rurais para colonização e reforma agrária.</t>
  </si>
  <si>
    <t>Registra as receitas oriundas da alienação de domínio útil ou pleno de imóveis da União.</t>
  </si>
  <si>
    <t>Registra o valor das receitas de Alienação de Bens Imóveis de Domínio da União – Domínio Pleno.</t>
  </si>
  <si>
    <t>Registra o valor das receitas de Alienação de Bens Imóveis de Domínio da União – Domínio Útil.</t>
  </si>
  <si>
    <t>Registra o valor das receitas de Alienação de Bens Imóveis de Domínio da União – Domínio Direto.</t>
  </si>
  <si>
    <t>Registra a receita decorrente do pagamento pela alienação de bens imóveis residenciais de propriedade da União situados no DF.</t>
  </si>
  <si>
    <t>Registra o valor da arrecadação de receita de alienação de embarcações que forem consideradas como bens imóveis.</t>
  </si>
  <si>
    <t>Registra o valor da arrecadação de receita de alienação de imóveis rurais.</t>
  </si>
  <si>
    <t>Registra o valor da arrecadação de receita de alienação de imóveis urbanos.</t>
  </si>
  <si>
    <t>Registra o valor total da arrecadação com alienação de outros bens imóveis não classificados nos itens anteriores.</t>
  </si>
  <si>
    <t>Registra o valor total da receita relativa à amortização de empréstimos concedidos em títulos e contratos.</t>
  </si>
  <si>
    <t xml:space="preserve">Registra o valor da arrecadação de receitas provenientes do programa de renegociação da dívida externa brasileira realizado em 1989, para reescalonamento da inadimplência de Bônus do Governo Brasileiro (Brazil Investiment Bond – BIB), com a finalidade de financiar a parcela da dívida dos três níveis do setor público junto aos bancos privados estrangeiros que não se interessaram em participar do referido acordo. </t>
  </si>
  <si>
    <t>Registra o valor total da arrecadação de receita proveniente da execução de garantia de operações de crédito.</t>
  </si>
  <si>
    <t>Registra o valor da arrecadação de receita proveniente da execução de garantia de operações de crédito internas.</t>
  </si>
  <si>
    <t>Registra o valor da arrecadação de receita proveniente da execução de garantia de operações de crédito externas.</t>
  </si>
  <si>
    <t xml:space="preserve">Registra o valor total da arrecadação das receitas provenientes da amortização de empréstimos aos Estados e Municípios. </t>
  </si>
  <si>
    <t>Registra o valor total da receita auferida com a amortização, financiamento e refinanciamento de empréstimos.</t>
  </si>
  <si>
    <t>Registra o valor das receita provenientes de retornos das operações de crédito; os valores provenientes da venda dos produtos agropecuários adquiridos; os recursos oriundos de outras fontes internas e externas que se destinem ao financiamento de tais operações; os rendimentos das operações de empréstimos; o resultado financeiro de exercício anterior; os ressarcimentos dos subsídios diretos ou indiretos concedidos na realização dessas operações; o ressarcimento das despesas relativas a comissões, taxas, armazenamento e remoção de produtos agropecuários adquiridos. Esses recursos destinam-se, no âmbito das operações oficiais de crédito, às despesas relacionadas com o financiamento de programas de custeio e ao investimento agropecuário e de investimento agroindustrial; à aquisição e ao financiamento da comercialização de produtos agrícolas; ao financiamento para a formação de estoques reguladores de produtos agropecuários e ao financiamento de exportações.</t>
  </si>
  <si>
    <t>Registra o valor total da receita proveniente de pagamento de parcelas de outros empréstimos, financiamentos e refinanciamentos que não se enquadram nos itens anteriores.</t>
  </si>
  <si>
    <t>Registra o valor dos recursos recebidos como amortização de empréstimos em títulos.</t>
  </si>
  <si>
    <t>Registra o valor total da receita decorrente de amortização em contratos de financiamento celebrados entre a União e as unidades da federação, ou entre os entes da federação, estando a União autorizada a receber bens, direitos e ações. Os Estados poderão utilizar os créditos não repassados pela União, relativos à atualização monetária do IPI -Exportação.</t>
  </si>
  <si>
    <t>Registra o valor total da receita proveniente de retornos de refinanciamentos da dívida interna de Estados, do Distrito Federal e de Municípios, bem como de suas autarquias, fundações públicas e empresas nas quais detenham, direta ou indiretamente, o controle acionário. Esses recursos serão destinados, exclusivamente, ao pagamento de amortizações, juros e encargos da dívida assumida pela União na forma da Lei nº 8.388, de 30 de dezembro de 1991. Retornos de refinanciamentos da dívida externa do setor público brasileiro, na forma estabelecida pela Resolução nº 20, de 20 de junho de 1991, do Senado Federal. Serão aplicados, exclusivamente, nos pagamentos de amortizações e encargos resultantes de operações de crédito externas contraídas pela União para atender esses refinanciamentos. Em ambos os casos, os recursos depositados junto ao Banco Central do Brasil, para pagamento dessas dívidas, foram transferidos para o Tesouro Nacional e utilizados na amortização da dívida pública federal interna.</t>
  </si>
  <si>
    <t>Registra o valor total receita decorrente de amortização de bens.</t>
  </si>
  <si>
    <t>Registra o valor total receita decorrente de amortização de projetos.</t>
  </si>
  <si>
    <t>Registra o valor da receita proveniente de amortização de financiamento do Fundo de Financiamento ao Estudante do Ensino Superior.</t>
  </si>
  <si>
    <t>Registra o valor da receita decorrente de amortização de financiamentos à estocagem de álcool etílico combustível.</t>
  </si>
  <si>
    <t xml:space="preserve">Registra o valor total das transferências de capital para outra esfera de governo (intergovernamentais), instituições privadas, exterior e/ou pessoas, tendo por finalidade concorrer para a formação de um bem de capital, estando vinculadas à constituição ou aquisição do mesmo. </t>
  </si>
  <si>
    <t>Registra o valor total das receitas recebidas por meio de transferências de capital da União recebidas pelas entidades da administração Federal, Estadual, do Distrito Federal e Municipal inclusive suas fundações instituídas pelo poder público.</t>
  </si>
  <si>
    <t>Registra o valor das transferências de capital da União recebidas pelos Estados, Distrito Federal e Municípios, referentes ao Sistema Único de Saúde – SUS, oriundas do Fundo Nacional de Saúde.</t>
  </si>
  <si>
    <t>Registra o valor das transferências de capital da União recebidas pelos Estados, Distrito Federal e Municípios, referentes a programas de educação.</t>
  </si>
  <si>
    <t>Registra o valor das transferências de capital da União recebidas pelos consórcios públicos, mediante contrato ou outro instrumento.</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</si>
  <si>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</si>
  <si>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 xml:space="preserve">Registra o valor total dos recursos recebidos pelas demais esferas de governo e respectivas entidades da administração descentralizada, transferidos pelos Estados. </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</si>
  <si>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</si>
  <si>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</si>
  <si>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Registra o valor das transferências de capital dos Estados recebidas pelos consórcios públicos, mediante contrato ou outro instrumento.</t>
  </si>
  <si>
    <t>Registra o valor total das receitas para atender suas necessidades de identificação. As demais esferas de governo poderão desdobrar este item, discriminando os recursos transferidos pelos Estados que não estejam especificados.</t>
  </si>
  <si>
    <t>Registra o valor total dos recursos recebidos pelas demais esferas de governo e de suas entidades da administração descentralizada, transferidos pelos Municípios.</t>
  </si>
  <si>
    <t>Registra o valor total dos recursos recebidos pelas demais esferas de governo e de suas entidades da administração descentralizada, destinados a programas de saúde, transferidos pelos Municípios.</t>
  </si>
  <si>
    <t>Registra o valor total dos recursos recebidos pelas demais esferas de governo e de suas entidades da administração descentralizada, destinados a programas de educação, transferidos pelos Municípios.</t>
  </si>
  <si>
    <t>Registra o valor das transferências de capital dos Municípios recebidas pelos consórcios públicos, mediante contrato ou outro instrumento.</t>
  </si>
  <si>
    <t>Registra o valor total de outros recursos recebidos pelas demais esferas de governo e de suas entidades da administração descentralizada, transferidos pelos Municípios, não previstos nos itens anteriores.</t>
  </si>
  <si>
    <t>Registra o valor total das receitas recebidas por meio de transferências de instituições privadas que identificam recursos de incentivos fiscais tais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</si>
  <si>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Registra o valor total dos recursos recebidos de organismos e fundos internacionais, de governos estrangeiros e instituições privadas internacionais.</t>
  </si>
  <si>
    <t>Registra o valor total das receitas recebidas por meio de transferências de pessoas físicas referentes a doações a governos e entidades da administração descentralizada.</t>
  </si>
  <si>
    <t>Registra o valor total das receitas recebidas por meio de transferências de outras instituições públicas.</t>
  </si>
  <si>
    <t>Registra o valor total dos recursos oriundos de convênios firmados, com ou sem contraprestações de serviços, por entidades públicas de qualquer espécie, ou entre estas e organizações particulares, para a realização de objetivos de interesse comum dos partícipes, destinados a custear despesas de capital.</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</si>
  <si>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</si>
  <si>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Registra o valor dos recursos oriundos de convênios firmados com a saúde, para a realização de objetivos de interesse comum dos partícipes, e destinados a custear despesas de capital.</t>
  </si>
  <si>
    <t>Registra o valor dos recursos oriundos de convênios firmados com a União, destinados a programas de educação, para a realização de objetivos de interesse comum dos partícipes, e destinados a custear despesas de capital.</t>
  </si>
  <si>
    <t>Registra o valor dos recursos oriundos de convênios firmados com a União, destinados a programas de saneamento básico, para a realização de objetivos de interesse comum dos partícipes, e destinados a custear despesas de capital.</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</si>
  <si>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</si>
  <si>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</si>
  <si>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Registra o valor dos recursos oriundos de outros convênios firmados com a União, para a realização de objetivos de interesse comum dos partícipes, e destinados a custear despesas de capital, não previstos nos itens anteriores.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</si>
  <si>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</si>
  <si>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Registra o valor dos recursos oriundos de convênios firmados com os Estados, destinados ao Sistema Único de Saúde, para a realização de objetivos de interesse comum dos partícipes, e destinados a custear despesas de capital.</t>
  </si>
  <si>
    <t>Registra o valor dos recursos oriundos de convênios firmados com os Estados, destinados a programas de educação, para a realização de objetivos de interesse comum dos partícipes, e destinados a custear despesas de capital.</t>
  </si>
  <si>
    <t>Registrar o valor dos recursos oriundos de convênios firmados com os Estados, destinados a programas de saneamento básico, para a realização de objetivos de interesse comum dos partícipes, e destinados a custear despesas de capital.</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</si>
  <si>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</si>
  <si>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</si>
  <si>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Registra o valor dos recursos oriundos de outros convênios dos Estados, para a realização de objetivos de interesse comum dos partícipes, e destinados a custear despesas de capital, não previstos nos itens anteriores.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</si>
  <si>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</si>
  <si>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Registra o valor dos recursos oriundos de convênios firmados com os Municípios, destinados a programas de saúde,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</si>
  <si>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</si>
  <si>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</si>
  <si>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Registra o valor total dos recursos oriundos de convênios firmados, com ou sem contraprestações de serviços, com instituições privadas, para a realização de objetivos de interesse comum dos partícipes, destinados a custear despesas de capital.</t>
  </si>
  <si>
    <t>Registra o valor total das receitas recebidas por meio de transferências de capital para o combate à fome.</t>
  </si>
  <si>
    <t>Registra o valor total das receitas recebidas por meio de transferências de capital provenientes do exterior para o combate à fome.</t>
  </si>
  <si>
    <t>Registra o valor total das receitas recebidas por meio de transferências de capital provenientes de pessoas jurídicas para o combate à fome.</t>
  </si>
  <si>
    <t>Registra o valor total das receitas recebidas por meio de transferências de capital provenientes de pessoas físicas para o combate à fome.</t>
  </si>
  <si>
    <t>Registra o valor total das receitas recebidas por meio de transferências de capital provenientes de depósitos não identificados destinados ao combate à fome.</t>
  </si>
  <si>
    <t xml:space="preserve">Registra o valor total arrecadado com outras receitas vinculadas ao acréscimo patrimonial da unidade. </t>
  </si>
  <si>
    <t>Registra o valor total dos recursos recebidos pelas empresas públicas, ou sociedades de economia mista, como participação em seu capital social.</t>
  </si>
  <si>
    <t>Registra o valor da arrecadação de receita da integralização de recursos do Tesouro recebidos pelas empresas públicas ou sociedades de economia mista, como participação em seu capital social.</t>
  </si>
  <si>
    <t>Registra o valor da arrecadação de receita de integralização de recursos de outras fontes recebidos pelas empresas públicas ou sociedades de economia mista, como participação em seu capital social.</t>
  </si>
  <si>
    <t>Registra o valor da receita com os resultados positivos do Banco Central do Brasil operados em seus balanços semestrais. Os recursos destinam-se à amortização da dívida pública federal.</t>
  </si>
  <si>
    <t>Registra as receitas decorrentes do resultado positivo apurado no balanço semestral do Banco Central do Brasil, decorrente das operações com Reservas e Derivativos Cambiais, após computadas eventuais constituições ou reversões de reservas.</t>
  </si>
  <si>
    <t>Registra as receitas decorrentes do resultado positivo apurado no balanço semestral do Banco Central do Brasil, decorrente das demais operações.</t>
  </si>
  <si>
    <t>Registra o valor da remuneração do saldo diário dos depósitos da União existentes no Banco Central, Banco do Brasil e Caixa Econômica Federal pela Taxa Referencial – TR.</t>
  </si>
  <si>
    <t>Registra o valor da arrecadação com receita da dívida ativa proveniente de amortização de empréstimos e financiamentos.</t>
  </si>
  <si>
    <t>Inscrição em dívida ativa das receitas decorrentes da alienação de estoques de café.</t>
  </si>
  <si>
    <t>Registra o valor correspondente ao principal das receitas auferidas por detentores de títulos do Tesouro Nacional resgatados.</t>
  </si>
  <si>
    <t>Registra o valor da arrecadação de receitas de capital que não atendam às especificações anteriores. Deve ser empregado apenas no caso de impossibilidade de utilização dos demais títulos.</t>
  </si>
  <si>
    <t xml:space="preserve">Receitas atribuídas à União, ou aos órgãos da administração indireta, provenientes de resultados nas empresas, públicas ou não, regidas pela regulamentação observada pelas sociedades anônimas. </t>
  </si>
  <si>
    <t>São receitas atribuíveis à União, provenientes da participação societária nos resultados de empresas de capital limitado.</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</si>
  <si>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</si>
  <si>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E</t>
  </si>
  <si>
    <t>Registra os valores arrecadados em razão de outorga para a exploração da infraestrutura de transporte rodoviário.</t>
  </si>
  <si>
    <t>Registra o valor das receitas provenientes do exercício de atividades que sejam afetas à exploração dos direitos de uso da imagem e de reprodução de bens do acervo patrimonial sob sua jurisdição.</t>
  </si>
  <si>
    <t>Registra o valor das receitas provenientes da cessão de uso onerosa da área afetada por empreendimento de linhas de transmissão e distribuição de energia elétrica, ou itens de infraestrutura semelhantes situadas em faixas de servidão administrativa em áreas adquiridas pelo Poder Público dentro de unidades de conservação federal de uso sustentável.</t>
  </si>
  <si>
    <t>Registra a arrecadação oriunda da compensação financeira decorrente do licenciamento ambiental de empreendimento de significativo impacto ambiental.</t>
  </si>
  <si>
    <t>I-E</t>
  </si>
  <si>
    <t>Natureza que agrega os valores de arrecadação de receitas oriundas da produção de petróleo, gás natural ou outros hidrocarbonetos fluidos, quando a lavra ocorrer sob o regime de concessão.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</si>
  <si>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</si>
  <si>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t>
  </si>
  <si>
    <t>Registra o valor da arrecadação de receitas oriundas da parcela do valor do royalty, previsto no contrato de concessão, que exceder a 5% do valor da produção de petróleo, gás natural ou outros hidrocarbonetos fluidos, quando a lavra ocorrer em terra.</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</si>
  <si>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</si>
  <si>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Registra o valor da arrecadação de receitas oriundas da parcela do valor do royalty, previsto no contrato de concessão, que representar 5% do valor da produção de petróleo, gás natural ou outros hidrocarbonetos fluidos, quando a lavra na plataforma continental, no mar territorial ou na zona econômica exclusiva.</t>
  </si>
  <si>
    <t>Registra o valor da arrecadação de receitas oriundas da parcela do valor do royalty, previsto no contrato de concessão, que representar 5% do valor da produção de petróleo, gás natural ou outros hidrocarbonetos fluidos, quando a lavra ocorrer em terra.</t>
  </si>
  <si>
    <t>Registra o valor da arrecadação da receita auferida a título de participação especial pela produção de petróleo, gás natural ou outros hidrocarbonetos fluidos, em campos explorados sob regime de concessão com contratos firmados a partir de 03/12/2012, em áreas não classificáveis como pré-sal e estratégicas.</t>
  </si>
  <si>
    <t>Receita decorrente dos direitos da União pela exploração de bens localizados em áreas sob seu domínio.</t>
  </si>
  <si>
    <t>Registra recursos decorrentes de multas e juros de mora relativos ao descumprimento de obrigações relacionadas ao recolhimento da Taxa de Fiscalização de Instalação.</t>
  </si>
  <si>
    <t>Registra recursos decorrentes de multas e juros de mora relativos ao descumprimento de obrigações relacionadas ao recolhimento da Taxa de Fiscalização de Funcionamento.</t>
  </si>
  <si>
    <t>Registra recursos decorrentes de multas e juros de mora relativos ao descumprimento de obrigações relacionadas ao recolhimento da contribuição sobre a receita operacional bruta decorrente de prestação de serviços de telecomunicações.</t>
  </si>
  <si>
    <t>Registra recursos decorrentes de multas e juros de mora relativos ao descumprimento de obrigações relacionadas ao recolhimento da Contribuição para o Fomento da Radiodifusão Pública.</t>
  </si>
  <si>
    <t>Resultado de penas pecuniárias impostas aos contribuintes pelo não-cumprimento de obrigações para com a Fazenda Pública no transcurso do prazo exigível, incidente sobre a dívida ativa da Taxa de Fiscalização de Instalação.</t>
  </si>
  <si>
    <t>Resultado de penas pecuniárias impostas aos contribuintes pelo não-cumprimento de obrigações para com a Fazenda Pública no transcurso do prazo exigível, incidente sobre a dívida ativa da Taxa de Fiscalização de Funcionamento.</t>
  </si>
  <si>
    <t>Resultado de penas pecuniárias impostas aos contribuintes pelo não-cumprimento de obrigações para com a Fazenda Pública no transcurso do prazo exigível, incidente sobre a dívida ativa das contribuições sobre os serviços de telecomunicações.</t>
  </si>
  <si>
    <t>Resultado de penas pecuniárias impostas aos contribuintes pelo não-cumprimento de obrigações para com a Fazenda Pública no transcurso do prazo exigível, incidente sobre a dívida ativa da Contribuição sobre a Receita Operacional Bruta Decorrente de Prestação de Serviços de Telecomunicações.</t>
  </si>
  <si>
    <t>Resultado de penas pecuniárias impostas aos contribuintes pelo não-cumprimento de obrigações para com a Fazenda Pública no transcurso do prazo exigível, incidente sobre a dívida ativa da Contribuição para o Fomento da Radiodifusão Pública.</t>
  </si>
  <si>
    <t>Resultado de penas pecuniárias impostas aos contribuintes pelo não-cumprimento de obrigações para com a Fazenda Pública no transcurso do prazo exigível, incidente sobre a dívida ativa da Outorga dos Serviços de Telecomunicações.</t>
  </si>
  <si>
    <t>Resultado de penas pecuniárias impostas aos contribuintes pelo não-cumprimento de obrigações para com a Fazenda Pública no transcurso do prazo exigível, incidente sobre a dívida ativa da outorga pelo Poder Público do direito de exploração de serviços públicos de telecomunicações não abrangidos pelas naturezas de receita anteriores.</t>
  </si>
  <si>
    <t>Resultado de penas pecuniárias impostas aos contribuintes pelo não-cumprimento de obrigações para com a Fazenda Pública no transcurso do prazo exigível, incidente sobre a dívida ativa da outorga para a utilização de posições orbitais.</t>
  </si>
  <si>
    <t>Resultado de penas pecuniárias impostas aos contribuintes pelo não-cumprimento de obrigações para com a Fazenda Pública no transcurso do prazo exigível, incidente sobre a dívida ativa da transferência de concessão, de permissão ou de autorização de telecomunicações ou de uso de radiofrequência.</t>
  </si>
  <si>
    <t>Resultado de penas pecuniárias impostas aos contribuintes pelo não-cumprimento de obrigações para com a Fazenda Pública no transcurso do prazo exigível, incidente sobre a dívida ativa da outorga do direito de uso de radiofrequência.</t>
  </si>
  <si>
    <t>Resultado de penas pecuniárias impostas aos contribuintes pelo não-cumprimento de obrigações para com a Fazenda Pública no transcurso do prazo exigível, incidente sobre a dívida ativa da Outorga dos Serviços de Radiodifusão Sonora e de Sons e Imagens.</t>
  </si>
  <si>
    <t>Registra recursos decorrentes de multas e juros de mora relativos ao descumprimento de obrigações relacionadas ao recolhimento das receitas de concessão e outorga na área de telecomunicações.</t>
  </si>
  <si>
    <t>Registra recursos decorrentes de multas e juros de mora relativos ao descumprimento de obrigações relacionadas ao recolhimento das multas previstas na Lei Geral das Telecomunicações.</t>
  </si>
  <si>
    <t>Registra recursos decorrentes de multas e juros de mora relativos ao descumprimento de obrigações relacionadas ao recolhimento das receitas de outorga para a utilização de posições orbitais.</t>
  </si>
  <si>
    <t xml:space="preserve">Registra recursos decorrentes de multas e juros de mora relativos ao descumprimento de obrigações relacionadas ao recolhimento das receitas de outorga para a utilização de posições orbitais. </t>
  </si>
  <si>
    <t xml:space="preserve">Registra recursos decorrentes de multas e juros de mora relativos ao descumprimento de obrigações relacionadas ao recolhimento das receitas de transferência de concessão, de permissão ou de autorização de telecomunicações ou de uso de radiofrequência. </t>
  </si>
  <si>
    <t xml:space="preserve">Registra recursos decorrentes de multas e juros de mora relativos ao descumprimento de obrigações relacionadas ao recolhimento das receitas de outorga do direito de uso de radiofrequência. </t>
  </si>
  <si>
    <t xml:space="preserve">Registra recursos decorrentes de multas e juros de mora relativos ao descumprimento de obrigações relacionadas ao recolhimento das receitas de outorga dos serviços de radiodifusão sonora e de sons e imagens. </t>
  </si>
  <si>
    <t xml:space="preserve">Registra recursos decorrentes de multas e juros de mora relativos ao descumprimento de obrigações relacionadas ao recolhimento das receitas de outorga dos serviços de telecomunicações. </t>
  </si>
  <si>
    <t>Registra os recursos provenientes do pagamento após o prazo previsto, nos casos de multas punitivas aplicadas pelo não-cumprimento nos casos previstos nos regulamentos ou nos contratos, ou pela reincidência em fatos que tenham gerado advertência.</t>
  </si>
  <si>
    <t xml:space="preserve">Registra os recursos provenientes do pagamento após o prazo previsto, nos casos de serviços de certificação e homologação dos produtos de telecomunicações. </t>
  </si>
  <si>
    <t>Registra as receitas provenientes de multas relacionadas ao atraso no envio de informações da Guia de Recolhimento do Fundo de Garantia por Tempo de Serviço e Informações à Previdência Social - GFIP.</t>
  </si>
  <si>
    <t xml:space="preserve">Registra as receitas provenientes das multas aplicadas pelo juiz ou tribunal ao litigante de má-fé nos casos em que o INSS figura como parte no processo. </t>
  </si>
  <si>
    <t xml:space="preserve">Registra as receitas provenientes de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t>
  </si>
  <si>
    <t xml:space="preserve">Registra as receitas provenientes de multas relacionadas à não comunicação, pela empresa, de ocorrência de acidente de trabalho ou morte de seus empregados. </t>
  </si>
  <si>
    <t xml:space="preserve">Registra as receitas provenientes de multas relacionadas à falta de envio, pelos titulares de Cartórios de Registro Civil de Pessoas Naturais à Previdência Social do registro dos óbitos ocorridos no mês imediatamente anterior. </t>
  </si>
  <si>
    <t xml:space="preserve">Receita decorrente da restituição ao concedente ou ao Tesouro Nacional, do saldo de recursos de convênios ou instrumentos congêneres realizados em fontes primárias de recursos, quando da conclusão, denúncia, rescisão ou extinção do convênio. </t>
  </si>
  <si>
    <t>Receita decorrente da restituição ao concedente ou ao Tesouro Nacional, do saldo de recursos de convênios ou instrumentos congêneres realizados em fontes financeiras de recursos, quando da conclusão, denúncia, rescisão ou extinção do convênio.</t>
  </si>
  <si>
    <t>Registra as receitas provenientes de restituição dos benefícios não desembolsados do Fundo de Amparo ao Trabalhador - FAT.</t>
  </si>
  <si>
    <t>Registra as receitas provenientes de restituição dos benefícios não desembolsados quando as despesas com tais benefícios forem executadas por meio da Fonte "50 - Recursos Próprios Não-Financeiros".</t>
  </si>
  <si>
    <t xml:space="preserve">Registra as receitas provenientes de restituição dos benefícios previdenciários relacionados a fraude. </t>
  </si>
  <si>
    <t xml:space="preserve">Registra as receitas provenientes de restituição dos benefícios previdenciários relacionados a erro no seu pagamento. </t>
  </si>
  <si>
    <t xml:space="preserve">Registra as receitas provenientes de restituição dos benefícios previdenciários recebidos indevidamente por beneficiário da previdência social, cujo pagamento tenha sido indevidamente efetuado pelo banco depositário das contas vinculadas. </t>
  </si>
  <si>
    <t xml:space="preserve">Registra as receitas provenientes de restituição dos benefícios previdenciários recebidos indevidamente e descontados pela empresa da remuneração dos seus empregados a seu serviço, ou do benefício dos próprios segurados, por meio de consignação em folha de pagamento dos mesmos. </t>
  </si>
  <si>
    <t xml:space="preserve">Registra as receitas provenientes de restituição dos benefícios previdenciários pagos de forma parcelada, nos termos dos artigos 154 e 244, do Decreto no 3.048, de 6 de maio de 1999. </t>
  </si>
  <si>
    <t>Registra a arrecadação de recursos primários decorrentes de restituições, ao órgão concedente, de benefícios não desembolsados em exercícios anteriores, quando financiados, na origem, por fontes de recursos diferentes de 40 - Contribuições para o Programa PIS/PASEP, 50 - Recursos Próprios Não-Financeiros, 51 - Contribuição Social Sobre o Lucro Líquido das Pessoas Jurídicas, 53 - Contribuição para o Financiamento da Seguridade Social - COFINS e 54 - Recursos do Regime Geral de Previdência Social.</t>
  </si>
  <si>
    <t>Registra as demais receitas provenientes de restituição de benefícios.</t>
  </si>
  <si>
    <t>Registra receitas provenientes de restituição dos benefícios oriundos de pagamentos de Encargos Previdenciários da União - EPU.</t>
  </si>
  <si>
    <t xml:space="preserve">Registra as demais receitas provenientes de restituição dos benefícios previdenciários. </t>
  </si>
  <si>
    <t>Registra a receita de crédito das Taxas de Fiscalização de Instalação constante no Livro de Inscrição da Dívida Ativa, assim inscrito em razão do não-pagamento da obrigação no transcurso do prazo exigível.</t>
  </si>
  <si>
    <t>Registra a receita de crédito das Taxas de Fiscalização de Funcionamento constante no Livro de Inscrição da Dívida Ativa, assim inscrito em razão do não-pagamento da obrigação no transcurso do prazo exigível.</t>
  </si>
  <si>
    <t>Registra a receita de crédito da Contribuição sobre a Receita Operacional Bruta Decorrente de Prestação de Serviços de Telecomunicações constante no Livro de Inscrição da Dívida Ativa, assim inscrito em razão do não-pagamento da obrigação no transcurso do prazo exigível.</t>
  </si>
  <si>
    <t xml:space="preserve">Registra a receita de créditos decorrentes da outorga dos serviços de telecomunicações, constantes no Livro de Inscrição da Dívida Ativa, assim inscritos em razão do não-pagamento das obrigações no transcurso do prazo exigível. </t>
  </si>
  <si>
    <t xml:space="preserve">Registra a receita de créditos decorrentes da outorga dos serviços de radiodifusão sonora e de sons e imagens, constantes no Livro de Inscrição da Dívida Ativa, assim inscritos em razão do não-pagamento das obrigações no transcurso do prazo exigível. </t>
  </si>
  <si>
    <t xml:space="preserve">Registra a receita de créditos decorrentes da outorga do direito de uso de radiofrequência, constantes no Livro de Inscrição da Dívida Ativa, assim inscritos em razão do não-pagamento das obrigações no transcurso do prazo exigível. </t>
  </si>
  <si>
    <t xml:space="preserve">Registra a receita de créditos decorrentes da transferência de concessão, de permissão ou de autorização de telecomunicações ou de uso de radiofrequência, constantes no Livro de Inscrição da Dívida Ativa, assim inscritos em razão do não-pagamento das obrigações no transcurso do prazo exigível. </t>
  </si>
  <si>
    <t xml:space="preserve">Registra a receita de créditos decorrentes da outorga para a utilização de posições orbitais, constantes no Livro de Inscrição da Dívida Ativa, assim inscritos em razão do não-pagamento das obrigações no transcurso do prazo exigível. </t>
  </si>
  <si>
    <t xml:space="preserve">Registra a receita de créditos decorrentes da outorga pelo Poder Público do direito de exploração de serviços públicos de telecomunicações não abrangidos pelas naturezas de receita anteriores, constantes no Livro de Inscrição da Dívida Ativa, assim inscritos em razão do não-pagamento das obrigações no transcurso do prazo exigível. </t>
  </si>
  <si>
    <t>Registra a receita decorrente da compensação devida pela União ao Fundo do Regime Geral da Previdência Social pela renúncia previdenciária decorrente da desoneração da folha de pagamentos.</t>
  </si>
  <si>
    <t>Receita Tributária</t>
  </si>
  <si>
    <t>Impostos</t>
  </si>
  <si>
    <t>Receita oriunda do pagamento de sentenças judiciais decorrentes do recolhimento da contribuição patronal de servidor ativo civil para o regime próprio.</t>
  </si>
  <si>
    <t>A</t>
  </si>
  <si>
    <t>Natureza que agrega os valores de arrecadação de receitas oriundas do recebimento pela União ou pelas entidades da administração indireta de dividendos, participações e juros sobre o capital próprio.</t>
  </si>
  <si>
    <t>Registra a arrecadação de recursos provenientes da Outorga do Direito de Exploração de Satélite Brasileiro.</t>
  </si>
  <si>
    <t>A-A</t>
  </si>
  <si>
    <t>Receita proveniente da utilização de áreas de domínio da União, as quais, a critério do Poder Executivo, poderão ser cedidas, gratuitamente ou em condições especiais, sob qualquer regime previsto em Lei.</t>
  </si>
  <si>
    <t>Resultado da aplicação de penas pecuniárias impostas aos contribuintes referentes às Taxas de Fiscalização das Telecomunicações.</t>
  </si>
  <si>
    <t>Registra recursos decorrentes de multas e juros de mora relativos ao descumprimento de obrigações relacionadas ao recolhimento de contribuições incidentes sobre a prestação dos serviços de telecomunicações.</t>
  </si>
  <si>
    <t>Resultado de penas pecuniárias impostas aos contribuintes pelo não-cumprimento de obrigações para com a Fazenda Pública no transcurso do prazo exigível, incidente sobre a dívida ativa das Taxas de Fiscalização das Telecomunicações.</t>
  </si>
  <si>
    <t>Resultado de penas pecuniárias impostas aos contribuintes pelo não-cumprimento de obrigações para com a Fazenda Pública no transcurso do prazo exigível, incidente sobre a dívida ativa de concessões e permissões de serviços de comunicação.</t>
  </si>
  <si>
    <t xml:space="preserve">Receita proveniente da inobservância ou descumprimento de obrigação acessória prevista na legislação previdenciária. </t>
  </si>
  <si>
    <t xml:space="preserve">Receitas advindas do pagamento de indenização ou reparação prevista na legislação de defesa dos direitos difusos, inclusive em combinação com o Código de Defesa do Consumidor e com a legislação aplicável às Agências Reguladoras, no que se refere à defesa de direitos difusos. </t>
  </si>
  <si>
    <t>Receita decorrente da restituição ao concedente ou ao Tesouro Nacional, do saldo de recursos de convênios ou instrumentos congêneres realizados em fontes primárias ou financeiras de recursos, quando da conclusão, denúncia, rescisão ou extinção do convênio.</t>
  </si>
  <si>
    <t>Registra a arrecadação de recursos decorrentes de restituições, ao órgão concedente, de benefícios que não foram desembolsados em exercícios anteriores, ou mesmo pago com erro ou fraude.</t>
  </si>
  <si>
    <t>Agrega os registros da receita de crédito das Taxas de Fiscalização das Telecomunicações constante no Livro de Inscrição da Dívida Ativa, assim inscrito em razão do não-pagamento da obrigação no transcurso do prazo exigível.</t>
  </si>
  <si>
    <t>Agrega os registros da receita de créditos decorrentes de concessões e permissões de serviços de comunicação, constantes no Livro de Inscrição da Dívida Ativa, assim inscritos em razão do não-pagamento das obrigações no transcurso do prazo exigível.</t>
  </si>
  <si>
    <t>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t>
  </si>
  <si>
    <t>Registra as receitas decorrentes dos pagamentos mensais dos royalties, em moeda nacional, a partir da data de início da produção comercial de cada campo, em montante correspondente a dez por cento da produção de petróleo ou gás natural.</t>
  </si>
  <si>
    <t xml:space="preserve">Receita auferida a título de participação especial pela produção de petróleo, gás natural ou outros hidrocarbonetos fluidos em campos explorados sob regime de concessão, em áreas não classificáveis como pré-sal e estratégicas. </t>
  </si>
  <si>
    <t xml:space="preserve">Receita auferida a título de participação especial pela produção de petróleo, gás natural ou outros hidrocarbonetos fluidos em campos explorados sob regime de concessão, em áreas do pré-sal e estratégicas nos campos que iniciaram a produção após 31/12/2009, respeitadas as condições estabelecidas pelos Decretos nº 7.403, de 23 de dezembro de 2010, e 7.657, de 23 de dezembro de 2011. </t>
  </si>
  <si>
    <t xml:space="preserve">Receita auferida a título de participação especial pela produção de petróleo, gás natural ou outros hidrocarbonetos fluidos em campos explorados sob regime de concessão, em áreas do pré-sal e estratégicas nos campos que iniciaram a produção até 31/12/2009, respeitadas as condições estabelecidas pelos Decretos nº 7.403, de 23 de dezembro de 2010, e 7.657, de 23 de dezembro de 2011. </t>
  </si>
  <si>
    <t xml:space="preserve">Registra o valor da arrecadação da receita auferida a título de participação especial pela produção de petróleo, gás natural ou outros hidrocarbonetos fluidos em campos explorados sob regime de concessão.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</si>
  <si>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não classificáveis como pré-sal e estratégicas.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</si>
  <si>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</si>
  <si>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</si>
  <si>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t>
  </si>
  <si>
    <t xml:space="preserve">Registra o valor da arrecadação de receita de contribuições econômicas dos royalties que excederem a 5% da produção de petróleo ou gás natural, quando a lavra ocorrer em terra ou em lagos, rios, ilhas fluviais e lacustres. </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</si>
  <si>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não classificáveis como pré-sal e estratégicas. </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</si>
  <si>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</si>
  <si>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 xml:space="preserve">Registra a receita auferida em função do pagamento de participação especial relativa a contratos de concessão para a exploração e produção de petróleo ou gás natural sob o regime de partilha de produção, em casos de grande volume de produção de petróleo ou de grande rentabilidade. A participação especial será aplicada sobre a receita bruta da produção, deduzidos os royalties, os investimentos na exploração, os custos operacionais, a depreciação e os tributos previstos na legislação em vigor. </t>
  </si>
  <si>
    <t xml:space="preserve">Registra os recursos decorrentes de compensação financeira pela produção de petróleo, gás natural e de outros hidrocarbonetos fluidos de que trata o § 1º do art. 20 da Constituição Federal, quando a produção ocorrer sob o regime de partilha de produção. </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</si>
  <si>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t>
  </si>
  <si>
    <t xml:space="preserve">Registra a receita decorrente do pagamento de compensação financeira (royalties) pela produção de petróleo, gás natural e outros hidrocarbonetos fluidos, sob o regime de partilha de produção, quando a lavra ocorrer na plataforma continental. </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</si>
  <si>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Esta natureza de receita registra a parcela dos royalties que excederem a 5% (cinco por cento) do valor da produção de petróleo, gás natural e outros hidrocarbonetos fluidos, sob o regime de partilha de produção, conforme o inciso I do art. 49 da Lei nº 9.478, de 6 de agosto de 1997. </t>
  </si>
  <si>
    <t xml:space="preserve">Registra a receita decorrente do pagamento de compensação financeira (royalties) pela produção de petróleo, gás natural e outros hidrocarbonetos fluidos, sob o regime de partilha de produção, quando a lavra ocorrer na plataforma continental. Esta natureza de receita registra a parcela dos royalties que excederem a 5% (cinco por cento) do valor da produção de petróleo, gás natural e outros hidrocarbonetos fluidos, sob o regime de partilha de produção, conforme o inciso II do art. 49 da Lei nº 9.478, de 6 de agosto de 1997. </t>
  </si>
  <si>
    <t>Registra o valor do imposto de renda das pessoas jurídicas de direito privado em geral e das chamadas empresas individuais, nas quais enquadram-se as firmas individuais e as pessoas físicas que exploram, com habitualidade, qualquer atividade econômica objetivando o lucro.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</si>
  <si>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Registra o valor total da arrecadação das receitas tributária, de contribuições, patrimonial, agropecuária, industrial, de serviços, as transferências correntes e outras receitas correntes.</t>
  </si>
  <si>
    <t>Registra o valor total da modalidade de tributo cuja obrigação tem por fato gerador situação independente de qualquer atividade estatal específica, relativa ao contribuinte.</t>
  </si>
  <si>
    <t>Registra o valor total da arrecadação de impostos sobre o comércio exterior que compreendem os impostos sobre a importação e exportação.</t>
  </si>
  <si>
    <t>Registra o valor total da arrecadação de imposto sobre importação, de competência da União, que incide sobre a importação de produtos estrangeiros e tem como fato gerador a entrada desses produtos no território nacional, por qualquer via de acesso.</t>
  </si>
  <si>
    <t>Registra o valor da arrecadação de imposto sobre importação, de competência da União, que incide sobre a importação de produtos estrangeiros e tem como fato gerador a entrada desses produtos no território nacional, por qualquer via de acesso.</t>
  </si>
  <si>
    <t>Registra o valor decorrente de parcelamentos do Imposto sobre a Importação no âmbito do Programa de Recuperação Fiscal - REFIS e do Programa Especial de Parcelamento de Débito – PAES, criados respectivamente por meio das leis nº 9.964/2000 e 10.684/2003.</t>
  </si>
  <si>
    <t>Registra o valor total da arrecadação de imposto sobre a exportação, de competência da União, que incide sobre a exportação, para o estrangeiro, de produtos nacionais ou nacionalizados, e tem como fato gerador a saída desses produtos do território nacional.</t>
  </si>
  <si>
    <t>Registra o valor total da arrecadação de imposto sobre a propriedade territorial rural, de competência da União. Tem como fato gerador a propriedade, o domínio útil ou a posse de imóvel por natureza, como  definido na lei civil, localizado fora da zona urbana do município.</t>
  </si>
  <si>
    <t>Registra o valor total da receita arrecadada do imposto sobre a propriedade territorial rural - municípios conveniados.</t>
  </si>
  <si>
    <t xml:space="preserve">Registra o valor total da receita arrecadada do imposto sobre a propriedade territorial rural - municípios não-conveniados.  </t>
  </si>
  <si>
    <t xml:space="preserve">Registra o valor da arrecadação de receitas provenientes da venda de produtos agropecuários adquiridos à conta do Programa de aquisição de alimentos - PAA. </t>
  </si>
  <si>
    <t xml:space="preserve">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 </t>
  </si>
  <si>
    <t>Registra o valor da arrecadação de receita de participação do Seguro Obrigatório de Danos Pessoais Causados por Veículos Automotores de Via Terrestre - DPVAT -,pela rede bancária e repassados diretamente e sem qualquer retenção.</t>
  </si>
  <si>
    <t>Registra a receita de crédito Contribuição para o Fomento da Radiodifusão Pública constante no Livro de Inscrição da Dívida Ativa, assim inscrito em razão do não-pagamento da obrigação no transcurso do prazo exigível.</t>
  </si>
  <si>
    <t>Registra o valor da arrecadação de receita proveniente de multas punitivas aplicadas pelo não cumprimento nos casos previstos nos regulamentos ou nos contratos, ou pela reincidência em fatos que tenham gerado advertência.</t>
  </si>
  <si>
    <t>Registra o valor da arrecadação de receita de multas e juros de mora incidentes sobre a dívida ativa do Imposto sobre a Renda das Pessoas Físicas.</t>
  </si>
  <si>
    <t>Registra o valor da arrecadação de receita de multas e juros de mora incidentes sobre a dívida ativa do Imposto sobre a Renda das Pessoas Jurídicas.</t>
  </si>
  <si>
    <t>Registra o valor da arrecadação de receita de multas e juros de mora incidentes sobre a dívida ativa do Imposto sobre a Renda Retidos nas Fontes.</t>
  </si>
  <si>
    <t>Registra o valor decorrente de parcelamentos de Multas e Juros de Mora da Dívida Ativa do Imposto sobre a Renda das Pessoas Jurídicas, no âmbito do Programa de Recuperação Fiscal - REFIS e do Programa Especial de Parcelamento de Débito - PAES, criados respectivamente por meio das Leis nos 9.964/2000 e 10.684/2003.</t>
  </si>
  <si>
    <t>Registra o valor decorrente de parcelamentos de Multas e Juros de Mora da Dívida Ativa do Imposto sobre a Renda Retido na Fonte, no âmbito do Programa de Recuperação Fiscal - REFIS e do Programa Especial de Parcelamento de Débito - PAES, criados respectivamente por meio das Leis nos 9.964/2000 e 10.684/2003.</t>
  </si>
  <si>
    <t>Registra o valor decorrente de parcelamentos de Multas e Juros de Mora da Dívida Ativa do Imposto sobre a Renda das Pessoas Físicas, no âmbito do Programa de Recuperação Fiscal - REFIS e do Programa Especial de Parcelamento de Débito - PAES, criados respectivamente por meio das Leis nos 9.964/2000 e 10.684/2003.</t>
  </si>
  <si>
    <t>Registra o valor da receita com penalidades pecuniárias incidentes sobre a Contribuição sobre Apostas em Competições Hípicas não recolhidas até a data estabelecida.</t>
  </si>
  <si>
    <t>Registra o valor total das receitas que identificam recursos de incentivos fiscais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</si>
  <si>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Registra o valor das receitas de Serviços de Consultoria, Assistência Técnica e Análise de Projetos - Aplicações Vinculadas.</t>
  </si>
  <si>
    <t>Registra o valor das receitas de Serviços de Consultoria, Assistência Técnica e Análise de Projetos - Aplicações Livres.</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</si>
  <si>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em terra, sob o regime de concessão, considerados apenas os contratos firmados antes de 03/12/2012. </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</si>
  <si>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fora das áreas do pré-sal e estratégicas, considerados apenas os contratos firmados antes de 03/12/2012.</t>
  </si>
  <si>
    <t xml:space="preserve">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na plataforma continental, no mar territorial ou na zona econômica exclusiva, fora das áreas do pré-sal* e estratégicas, considerados apenas os contratos firmados antes de 03/12/2012. </t>
  </si>
  <si>
    <t>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em terra (ou em lagos, rios ilhas fluviais e lacustres), fora das áreas do pré-sal* e estratégicas, considerados apenas os contratos firmados antes de 03/12/2012.</t>
  </si>
  <si>
    <t>Receita auferida a título de participação especial pela produção de petróleo, gás natural ou outros hidrocarbonetos fluidos em campos explorados sob regime de concessão, fora das áreas do pré-sal e estratégicas, considerados apenas os contratos firmados antes de 03/12/2012.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</si>
  <si>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</si>
  <si>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</si>
  <si>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Natureza que agrega os valores de arrecadação de receitas oriundas da parcela do valor dos royalties da produção de petróleo, gás natural ou outros hidrocarbonetos fluidos,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</si>
  <si>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Registra o valor da arrecadação da parcela do valor dos royalties oriundos da produção de petróleo, gás natural ou outros hidrocarbonetos fluidos na plataforma continental, no mar territorial ou na zona econômica exclusiva,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</si>
  <si>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Registra o valor da arrecadação da parcela do valor dos royalties oriundos da produção de petróleo, gás natural ou outros hidrocarbonetos fluidos em terra ou em lagos, rios, ilhas fluviais e lacustres,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</si>
  <si>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Natureza que agrega os valores de arrecadação de receitas oriundas do valor dos royalties da produção de petróleo, gás natural ou outros hidrocarbonetos fluidos,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</si>
  <si>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Registra o valor da arrecadação da parcela do valor dos royalties oriundos da produção de petróleo, gás natural ou outros hidrocarbonetos fluidos na plataforma continental, no mar territorial ou na zona econômica exclusiva,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</si>
  <si>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Registra o valor da arrecadação da parcela do valor dos royalties oriundos da produção de petróleo, gás natural ou outros hidrocarbonetos fluidos em terra ou em lagos, rios, ilhas fluviais e lacustres,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</si>
  <si>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Natureza que agrega os valores de arrecadação de receitas oriundas da produção de petróleo, gás natural ou outros hidrocarbonetos fluidos, em áreas do pré-sal e estratégicas, quando a lavra ocorrer sob o regime de partilha de produção, conforme determina o art. 3o da Lei nº 12.351, de 22 de dezembro de 2010, alterada pela Lei nº 12.734, de 30 de novembro de 2012, e pela Medida Provisória nº 592, de 03/12/2012.</t>
  </si>
  <si>
    <t>Natureza que agrega os valores de arrecadação de receitas oriundas dos royalties da produção de petróleo, gás natural ou outros hidrocarbonetos fluidos em terra ou na plataforma continental, no mar territorial ou na zona econômica exclusiva, em áreas do pré-sal e estratégicas, quando a lavra ocorrer sob o regime de partilha de produção, conforme determina o artigo 3º combinado com os artigos 42, inciso I e 42-A da Lei nº 12.351, de 22 de dezembro de 2010, alterada pela Lei nº 12.734, de 30 de novembro de 2012, e pela Medida Provisória nº 592, de 03/12/2012.</t>
  </si>
  <si>
    <t>Registra o valor da arrecadação da parcela do valor dos royalties oriundos da produção de petróleo, gás natural ou outros hidrocarbonetos fluidos na plataforma continental, no mar territorial ou na zona econômica exclusiva, quando a lavra ocorrer sob o regime de partilha de produção, em áreas do pré-sal e estratégicas, conforme determina o artigo 3o combinado com os artigos 42, inciso I, 42-A e 42-B, inciso II da Lei nº 12.351, de 22 de dezembro de 2010, alterada pela Lei nº 12.734, de 30 de novembro de 2012, e pela Medida Provisória nº 592, de 03/12/2012.</t>
  </si>
  <si>
    <t>Registra o valor da arrecadação da parcela do valor dos royalties oriundos da produção de petróleo, gás natural ou outros hidrocarbonetos fluidos em terra ou em lagos, rios, ilhas fluviais e lacustres, quando a lavra ocorrer sob o regime de partilha de produção, em áreas do pré-sal e estratégicas, conforme determina o artigo 3o combinado com os artigos 42, inciso I, 42-A e 42-B, inciso I, da Lei nº 12.351, de 22 de dezembro de 2010, alterada pela Lei nº 12.734, de 30 de novembro de 2012, e pela Medida Provisória nº 592, de 03/12/2012.</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</si>
  <si>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</si>
  <si>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</si>
  <si>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</si>
  <si>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Lei nº 4.320, de 17 de março de 1964, § 1o do art. 11, com redação dada pelo Decreto-Lei nº 1.939, de 20 de maio de 1982.</t>
  </si>
  <si>
    <t>Lei nº 4.320, de 17 de março de 1964, § 4o do art. 11, com redação dada pelo Decreto-Lei nº 1.939, de 20 de maio de 1982.</t>
  </si>
  <si>
    <t>Constituição Federal, art. 153; e
Lei nº 5.172, de 25 de outubro de 1966 (CTN), art. 16.</t>
  </si>
  <si>
    <t xml:space="preserve">Constituição Federal, art. 153, I; 
Lei nº 5.172, de 25 de outubro de 1966 (CTN), art. 19 a 22.
</t>
  </si>
  <si>
    <t xml:space="preserve">Lei nº 9.964, de 11 de abril de 2000;
Medida Provisória no 2.158-35, de 24 de agosto de 2001; e
Lei nº 10.684, de 30 de maio de 2003.
</t>
  </si>
  <si>
    <t xml:space="preserve">Constituição Federal, art. 153, II; e
Lei nº 5.172, de 25 de outubro de 1966 (CTN), art. 23 a 28. Vale lembrar que parte do art. 26 (alteração da base de cálculo) não foi recepcionada pela atual Constituição.
</t>
  </si>
  <si>
    <t>Constituição Federal, art. 153, VI e § 4o, III;
Lei nº 5.172, de 25 de outubro de 1966 (CTN), art. 29 a 31;
Emenda Constitucional no 42, de 19 de dezembro de 2003;
Lei nº 9.393, de 19 de dezembro de 1996; e
Lei nº 11.250, de 27 de dezembro de 2005.</t>
  </si>
  <si>
    <t>Constituição Federal, art. 153, VI e § 4o, III;
Lei nº 5.172, de 25 de outubro de 1966 (CTN), art. 29 a 31;
Emenda Constitucional no 42, de 19 de dezembro de 2003;
Lei nº 9.393, de 19 de dezembro de 1996; e
Lei nº 11.250, de 27 de dezembro de 2005, Art. 1º.</t>
  </si>
  <si>
    <t xml:space="preserve">Registra o valor total da receita proveniente da apreciação de atos e contratos. Amparo legal: Lei nº 9.781, de 19/01/99 (art. 5º, Inciso I); Lei nº 10.149, de 21/12/00 (art. 3º).                                    </t>
  </si>
  <si>
    <t xml:space="preserve">Registra o valor total da receita decorrente de consultas ao CADE. Amparo legal: Lei nº 9.781, de 19 de janeiro de 1999 (art. 5o, inciso II).                                                           </t>
  </si>
  <si>
    <t>Registra o valor da arrecadação de receita oriunda da participação dos Entes, suas autarquias e fundações públicas para o custeio do Plano de Seguridade Social do Servidor, conforme disposto na Lei nº 10.887, de 18 de junho de 2004.</t>
  </si>
  <si>
    <t>Registra os recursos decorrentes do pagamento de bônus de assinatura dos contratos relativos às áreas do pré-sal e estratégicas. Segundo o inciso XII do art. 2o da Lei nº 12.351, de 22 de dezembro de 2010, o bônus de assinatura corresponde a um valor fixo que o contratado pagará à União no ato da celebração e nos termos do respectivo contrato de partilha de produção.</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</si>
  <si>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</si>
  <si>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Natureza que agrega os valores de arrecadação de receitas oriundas da produção de petróleo, gás natural ou outros hidrocarbonetos fluidos quando a lavra ocorrer sob o regime de concessão, considerados apenas os contratos firmados antes de 03/12/2012, conforme artigos 48, 49 e 50 da Lei nº 9.478, de 6 de agosto de 1997, modificada pela Lei nº 12.734 de 30 de novembro de 2012.</t>
  </si>
  <si>
    <t>Natureza que agrega os valores de arrecadação de receitas oriundas da produção de petróleo, gás natural ou outros hidrocarbonetos fluidos, quando a lavra ocorrer no horizonte geológico denominado Pré-Sal*, em campos localizados na área definida no inciso IV do caput do art. 2o da Lei nº 12.351, de 2010, sob o regime de concessão, considerados apenas os contratos firmados antes de 03/12/2012, conforme artigos 48, 49, 50 e 50-A da Lei nº 9.478, de 6 de agosto de 1997, modificada pela Lei nº 12.734 de 30 de novembro de 2012 e pela Medida Provisória nº 592 de 03/12/2012.</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</si>
  <si>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</si>
  <si>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Registra o valor da arrecadação de receitas oriundas da parcela do valor do royalty, previsto no contrato de concessão, que representar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na plataforma continental, no mar territorial ou na zona econômica exclusiva, consoante ao art. 7o da Lei nº 7.990, de 28 de dezembro de 1989, considerados apenas os contratos firmados antes de 03/12/2012.</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</si>
  <si>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</si>
  <si>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Registra o valor da arrecadação de receitas oriundas da parcela do valor do royalty, previsto no contrato de concessão, que exceder a 5% do valor da produção de petróleo, gás natural ou outros hidrocarbonetos fluidos, quando a lavra ocorrer sob o regime de concessão na plataforma continental, conforme a Lei nº 9.478/97, art. 49, caput e inciso II,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</si>
  <si>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Natureza que agrega os valores de arrecadação de receitas oriundas da produção de petróleo, gás natural ou outros hidrocarbonetos fluidos, quando a lavra ocorrer sob o regime de concessão fora das áreas do pré-sal* e estratégicas, considerados apenas os contratos firmados antes de 03/12/2012, conforme artigos 48, 49 e 50 da Lei nº 9.478, de 6 de agosto de 1997.</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</si>
  <si>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fora das áreas do pré-sal e estratégicas, considerados apenas os contratos firmados antes de 03/12/2012.</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</si>
  <si>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sob o regime de concessão na plataforma continental, no mar territorial ou na zona econômica exclusiva, considerados apenas os contratos firmados antes de 03/12/2012. </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</si>
  <si>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</si>
  <si>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Receita auferida a título de participação especial pela produção de petróleo, gás natural ou outros hidrocarbonetos fluidos em campos explorados sob regime de concessão, quando a lavra ocorrer em terra.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</si>
  <si>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</si>
  <si>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</si>
  <si>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</si>
  <si>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</si>
  <si>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Receitas provenientes do adicional sobre as tarifas aeroportuárias referidas no art. 3o da Lei nº 6.009, de 1973, devidas pelo embarque e conexão de passageiros, pouso e permanência de aeronaves nos aeroportos, armazenagem e capatazia de mercadorias.</t>
  </si>
  <si>
    <t xml:space="preserve">Registra as receitas provenientes de restituição dos Benefícios de Prestação Continuada - BPC e de Renda Mensal Vitalícia - RMV, conforme a Lei nº 8.472, de 2007 e o Decreto no 6.214, de 2007. </t>
  </si>
  <si>
    <t xml:space="preserve">Registra o valor da receita decorrente do ressarcimento, aos tribunais, das despesas de exames técnico-periciais necessários à conciliação ou ao julgamento da causa, por pessoa habilitada, nomeada pelo juiz, quando vencida na causa a entidade pública. (art.12 da Lei nº 10.259, de 12 de julho de 2001, § 1o).                                      </t>
  </si>
  <si>
    <t>Receita decorrente do ressarcimento das despesas do porte de remessa e retorno dos autos, recolhidas mediante documento de arrecadação, de conformidade com instruções e tabela expedidas pelo Supremo Tribunal Federal e pelo Superior Tribunal de Justiça. (Lei nº 8.038, de 28 de maio  de 1990, art. 41-B; acrescido pelo art. 3o da Lei nº 9.756, de 17 de dezembro de 1998).</t>
  </si>
  <si>
    <t>1990.28.00</t>
  </si>
  <si>
    <t>Receita de Contrapartida de Subvenções ou Subsídios</t>
  </si>
  <si>
    <t>Registra a arrecadação de recursos decorrentes de contrapartida por parte de beneficiários de programas de concessão de subvenções ou subsídios.</t>
  </si>
  <si>
    <t>1922.24.00</t>
  </si>
  <si>
    <t>Restituição de Recursos de Subvenções ou Subsídios</t>
  </si>
  <si>
    <t>Registra a arrecadação de recursos de restituição de subvenções ou subsídios concedidos e posteriormente devolvidos ou restituídos, no âmbito de programas de concessão de subvenções ou subsídios, nos casos previstos em lei ou regulamento.</t>
  </si>
  <si>
    <t>1343.00.00</t>
  </si>
  <si>
    <t>1343.10.00</t>
  </si>
  <si>
    <t>1343.11.00</t>
  </si>
  <si>
    <t>1343.12.00</t>
  </si>
  <si>
    <t>1343.12.10</t>
  </si>
  <si>
    <t>1343.12.20</t>
  </si>
  <si>
    <t>1343.20.00</t>
  </si>
  <si>
    <t>1343.21.00</t>
  </si>
  <si>
    <t>1343.22.00</t>
  </si>
  <si>
    <t>1343.22.10</t>
  </si>
  <si>
    <t>1343.22.20</t>
  </si>
  <si>
    <t>Receita da Produção de Petróleo, Gás Natural e Outros Hidrocarbonetos Fluidos – Cessão Onerosa à Petrobras</t>
  </si>
  <si>
    <t>Royalties Mínimos pela Produção de Petróleo – Cessão Onerosa à Petrobras</t>
  </si>
  <si>
    <t>Royalties Mínimos pela Produção de Petróleo em Terra – Cessão Onerosa à Petrobras</t>
  </si>
  <si>
    <t>Royalties Mínimos pela Produção de Petróleo em Plataforma – Cessão Onerosa à Petrobras</t>
  </si>
  <si>
    <t>Royalties Mínimos pela Produção de Petróleo em Plataforma - Declaração de Comercialidade antes de 3/12/2012 – Cessão Onerosa à Petrobras</t>
  </si>
  <si>
    <t>Royalties Mínimos pela Produção de Petróleo em Plataforma - Declaração de Comercialidade a partir de 3/12/2012 – Cessão Onerosa à Petrobras</t>
  </si>
  <si>
    <t>Royalties Excedentes pela Produção de Petróleo – Cessão Onerosa à Petrobras</t>
  </si>
  <si>
    <t>Royalties Excedentes pela Produção de Petróleo em Terra – Cessão Onerosa à Petrobras</t>
  </si>
  <si>
    <t>Royalties Excedentes pela Produção de Petróleo em Plataforma -  Cessão Onerosa à Petrobras</t>
  </si>
  <si>
    <t>Royalties Excedentes pela Produção de Petróleo em Plataforma - Declaração de Comercialidade antes de 3/12/2012 – Cessão Onerosa à Petrobras</t>
  </si>
  <si>
    <t>Royalties Excedentes pela Produção de Petróleo em Plataforma - Declaração de Comercialidade a partir de 3/12/2012 – Cessão Onerosa à Petrobras</t>
  </si>
  <si>
    <t>Natureza que agrega os valores de arrecadação de receitas oriundas da produção de petróleo, gás natural ou outros hidrocarbonetos fluidos, relativas a contratos celebrados sob o regime de cessão onerosa à Petrobras.</t>
  </si>
  <si>
    <t>Natureza que agrega os valores de arrecadação de receitas oriundas da parcela do valor do royalty, previsto no contrato de Cessão Onerosa à Petrobras, que representar 5% do valor da produção de petróleo, gás natural ou outros hidrocarbonetos fluidos.</t>
  </si>
  <si>
    <t>Registra o valor da arrecadação de receitas oriundas da parcela do valor do royalty, previsto no contrato de cessão onerosa à Petrobras, que representar 5% do valor da produção de petróleo, gás natural ou outros hidrocarbonetos fluidos, quando a lavra ocorrer em terra ou em lagos, rios, ilhas fluviais e lacustres.</t>
  </si>
  <si>
    <t>Registra o valor da arrecadação de receitas oriundas da parcela do valor do royalty, previsto no contrato de cessão onerosa à Petrobras, que representar 5% do valor da produção de petróleo, gás natural ou outros hidrocarbonetos fluidos, quando a lavra ocorrer na plataforma continental, no mar territorial ou na zona econômica exclusiva.</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</si>
  <si>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antes de 3/12/2012.</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</si>
  <si>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 partir de 3/12/2012.</t>
  </si>
  <si>
    <t>Registra o valor da arrecadação de receitas oriundas da parcela do valor do royalty, previsto no contrato de cessão onerosa à Petrobras, que exceder a 5% do valor da produção de petróleo, gás natural ou outros hidrocarbonetos fluidos.</t>
  </si>
  <si>
    <t>Registra o valor da arrecadação de receitas oriundas da parcela do valor do royalty, previsto no contrato de cessão onerosa à Petrobras, que exceder a 5% do valor da produção de petróleo, gás natural ou outros hidrocarbonetos fluidos, quando a lavra ocorrer em terra ou em lagos, rios, ilhas fluviais e lacustres.</t>
  </si>
  <si>
    <t>Registra o valor da arrecadação de receitas oriundas da parcela do valor do royalty, previsto no contrato de cessão onerosa à Petrobras, que exceder a 5% do valor da produção de petróleo, gás natural ou outros hidrocarbonetos fluidos, quando a lavra ocorrer na plataforma continental, no mar territorial ou na zona econômica exclusiva.</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</si>
  <si>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antes de 3/12/2012.</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</si>
  <si>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</si>
  <si>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1100.00.00</t>
  </si>
  <si>
    <t>1112.00.00</t>
  </si>
  <si>
    <t>Receitas Correntes</t>
  </si>
  <si>
    <t>Cota-Parte do IPI - Municípios</t>
  </si>
  <si>
    <t>Registra o valor recebido pelo município decorrente da participação deste na Cota-Parte do Estado na arrecadação do Imposto sobre Produtos Industrializados – IPI realizada pela União.</t>
  </si>
  <si>
    <t>Transferências de Estados a Consórcios Públicos</t>
  </si>
  <si>
    <t>Transferências de Municípios a Consórcios Públicos</t>
  </si>
  <si>
    <t>Transferências da União a Consórcios Públicos</t>
  </si>
  <si>
    <t>Apenas União?</t>
  </si>
  <si>
    <t>Englobam as receitas de multas e juros de mora que não se enquadram em códigos de natureza de receita específicos.</t>
  </si>
  <si>
    <t>1918.99.01</t>
  </si>
  <si>
    <t>1918.99.02</t>
  </si>
  <si>
    <t>Outras Multas e Juros de Mora - Primárias</t>
  </si>
  <si>
    <t>Englobam as receitas primárias de multas e juros de mora que não se enquadram em códigos de natureza de receita específicos.</t>
  </si>
  <si>
    <t>Outras Multas e Juros de Mora - Financeiras</t>
  </si>
  <si>
    <t>Englobam as receitas financeiras de multas e juros de mora que não se enquadram em códigos de natureza de receita específicos.</t>
  </si>
  <si>
    <t>Registra os recursos provenientes de outras multas não listadas anteriormente, desde que sejam referentes a infrações a regulamentos específicos.</t>
  </si>
  <si>
    <t>Receita decorrente de pagamento de multas de caráter punitivo ou moratório decorrentes da inobservância de obrigações contratuais e de juros destinados à indenização pelo atraso no cumprimento de obrigações.</t>
  </si>
  <si>
    <t>Registra o ingresso de recursos recebidos a título de reparação por danos causados ao patrimônio público.</t>
  </si>
  <si>
    <t>Registra a receita decorrente de outras restituições que não sejam advindas de convênios ou de benefícios não-desembolsados pelo agente pagador.</t>
  </si>
  <si>
    <t>Englobam as demais receitas que não se enquadram nos itens anteriores.</t>
  </si>
  <si>
    <t>1990.99.01</t>
  </si>
  <si>
    <t>Outras Receitas - Primárias</t>
  </si>
  <si>
    <t>Registra a arrecadação das receitas primárias que não se enquadram nos itens anteriores.</t>
  </si>
  <si>
    <t>1990.99.02</t>
  </si>
  <si>
    <t>Outras Receitas - Financeiras</t>
  </si>
  <si>
    <t>Registra a arrecadação das receitas financeiras que não se enquadram nos itens anteriores.</t>
  </si>
  <si>
    <t>2580.00.00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</si>
  <si>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</si>
  <si>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</si>
  <si>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Entre RPPS também</t>
  </si>
  <si>
    <t>Registra a receita decorrente das Contribuições de Intervenção no Domínio Econômico.</t>
  </si>
  <si>
    <t>Observção da NUCOP</t>
  </si>
  <si>
    <t>A - Portaria SOF nº 43, de 21 MAIO 2014.</t>
  </si>
  <si>
    <t>A - Portaria SOF nº 170, de 21 DEZ 2012.</t>
  </si>
  <si>
    <t>A - Portaria SOF nº 20, de 07 MAR 2014.</t>
  </si>
  <si>
    <t>A - Portaria SOF nº 135, de 27 SET 2013.</t>
  </si>
  <si>
    <t>I - Portaria SOF nº 135, de 27 SET 2013.</t>
  </si>
  <si>
    <t>E - Portaria SOF nº 135, de 27 SET 2013.</t>
  </si>
  <si>
    <t>I - Portaria SOF nº 13, de 18 FEV 2014.</t>
  </si>
  <si>
    <t>A - Portaria SOF nº 57, de 25 JUN 2012.
A - Portaria SOF nº 13, de 18 FEV 2014.</t>
  </si>
  <si>
    <t>A - Portaria SOF nº 232, de 23 DEZ 2013.</t>
  </si>
  <si>
    <t>A - Portaria SOF nº 9, de 01 FEV 2013.</t>
  </si>
  <si>
    <t>I - Portaria SOF nº 62, de 27 JUN 2013.</t>
  </si>
  <si>
    <t>E - Portaria SOF nº 11, de 06 FEV 2013.</t>
  </si>
  <si>
    <t>I - Portaria SOF nº 197, de 29 OUT 2013.</t>
  </si>
  <si>
    <t>I - Portaria SOF nº 11, de 06 FEV 2013. 
E - Portaria SOF nº 24, de 26 MAR 2014.</t>
  </si>
  <si>
    <t>I - Portaria SOF nº 54, de 20 JUN 2014.</t>
  </si>
  <si>
    <t>I - Portaria SOF nº 149, de 08 OUT 2013.</t>
  </si>
  <si>
    <t>A - Portaria SOF nº 75, de 16 AGO 2012.</t>
  </si>
  <si>
    <t>A - Portaria SOF nº 57, de 25 JUN 2012
A - Portaria SOF nº 68, de 26 JUL 2012.</t>
  </si>
  <si>
    <t>E - Portaria SOF nº 75, de 25 AGO 2014.</t>
  </si>
  <si>
    <t>A - Portaria SOF nº 8, de 31 JAN 2014</t>
  </si>
  <si>
    <t>A - Portaria SOF nº 176, de 26 DEZ 2012.</t>
  </si>
  <si>
    <t>I - Portaria SOF nº 176, de 26 DEZ 2012.</t>
  </si>
  <si>
    <t>A - Portaria SOF nº 8, de 30 JAN 2014.</t>
  </si>
  <si>
    <t>A - Portaria SOF nº 16, de 26 FEV 2014.</t>
  </si>
  <si>
    <t>I - Portaria SOF nº 31, de 23 ABR 2013.</t>
  </si>
  <si>
    <t>A - Portaria SOF nº 8, de 31 JAN 2014.
A - Portaria SOF nº 78, de 25 AGO 2014.</t>
  </si>
  <si>
    <t>I - Portaria SOF nº 78, de 25 AGO 2014.</t>
  </si>
  <si>
    <t>A - Portaria SOF nº 75, de 25 AGO 2014.</t>
  </si>
  <si>
    <t>A - Portaria SOF nº 78, de 25 AGO 2014.</t>
  </si>
  <si>
    <t>A - Portaria SOF nº 62, de 27 JUN 2013.</t>
  </si>
  <si>
    <t>I - Portaria SOF nº 95, de 06 AGO 2013.</t>
  </si>
  <si>
    <t>I - Portaria SOF nº 43, de 21 MAIO 2014.</t>
  </si>
  <si>
    <t>I - Portaria SOF nº 71, de 30 JUL 2012.</t>
  </si>
  <si>
    <t>A - Portaria SOF nº 57, de 25 JUN 2012.
A - Portaria SOF nº 68, de 26 JUL 2012.</t>
  </si>
  <si>
    <t>A - Portaria SOF nº 122, de 12 NOV 2012.</t>
  </si>
  <si>
    <t>I - Portaria SOF nº 75, de 25 AGO 2014.</t>
  </si>
  <si>
    <t>I - Portaria SOF nº 75, de 12 JUL 2013.</t>
  </si>
  <si>
    <t>A - Portaria SOF nº 57, de 25 JUN 2012. 
A - Portaria SOF nº 95, de 06 AGO 2013.</t>
  </si>
  <si>
    <t>A - Portaria SOF nº 75, de 12 JUL 2013.</t>
  </si>
  <si>
    <t>9990.00.00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</si>
  <si>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</si>
  <si>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</si>
  <si>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I - Portaria STN/SOF nº 2, de 10 DEZ 2014.</t>
  </si>
  <si>
    <t>I - Portaria STN/SOF nº 1, de 28 MAR 2013.</t>
  </si>
  <si>
    <t>1721.01.03</t>
  </si>
  <si>
    <t>Registrar o valor total das receitas recebidas por meio de cota-parte do Fundo de Participação dos Municípios (FPM), referente à alínea “d” do inciso I do art. 159 da Constituição Federal.</t>
  </si>
  <si>
    <t>Cota-Parte do Fundo de Participação dos Municípios - Cota Mensal</t>
  </si>
  <si>
    <t>Registrar o valor total das receitas recebidas por meio de cota-parte do Fundo de Participação dos Municípios (FPM), referente à alínea “b” do inciso I do art. 159 da Constituição Federal.</t>
  </si>
  <si>
    <t>A - Portaria STN/SOF nº 2, de 10 DEZ 2014.</t>
  </si>
  <si>
    <t>1990.06.01</t>
  </si>
  <si>
    <t>1990.06.02</t>
  </si>
  <si>
    <t>Registra as receitas advindas da devolução de recursos referentes ao abatimento de Imposto de Renda concedido pela Lei Rouanet (Lei nº 8.313, de 23 de dezembro de 1991), no caso de não aplicação dos referidos recursos no desenvolvimento de projetos culturais, produção de obras audiovisuais e cinematográficas brasileiras no devido prazo legal.</t>
  </si>
  <si>
    <t>I - Portaria SOF nº 189, de 22 DEZ 2014.</t>
  </si>
  <si>
    <t>Receita Decorrente da Não Aplicação de Incentivos Fiscais Relativos à Lei Rouanet</t>
  </si>
  <si>
    <t>Receita Decorrente da Não Aplicação de Incentivos Fiscais Relativos à Lei do Audiovisual</t>
  </si>
  <si>
    <t>Registra as receitas advindas da devolução de recursos referentes ao abatimento de Imposto de Renda concedido pela Lei do Audiovisual (Lei nº 8.685, de 20 de julho de
1993), no caso de não aplicação dos referidos recursos no desenvolvimento de projetos culturais, produção de obras audiovisuais e cinematográficas brasileiras no devido prazo legal.</t>
  </si>
  <si>
    <t>A - Portaria SOF nº 189, de 22 DEZ 2014.</t>
  </si>
  <si>
    <t>1121.50.00</t>
  </si>
  <si>
    <t>Taxas pela Utilização de Selos de Controle e dos Equipamentos Contadores de Produção</t>
  </si>
  <si>
    <t>Recursos Decorrentes da Prestação de Contas eleitorais – Fontes Vedadas</t>
  </si>
  <si>
    <t>Recursos Decorrentes da Prestação de Contas Eleitorais – Fontes não Identificadas</t>
  </si>
  <si>
    <t>Registra recursos, em dinheiro ou estimáveis em dinheiro – inclusive na forma de publicidade de qualquer espécie – recebidos por partido político, comitê financeiro ou candidato, cuja origem advenha de fontes vedadas, discriminadas pelo arts. 24 da Lei nº 9.504/97 e art. 15 da Resolução TSE nº 23.217/2010, e no art. 12 da Resolução TSE nº 23.432/2014.</t>
  </si>
  <si>
    <t>Registra recursos, de origem não identificadas recebidos por partido político, comitê financeiro ou candidato, conforme art. 24 da Resolução TSE nº 23.217/2010, e no art. 13 da Resolução TSE nº 23.432/2014.</t>
  </si>
  <si>
    <t>1721.01.04</t>
  </si>
  <si>
    <t>Cota-Parte do Fundo de Participação do Municípios – 1% Cota entregue no mês de dezembro</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</si>
  <si>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</si>
  <si>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</si>
  <si>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Registra os valores arrecadados com a cobrança da taxa pela utilização de selo especial que possibilite o controle quantitativo de determinados produtos, mediante sistema de rotulagem, etiquetagem, obrigatoriedade de numeração ou aplicação do selo, bem como pela utilização de equipamentos contadores de produção, a fim de controlar, rastrear produtos, identificar a legítima origem, reprimir a produção e importação ilegais e a comercialização de contratações.</t>
  </si>
  <si>
    <t xml:space="preserve">Arts. 13, 26, parágrafo único, e 27 da Lei no 12.995, de 18 de junho de 2014; Art. 46 da Lei no 4.502, de 30 de novembro de 1964; Arts. 49, 50, 51 e 78 da Lei no 9.532, de 10 de dezembro de 1997; Art. 58-T da Lei no 10.833, de 29 de dezembro de 2003; Arts. 27 a 30 da Lei no 11.488, de 15 de junho de 2007; e Decreto no 7.212, de 15 de junho de 2010.
</t>
  </si>
  <si>
    <t>Reclassificação para 1220.03.01 como taxa pela utilização de selos de controle e de contadores de produção.</t>
  </si>
  <si>
    <t>I - Portaria STN/SOF nº 2, de 19 MAI 2015.</t>
  </si>
  <si>
    <t>E- Portaria SOF nº 7, de 12 de março de 2015</t>
  </si>
  <si>
    <t>Encargos Legais pela Inscrição em Dívida Ativa e Receitas de Ônus de Sucumbência</t>
  </si>
  <si>
    <t>Encargos Legais pela Inscrição em Dívida Ativa</t>
  </si>
  <si>
    <t>Decreto-Lei nº 1.025/1969, Decreto-Lei nº 1.437/1975 e Lei nº 7.711/1988</t>
  </si>
  <si>
    <t>Corresponde a até 20% do débito inscrito como dívida ativa, atualizado monetariamente e acrescido dos juros e multa de mora. Será de 10% no caso do débito a ser pago antes do ajuizamento da execução. No caso da União, o produto da arrecadação é recolhido ao FUNDAF, em subconta especial, destinada a atender a despesas com o Programa de Incentivo à Arrecadação da Dívida Ativa da União, a cargo da Procuradoria-Geral da Fazenda Nacional.</t>
  </si>
  <si>
    <t>A - Portaria STN/SOF nº 2, de 19 MAI 2015.</t>
  </si>
  <si>
    <t>I - Portaria SOF nº 7, de 12 de MAR 2015</t>
  </si>
  <si>
    <t>Portaria SOF nº 14, de 13 de ABR  2015</t>
  </si>
  <si>
    <t>Portaria SOF nº 14, de 13 de ABR 2015</t>
  </si>
  <si>
    <t>A - Portaria SOF nº 21, de 26 de MAI 2015</t>
  </si>
  <si>
    <t>1722.09.00</t>
  </si>
  <si>
    <t>Registra o valor decorrente de outras transferências dos Estados.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</si>
</sst>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0"/>
      <color theme="1"/>
      <name val="Calibri"/>
      <family val="2"/>
      <scheme val="minor"/>
    </font>
    <font>
      <b/>
      <sz val="9"/>
      <color indexed="81"/>
      <name val="Tahoma"/>
      <family val="2"/>
    </font>
    <font>
      <sz val="9"/>
      <color indexed="81"/>
      <name val="Tahoma"/>
      <family val="2"/>
    </font>
    <font>
      <sz val="9"/>
      <color indexed="81"/>
      <name val="Segoe UI"/>
      <family val="2"/>
    </font>
    <font>
      <b/>
      <sz val="9"/>
      <color indexed="81"/>
      <name val="Segoe UI"/>
      <family val="2"/>
    </font>
    <font>
      <sz val="10"/>
      <color rgb="FF000000"/>
      <name val="Calibri"/>
      <family val="2"/>
      <scheme val="minor"/>
    </font>
    <font>
      <b/>
      <sz val="10"/>
      <name val="Calibri"/>
      <family val="2"/>
      <scheme val="minor"/>
    </font>
    <font>
      <sz val="10"/>
      <color rgb="FFFF0000"/>
      <name val="Calibri"/>
      <family val="2"/>
      <scheme val="minor"/>
    </font>
    <font>
      <strike/>
      <sz val="10"/>
      <color theme="1"/>
      <name val="Calibri"/>
      <family val="2"/>
      <scheme val="minor"/>
    </font>
    <font>
      <strike/>
      <sz val="10"/>
      <color rgb="FFFF0000"/>
      <name val="Calibri"/>
      <family val="2"/>
      <scheme val="minor"/>
    </font>
    <font>
      <strike/>
      <sz val="10"/>
      <color rgb="FF000000"/>
      <name val="Calibri"/>
      <family val="2"/>
      <scheme val="minor"/>
    </font>
    <font>
      <strike/>
      <sz val="10"/>
      <name val="Calibri"/>
      <family val="2"/>
      <scheme val="minor"/>
    </font>
  </fonts>
  <fills count="9">
    <fill>
      <patternFill patternType="none"/>
    </fill>
    <fill>
      <patternFill patternType="gray125"/>
    </fill>
    <fill>
      <patternFill patternType="solid">
        <fgColor rgb="FFE5B8B7"/>
        <bgColor indexed="64"/>
      </patternFill>
    </fill>
    <fill>
      <patternFill patternType="solid">
        <fgColor rgb="FF7F7F7F"/>
        <bgColor indexed="64"/>
      </patternFill>
    </fill>
    <fill>
      <patternFill patternType="solid">
        <fgColor rgb="FFD6E3BC"/>
        <bgColor indexed="64"/>
      </patternFill>
    </fill>
    <fill>
      <patternFill patternType="solid">
        <fgColor rgb="FFC6D9F1"/>
        <bgColor indexed="64"/>
      </patternFill>
    </fill>
    <fill>
      <patternFill patternType="solid">
        <fgColor rgb="FFFDE9D9"/>
        <bgColor indexed="64"/>
      </patternFill>
    </fill>
    <fill>
      <patternFill patternType="solid">
        <fgColor rgb="FFDDD9C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0" fillId="0" borderId="0" xfId="0" applyAlignment="1">
      <alignment horizontal="center" vertical="center"/>
    </xf>
    <xf numFmtId="0" fontId="0" fillId="0" borderId="0" xfId="0"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Border="1" applyAlignment="1">
      <alignment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textRotation="90" wrapText="1"/>
    </xf>
    <xf numFmtId="0" fontId="6"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0" fillId="0" borderId="0" xfId="0" applyAlignment="1">
      <alignment horizontal="left" wrapText="1"/>
    </xf>
    <xf numFmtId="0" fontId="0" fillId="0" borderId="0" xfId="0" applyAlignment="1">
      <alignment horizontal="left"/>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0" fillId="0" borderId="0" xfId="0" applyAlignment="1">
      <alignment horizontal="center"/>
    </xf>
    <xf numFmtId="0" fontId="8" fillId="0" borderId="0" xfId="0" applyFont="1"/>
    <xf numFmtId="0" fontId="9" fillId="7"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8" borderId="1" xfId="0" applyFont="1" applyFill="1" applyBorder="1" applyAlignment="1">
      <alignment horizontal="center" vertical="center" wrapText="1"/>
    </xf>
    <xf numFmtId="0" fontId="0" fillId="0" borderId="0" xfId="0" applyFont="1"/>
    <xf numFmtId="0" fontId="10"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0" fillId="8" borderId="0" xfId="0" applyFill="1"/>
    <xf numFmtId="0" fontId="12" fillId="7"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423"/>
  <sheetViews>
    <sheetView tabSelected="1" zoomScale="115" zoomScaleNormal="115" workbookViewId="0">
      <pane ySplit="1" topLeftCell="A1226" activePane="bottomLeft" state="frozen"/>
      <selection pane="bottomLeft" activeCell="O3" sqref="O3"/>
    </sheetView>
  </sheetViews>
  <sheetFormatPr defaultRowHeight="15" x14ac:dyDescent="0.25"/>
  <cols>
    <col min="1" max="4" width="4.28515625" customWidth="1"/>
    <col min="5" max="5" width="4.28515625" style="23" customWidth="1"/>
    <col min="6" max="6" width="4.28515625" customWidth="1"/>
    <col min="7" max="7" width="10.85546875" style="1" bestFit="1" customWidth="1"/>
    <col min="8" max="8" width="35.5703125" style="2" customWidth="1"/>
    <col min="9" max="9" width="131" style="17" customWidth="1"/>
    <col min="10" max="10" width="15" customWidth="1"/>
    <col min="11" max="11" width="12" customWidth="1"/>
    <col min="12" max="12" width="38.28515625" customWidth="1"/>
    <col min="13" max="13" width="99.85546875" style="18" customWidth="1"/>
  </cols>
  <sheetData>
    <row r="1" spans="1:13" ht="66" x14ac:dyDescent="0.25">
      <c r="A1" s="9" t="s">
        <v>11</v>
      </c>
      <c r="B1" s="9" t="s">
        <v>0</v>
      </c>
      <c r="C1" s="9" t="s">
        <v>1</v>
      </c>
      <c r="D1" s="9" t="s">
        <v>2</v>
      </c>
      <c r="E1" s="9" t="s">
        <v>3</v>
      </c>
      <c r="F1" s="9" t="s">
        <v>4</v>
      </c>
      <c r="G1" s="8" t="s">
        <v>7</v>
      </c>
      <c r="H1" s="8" t="s">
        <v>5</v>
      </c>
      <c r="I1" s="8" t="s">
        <v>6</v>
      </c>
      <c r="J1" s="8" t="s">
        <v>8</v>
      </c>
      <c r="K1" s="8" t="s">
        <v>9</v>
      </c>
      <c r="L1" s="8" t="s">
        <v>47</v>
      </c>
      <c r="M1" s="8" t="s">
        <v>10</v>
      </c>
    </row>
    <row r="2" spans="1:13" s="5" customFormat="1" ht="12.75" x14ac:dyDescent="0.2">
      <c r="A2" s="3"/>
      <c r="B2" s="3"/>
      <c r="C2" s="3"/>
      <c r="D2" s="3"/>
      <c r="E2" s="3"/>
      <c r="F2" s="3"/>
      <c r="G2" s="3"/>
      <c r="H2" s="4"/>
      <c r="I2" s="11"/>
      <c r="J2" s="3" t="s">
        <v>48</v>
      </c>
      <c r="K2" s="3" t="s">
        <v>12</v>
      </c>
      <c r="L2" s="3"/>
      <c r="M2" s="11"/>
    </row>
    <row r="3" spans="1:13" s="5" customFormat="1" ht="25.5" x14ac:dyDescent="0.2">
      <c r="A3" s="6" t="str">
        <f>MID(G3,1,1)</f>
        <v>1</v>
      </c>
      <c r="B3" s="6" t="str">
        <f>MID(G3,2,1)</f>
        <v>0</v>
      </c>
      <c r="C3" s="6" t="str">
        <f>MID(G3,3,1)</f>
        <v>0</v>
      </c>
      <c r="D3" s="6" t="str">
        <f>MID(G3,4,1)</f>
        <v>0</v>
      </c>
      <c r="E3" s="6" t="str">
        <f>MID(G3,6,2)</f>
        <v>00</v>
      </c>
      <c r="F3" s="6" t="str">
        <f>MID(G3,9,2)</f>
        <v>00</v>
      </c>
      <c r="G3" s="6" t="s">
        <v>25</v>
      </c>
      <c r="H3" s="6" t="s">
        <v>4171</v>
      </c>
      <c r="I3" s="7" t="s">
        <v>4053</v>
      </c>
      <c r="J3" s="6"/>
      <c r="K3" s="6"/>
      <c r="L3" s="6"/>
      <c r="M3" s="7" t="s">
        <v>4098</v>
      </c>
    </row>
    <row r="4" spans="1:13" s="5" customFormat="1" ht="12.75" x14ac:dyDescent="0.2">
      <c r="A4" s="10" t="str">
        <f>MID(G4,1,1)</f>
        <v>1</v>
      </c>
      <c r="B4" s="10" t="str">
        <f>MID(G4,2,1)</f>
        <v>1</v>
      </c>
      <c r="C4" s="10" t="str">
        <f>MID(G4,3,1)</f>
        <v>0</v>
      </c>
      <c r="D4" s="10" t="str">
        <f>MID(G4,4,1)</f>
        <v>0</v>
      </c>
      <c r="E4" s="10" t="str">
        <f>MID(G4,6,2)</f>
        <v>00</v>
      </c>
      <c r="F4" s="10" t="str">
        <f>MID(G4,9,2)</f>
        <v>00</v>
      </c>
      <c r="G4" s="10" t="s">
        <v>4169</v>
      </c>
      <c r="H4" s="10" t="s">
        <v>4015</v>
      </c>
      <c r="I4" s="14" t="s">
        <v>26</v>
      </c>
      <c r="J4" s="10"/>
      <c r="K4" s="10"/>
      <c r="L4" s="10"/>
      <c r="M4" s="14" t="s">
        <v>4099</v>
      </c>
    </row>
    <row r="5" spans="1:13" s="5" customFormat="1" ht="25.5" x14ac:dyDescent="0.2">
      <c r="A5" s="12" t="str">
        <f>MID(G5,1,1)</f>
        <v>1</v>
      </c>
      <c r="B5" s="12" t="str">
        <f>MID(G5,2,1)</f>
        <v>1</v>
      </c>
      <c r="C5" s="12" t="str">
        <f>MID(G5,3,1)</f>
        <v>1</v>
      </c>
      <c r="D5" s="12" t="str">
        <f>MID(G5,4,1)</f>
        <v>0</v>
      </c>
      <c r="E5" s="12" t="str">
        <f>MID(G5,6,2)</f>
        <v>00</v>
      </c>
      <c r="F5" s="12" t="str">
        <f>MID(G5,9,2)</f>
        <v>00</v>
      </c>
      <c r="G5" s="12" t="s">
        <v>17</v>
      </c>
      <c r="H5" s="12" t="s">
        <v>4016</v>
      </c>
      <c r="I5" s="15" t="s">
        <v>4054</v>
      </c>
      <c r="J5" s="12"/>
      <c r="K5" s="12"/>
      <c r="L5" s="12"/>
      <c r="M5" s="15" t="s">
        <v>4100</v>
      </c>
    </row>
    <row r="6" spans="1:13" s="5" customFormat="1" ht="12.75" x14ac:dyDescent="0.2">
      <c r="A6" s="19" t="str">
        <f>MID(G6,1,1)</f>
        <v>1</v>
      </c>
      <c r="B6" s="19" t="str">
        <f>MID(G6,2,1)</f>
        <v>1</v>
      </c>
      <c r="C6" s="19" t="str">
        <f>MID(G6,3,1)</f>
        <v>1</v>
      </c>
      <c r="D6" s="19" t="str">
        <f>MID(G6,4,1)</f>
        <v>1</v>
      </c>
      <c r="E6" s="19" t="str">
        <f>MID(G6,6,2)</f>
        <v>00</v>
      </c>
      <c r="F6" s="19" t="str">
        <f>MID(G6,9,2)</f>
        <v>00</v>
      </c>
      <c r="G6" s="19" t="s">
        <v>18</v>
      </c>
      <c r="H6" s="19" t="s">
        <v>19</v>
      </c>
      <c r="I6" s="20" t="s">
        <v>4055</v>
      </c>
      <c r="J6" s="19"/>
      <c r="K6" s="19"/>
      <c r="L6" s="19"/>
      <c r="M6" s="20" t="s">
        <v>20</v>
      </c>
    </row>
    <row r="7" spans="1:13" s="5" customFormat="1" ht="38.25" x14ac:dyDescent="0.2">
      <c r="A7" s="21" t="str">
        <f>MID(G7,1,1)</f>
        <v>1</v>
      </c>
      <c r="B7" s="21" t="str">
        <f>MID(G7,2,1)</f>
        <v>1</v>
      </c>
      <c r="C7" s="21" t="str">
        <f>MID(G7,3,1)</f>
        <v>1</v>
      </c>
      <c r="D7" s="21" t="str">
        <f>MID(G7,4,1)</f>
        <v>1</v>
      </c>
      <c r="E7" s="21" t="str">
        <f>MID(G7,6,2)</f>
        <v>01</v>
      </c>
      <c r="F7" s="21" t="str">
        <f>MID(G7,9,2)</f>
        <v>00</v>
      </c>
      <c r="G7" s="21" t="s">
        <v>21</v>
      </c>
      <c r="H7" s="21" t="s">
        <v>22</v>
      </c>
      <c r="I7" s="22" t="s">
        <v>4056</v>
      </c>
      <c r="J7" s="21"/>
      <c r="K7" s="21"/>
      <c r="L7" s="21"/>
      <c r="M7" s="22" t="s">
        <v>4101</v>
      </c>
    </row>
    <row r="8" spans="1:13" s="5" customFormat="1" ht="76.5" x14ac:dyDescent="0.2">
      <c r="A8" s="13" t="str">
        <f t="shared" ref="A8:A17" si="0">MID(G8,1,1)</f>
        <v>1</v>
      </c>
      <c r="B8" s="13" t="str">
        <f t="shared" ref="B8:B17" si="1">MID(G8,2,1)</f>
        <v>1</v>
      </c>
      <c r="C8" s="13" t="str">
        <f t="shared" ref="C8:C17" si="2">MID(G8,3,1)</f>
        <v>1</v>
      </c>
      <c r="D8" s="13" t="str">
        <f t="shared" ref="D8:D17" si="3">MID(G8,4,1)</f>
        <v>1</v>
      </c>
      <c r="E8" s="13" t="str">
        <f t="shared" ref="E8:E17" si="4">MID(G8,6,2)</f>
        <v>01</v>
      </c>
      <c r="F8" s="13" t="str">
        <f t="shared" ref="F8:F17" si="5">MID(G8,9,2)</f>
        <v>01</v>
      </c>
      <c r="G8" s="13" t="s">
        <v>24</v>
      </c>
      <c r="H8" s="13" t="s">
        <v>23</v>
      </c>
      <c r="I8" s="16" t="s">
        <v>4057</v>
      </c>
      <c r="J8" s="13"/>
      <c r="K8" s="13"/>
      <c r="L8" s="13"/>
      <c r="M8" s="16" t="s">
        <v>1400</v>
      </c>
    </row>
    <row r="9" spans="1:13" s="5" customFormat="1" ht="51" x14ac:dyDescent="0.2">
      <c r="A9" s="13" t="str">
        <f t="shared" si="0"/>
        <v>1</v>
      </c>
      <c r="B9" s="13" t="str">
        <f t="shared" si="1"/>
        <v>1</v>
      </c>
      <c r="C9" s="13" t="str">
        <f t="shared" si="2"/>
        <v>1</v>
      </c>
      <c r="D9" s="13" t="str">
        <f t="shared" si="3"/>
        <v>1</v>
      </c>
      <c r="E9" s="13" t="str">
        <f t="shared" si="4"/>
        <v>01</v>
      </c>
      <c r="F9" s="13" t="str">
        <f t="shared" si="5"/>
        <v>02</v>
      </c>
      <c r="G9" s="13" t="s">
        <v>27</v>
      </c>
      <c r="H9" s="13" t="s">
        <v>28</v>
      </c>
      <c r="I9" s="16" t="s">
        <v>4058</v>
      </c>
      <c r="J9" s="13"/>
      <c r="K9" s="13"/>
      <c r="L9" s="13"/>
      <c r="M9" s="16" t="s">
        <v>4102</v>
      </c>
    </row>
    <row r="10" spans="1:13" s="5" customFormat="1" ht="51" x14ac:dyDescent="0.2">
      <c r="A10" s="21" t="str">
        <f t="shared" si="0"/>
        <v>1</v>
      </c>
      <c r="B10" s="21" t="str">
        <f t="shared" si="1"/>
        <v>1</v>
      </c>
      <c r="C10" s="21" t="str">
        <f t="shared" si="2"/>
        <v>1</v>
      </c>
      <c r="D10" s="21" t="str">
        <f t="shared" si="3"/>
        <v>1</v>
      </c>
      <c r="E10" s="21" t="str">
        <f t="shared" si="4"/>
        <v>02</v>
      </c>
      <c r="F10" s="21" t="str">
        <f t="shared" si="5"/>
        <v>00</v>
      </c>
      <c r="G10" s="21" t="s">
        <v>29</v>
      </c>
      <c r="H10" s="21" t="s">
        <v>30</v>
      </c>
      <c r="I10" s="22" t="s">
        <v>4059</v>
      </c>
      <c r="J10" s="21"/>
      <c r="K10" s="21"/>
      <c r="L10" s="22"/>
      <c r="M10" s="22" t="s">
        <v>4103</v>
      </c>
    </row>
    <row r="11" spans="1:13" s="5" customFormat="1" ht="25.5" x14ac:dyDescent="0.2">
      <c r="A11" s="13" t="str">
        <f t="shared" si="0"/>
        <v>1</v>
      </c>
      <c r="B11" s="13" t="str">
        <f t="shared" si="1"/>
        <v>1</v>
      </c>
      <c r="C11" s="13" t="str">
        <f t="shared" si="2"/>
        <v>1</v>
      </c>
      <c r="D11" s="13" t="str">
        <f t="shared" si="3"/>
        <v>1</v>
      </c>
      <c r="E11" s="13" t="str">
        <f t="shared" si="4"/>
        <v>02</v>
      </c>
      <c r="F11" s="13" t="str">
        <f t="shared" si="5"/>
        <v>01</v>
      </c>
      <c r="G11" s="13" t="s">
        <v>31</v>
      </c>
      <c r="H11" s="13" t="s">
        <v>32</v>
      </c>
      <c r="I11" s="16" t="s">
        <v>44</v>
      </c>
      <c r="J11" s="13"/>
      <c r="K11" s="13"/>
      <c r="L11" s="13"/>
      <c r="M11" s="16"/>
    </row>
    <row r="12" spans="1:13" s="5" customFormat="1" ht="25.5" x14ac:dyDescent="0.2">
      <c r="A12" s="13" t="str">
        <f t="shared" si="0"/>
        <v>1</v>
      </c>
      <c r="B12" s="13" t="str">
        <f t="shared" si="1"/>
        <v>1</v>
      </c>
      <c r="C12" s="13" t="str">
        <f t="shared" si="2"/>
        <v>1</v>
      </c>
      <c r="D12" s="13" t="str">
        <f t="shared" si="3"/>
        <v>1</v>
      </c>
      <c r="E12" s="13" t="str">
        <f t="shared" si="4"/>
        <v>02</v>
      </c>
      <c r="F12" s="13" t="str">
        <f t="shared" si="5"/>
        <v>02</v>
      </c>
      <c r="G12" s="13" t="s">
        <v>33</v>
      </c>
      <c r="H12" s="13" t="s">
        <v>34</v>
      </c>
      <c r="I12" s="16" t="s">
        <v>45</v>
      </c>
      <c r="J12" s="13"/>
      <c r="K12" s="13"/>
      <c r="L12" s="13"/>
      <c r="M12" s="16"/>
    </row>
    <row r="13" spans="1:13" s="5" customFormat="1" ht="51" x14ac:dyDescent="0.2">
      <c r="A13" s="19" t="str">
        <f t="shared" si="0"/>
        <v>1</v>
      </c>
      <c r="B13" s="19" t="str">
        <f t="shared" si="1"/>
        <v>1</v>
      </c>
      <c r="C13" s="19" t="str">
        <f t="shared" si="2"/>
        <v>1</v>
      </c>
      <c r="D13" s="19" t="str">
        <f t="shared" si="3"/>
        <v>2</v>
      </c>
      <c r="E13" s="19" t="str">
        <f t="shared" si="4"/>
        <v>00</v>
      </c>
      <c r="F13" s="19" t="str">
        <f t="shared" si="5"/>
        <v>00</v>
      </c>
      <c r="G13" s="19" t="s">
        <v>4170</v>
      </c>
      <c r="H13" s="19" t="s">
        <v>35</v>
      </c>
      <c r="I13" s="20" t="s">
        <v>36</v>
      </c>
      <c r="J13" s="19"/>
      <c r="K13" s="19"/>
      <c r="L13" s="19"/>
      <c r="M13" s="20"/>
    </row>
    <row r="14" spans="1:13" s="5" customFormat="1" ht="63.75" x14ac:dyDescent="0.2">
      <c r="A14" s="21" t="str">
        <f t="shared" si="0"/>
        <v>1</v>
      </c>
      <c r="B14" s="21" t="str">
        <f t="shared" si="1"/>
        <v>1</v>
      </c>
      <c r="C14" s="21" t="str">
        <f t="shared" si="2"/>
        <v>1</v>
      </c>
      <c r="D14" s="21" t="str">
        <f t="shared" si="3"/>
        <v>2</v>
      </c>
      <c r="E14" s="21" t="str">
        <f t="shared" si="4"/>
        <v>01</v>
      </c>
      <c r="F14" s="21" t="str">
        <f t="shared" si="5"/>
        <v>00</v>
      </c>
      <c r="G14" s="21" t="s">
        <v>37</v>
      </c>
      <c r="H14" s="21" t="s">
        <v>38</v>
      </c>
      <c r="I14" s="22" t="s">
        <v>4060</v>
      </c>
      <c r="J14" s="21"/>
      <c r="K14" s="21"/>
      <c r="L14" s="22"/>
      <c r="M14" s="22" t="s">
        <v>4104</v>
      </c>
    </row>
    <row r="15" spans="1:13" s="5" customFormat="1" ht="63.75" x14ac:dyDescent="0.2">
      <c r="A15" s="13" t="str">
        <f t="shared" si="0"/>
        <v>1</v>
      </c>
      <c r="B15" s="13" t="str">
        <f t="shared" si="1"/>
        <v>1</v>
      </c>
      <c r="C15" s="13" t="str">
        <f t="shared" si="2"/>
        <v>1</v>
      </c>
      <c r="D15" s="13" t="str">
        <f t="shared" si="3"/>
        <v>2</v>
      </c>
      <c r="E15" s="13" t="str">
        <f t="shared" si="4"/>
        <v>01</v>
      </c>
      <c r="F15" s="13" t="str">
        <f t="shared" si="5"/>
        <v>01</v>
      </c>
      <c r="G15" s="13" t="s">
        <v>13</v>
      </c>
      <c r="H15" s="13" t="s">
        <v>39</v>
      </c>
      <c r="I15" s="16" t="s">
        <v>4061</v>
      </c>
      <c r="J15" s="13"/>
      <c r="K15" s="13"/>
      <c r="L15" s="13"/>
      <c r="M15" s="16" t="s">
        <v>4105</v>
      </c>
    </row>
    <row r="16" spans="1:13" s="5" customFormat="1" ht="63.75" x14ac:dyDescent="0.2">
      <c r="A16" s="13" t="str">
        <f t="shared" si="0"/>
        <v>1</v>
      </c>
      <c r="B16" s="13" t="str">
        <f t="shared" si="1"/>
        <v>1</v>
      </c>
      <c r="C16" s="13" t="str">
        <f t="shared" si="2"/>
        <v>1</v>
      </c>
      <c r="D16" s="13" t="str">
        <f t="shared" si="3"/>
        <v>2</v>
      </c>
      <c r="E16" s="13" t="str">
        <f t="shared" si="4"/>
        <v>01</v>
      </c>
      <c r="F16" s="13" t="str">
        <f t="shared" si="5"/>
        <v>02</v>
      </c>
      <c r="G16" s="13" t="s">
        <v>40</v>
      </c>
      <c r="H16" s="13" t="s">
        <v>41</v>
      </c>
      <c r="I16" s="16" t="s">
        <v>4062</v>
      </c>
      <c r="J16" s="13"/>
      <c r="K16" s="13"/>
      <c r="L16" s="13"/>
      <c r="M16" s="16" t="s">
        <v>4105</v>
      </c>
    </row>
    <row r="17" spans="1:13" s="5" customFormat="1" ht="25.5" x14ac:dyDescent="0.2">
      <c r="A17" s="21" t="str">
        <f t="shared" si="0"/>
        <v>1</v>
      </c>
      <c r="B17" s="21" t="str">
        <f t="shared" si="1"/>
        <v>1</v>
      </c>
      <c r="C17" s="21" t="str">
        <f t="shared" si="2"/>
        <v>1</v>
      </c>
      <c r="D17" s="21" t="str">
        <f t="shared" si="3"/>
        <v>2</v>
      </c>
      <c r="E17" s="21" t="str">
        <f t="shared" si="4"/>
        <v>02</v>
      </c>
      <c r="F17" s="21" t="str">
        <f t="shared" si="5"/>
        <v>00</v>
      </c>
      <c r="G17" s="21" t="s">
        <v>14</v>
      </c>
      <c r="H17" s="21" t="s">
        <v>15</v>
      </c>
      <c r="I17" s="22" t="s">
        <v>16</v>
      </c>
      <c r="J17" s="21"/>
      <c r="K17" s="21"/>
      <c r="L17" s="22"/>
      <c r="M17" s="22"/>
    </row>
    <row r="18" spans="1:13" ht="38.25" x14ac:dyDescent="0.25">
      <c r="A18" s="21" t="str">
        <f t="shared" ref="A18:A29" si="6">MID(G18,1,1)</f>
        <v>1</v>
      </c>
      <c r="B18" s="21" t="str">
        <f t="shared" ref="B18:B29" si="7">MID(G18,2,1)</f>
        <v>1</v>
      </c>
      <c r="C18" s="21" t="str">
        <f t="shared" ref="C18:C29" si="8">MID(G18,3,1)</f>
        <v>1</v>
      </c>
      <c r="D18" s="21" t="str">
        <f t="shared" ref="D18:D29" si="9">MID(G18,4,1)</f>
        <v>2</v>
      </c>
      <c r="E18" s="21" t="str">
        <f t="shared" ref="E18:E29" si="10">MID(G18,6,2)</f>
        <v>04</v>
      </c>
      <c r="F18" s="21" t="str">
        <f t="shared" ref="F18:F29" si="11">MID(G18,9,2)</f>
        <v>00</v>
      </c>
      <c r="G18" s="21" t="s">
        <v>49</v>
      </c>
      <c r="H18" s="21" t="s">
        <v>1406</v>
      </c>
      <c r="I18" s="22" t="s">
        <v>1507</v>
      </c>
      <c r="J18" s="21"/>
      <c r="K18" s="21"/>
      <c r="L18" s="21"/>
      <c r="M18" s="21"/>
    </row>
    <row r="19" spans="1:13" ht="38.25" x14ac:dyDescent="0.25">
      <c r="A19" s="13" t="str">
        <f t="shared" si="6"/>
        <v>1</v>
      </c>
      <c r="B19" s="13" t="str">
        <f t="shared" si="7"/>
        <v>1</v>
      </c>
      <c r="C19" s="13" t="str">
        <f t="shared" si="8"/>
        <v>1</v>
      </c>
      <c r="D19" s="13" t="str">
        <f t="shared" si="9"/>
        <v>2</v>
      </c>
      <c r="E19" s="13" t="str">
        <f t="shared" si="10"/>
        <v>04</v>
      </c>
      <c r="F19" s="13" t="str">
        <f t="shared" si="11"/>
        <v>10</v>
      </c>
      <c r="G19" s="13" t="s">
        <v>50</v>
      </c>
      <c r="H19" s="13" t="s">
        <v>1407</v>
      </c>
      <c r="I19" s="16" t="s">
        <v>1508</v>
      </c>
      <c r="J19" s="13"/>
      <c r="K19" s="13"/>
      <c r="L19" s="13"/>
      <c r="M19" s="16"/>
    </row>
    <row r="20" spans="1:13" ht="25.5" x14ac:dyDescent="0.25">
      <c r="A20" s="13" t="str">
        <f t="shared" si="6"/>
        <v>1</v>
      </c>
      <c r="B20" s="13" t="str">
        <f t="shared" si="7"/>
        <v>1</v>
      </c>
      <c r="C20" s="13" t="str">
        <f t="shared" si="8"/>
        <v>1</v>
      </c>
      <c r="D20" s="13" t="str">
        <f t="shared" si="9"/>
        <v>2</v>
      </c>
      <c r="E20" s="13" t="str">
        <f t="shared" si="10"/>
        <v>04</v>
      </c>
      <c r="F20" s="13" t="str">
        <f t="shared" si="11"/>
        <v>11</v>
      </c>
      <c r="G20" s="13" t="s">
        <v>51</v>
      </c>
      <c r="H20" s="13" t="s">
        <v>1408</v>
      </c>
      <c r="I20" s="16" t="s">
        <v>1509</v>
      </c>
      <c r="J20" s="13"/>
      <c r="K20" s="13"/>
      <c r="L20" s="13"/>
      <c r="M20" s="16"/>
    </row>
    <row r="21" spans="1:13" ht="51" x14ac:dyDescent="0.25">
      <c r="A21" s="13" t="str">
        <f t="shared" si="6"/>
        <v>1</v>
      </c>
      <c r="B21" s="13" t="str">
        <f t="shared" si="7"/>
        <v>1</v>
      </c>
      <c r="C21" s="13" t="str">
        <f t="shared" si="8"/>
        <v>1</v>
      </c>
      <c r="D21" s="13" t="str">
        <f t="shared" si="9"/>
        <v>2</v>
      </c>
      <c r="E21" s="13" t="str">
        <f t="shared" si="10"/>
        <v>04</v>
      </c>
      <c r="F21" s="13" t="str">
        <f t="shared" si="11"/>
        <v>21</v>
      </c>
      <c r="G21" s="13" t="s">
        <v>52</v>
      </c>
      <c r="H21" s="13" t="s">
        <v>1409</v>
      </c>
      <c r="I21" s="16" t="s">
        <v>4052</v>
      </c>
      <c r="J21" s="13"/>
      <c r="K21" s="13"/>
      <c r="L21" s="13"/>
      <c r="M21" s="16"/>
    </row>
    <row r="22" spans="1:13" ht="25.5" x14ac:dyDescent="0.25">
      <c r="A22" s="13" t="str">
        <f t="shared" si="6"/>
        <v>1</v>
      </c>
      <c r="B22" s="13" t="str">
        <f t="shared" si="7"/>
        <v>1</v>
      </c>
      <c r="C22" s="13" t="str">
        <f t="shared" si="8"/>
        <v>1</v>
      </c>
      <c r="D22" s="13" t="str">
        <f t="shared" si="9"/>
        <v>2</v>
      </c>
      <c r="E22" s="13" t="str">
        <f t="shared" si="10"/>
        <v>04</v>
      </c>
      <c r="F22" s="13" t="str">
        <f t="shared" si="11"/>
        <v>22</v>
      </c>
      <c r="G22" s="13" t="s">
        <v>53</v>
      </c>
      <c r="H22" s="13" t="s">
        <v>1410</v>
      </c>
      <c r="I22" s="16" t="s">
        <v>1510</v>
      </c>
      <c r="J22" s="13"/>
      <c r="K22" s="13"/>
      <c r="L22" s="13"/>
      <c r="M22" s="16"/>
    </row>
    <row r="23" spans="1:13" ht="25.5" x14ac:dyDescent="0.25">
      <c r="A23" s="13" t="str">
        <f t="shared" si="6"/>
        <v>1</v>
      </c>
      <c r="B23" s="13" t="str">
        <f t="shared" si="7"/>
        <v>1</v>
      </c>
      <c r="C23" s="13" t="str">
        <f t="shared" si="8"/>
        <v>1</v>
      </c>
      <c r="D23" s="13" t="str">
        <f t="shared" si="9"/>
        <v>2</v>
      </c>
      <c r="E23" s="13" t="str">
        <f t="shared" si="10"/>
        <v>04</v>
      </c>
      <c r="F23" s="13" t="str">
        <f t="shared" si="11"/>
        <v>23</v>
      </c>
      <c r="G23" s="13" t="s">
        <v>54</v>
      </c>
      <c r="H23" s="13" t="s">
        <v>1411</v>
      </c>
      <c r="I23" s="16" t="s">
        <v>1511</v>
      </c>
      <c r="J23" s="13"/>
      <c r="K23" s="13"/>
      <c r="L23" s="13"/>
      <c r="M23" s="16"/>
    </row>
    <row r="24" spans="1:13" ht="63.75" x14ac:dyDescent="0.25">
      <c r="A24" s="13" t="str">
        <f t="shared" si="6"/>
        <v>1</v>
      </c>
      <c r="B24" s="13" t="str">
        <f t="shared" si="7"/>
        <v>1</v>
      </c>
      <c r="C24" s="13" t="str">
        <f t="shared" si="8"/>
        <v>1</v>
      </c>
      <c r="D24" s="13" t="str">
        <f t="shared" si="9"/>
        <v>2</v>
      </c>
      <c r="E24" s="13" t="str">
        <f t="shared" si="10"/>
        <v>04</v>
      </c>
      <c r="F24" s="13" t="str">
        <f t="shared" si="11"/>
        <v>31</v>
      </c>
      <c r="G24" s="13" t="s">
        <v>55</v>
      </c>
      <c r="H24" s="13" t="s">
        <v>1412</v>
      </c>
      <c r="I24" s="16" t="s">
        <v>1512</v>
      </c>
      <c r="J24" s="13"/>
      <c r="K24" s="13"/>
      <c r="L24" s="13"/>
      <c r="M24" s="16"/>
    </row>
    <row r="25" spans="1:13" ht="25.5" x14ac:dyDescent="0.25">
      <c r="A25" s="13" t="str">
        <f t="shared" si="6"/>
        <v>1</v>
      </c>
      <c r="B25" s="13" t="str">
        <f t="shared" si="7"/>
        <v>1</v>
      </c>
      <c r="C25" s="13" t="str">
        <f t="shared" si="8"/>
        <v>1</v>
      </c>
      <c r="D25" s="13" t="str">
        <f t="shared" si="9"/>
        <v>2</v>
      </c>
      <c r="E25" s="13" t="str">
        <f t="shared" si="10"/>
        <v>04</v>
      </c>
      <c r="F25" s="13" t="str">
        <f t="shared" si="11"/>
        <v>32</v>
      </c>
      <c r="G25" s="13" t="s">
        <v>56</v>
      </c>
      <c r="H25" s="13" t="s">
        <v>1413</v>
      </c>
      <c r="I25" s="16" t="s">
        <v>1513</v>
      </c>
      <c r="J25" s="13"/>
      <c r="K25" s="13"/>
      <c r="L25" s="13"/>
      <c r="M25" s="16"/>
    </row>
    <row r="26" spans="1:13" ht="38.25" x14ac:dyDescent="0.25">
      <c r="A26" s="13" t="str">
        <f t="shared" si="6"/>
        <v>1</v>
      </c>
      <c r="B26" s="13" t="str">
        <f t="shared" si="7"/>
        <v>1</v>
      </c>
      <c r="C26" s="13" t="str">
        <f t="shared" si="8"/>
        <v>1</v>
      </c>
      <c r="D26" s="13" t="str">
        <f t="shared" si="9"/>
        <v>2</v>
      </c>
      <c r="E26" s="13" t="str">
        <f t="shared" si="10"/>
        <v>04</v>
      </c>
      <c r="F26" s="13" t="str">
        <f t="shared" si="11"/>
        <v>33</v>
      </c>
      <c r="G26" s="13" t="s">
        <v>57</v>
      </c>
      <c r="H26" s="13" t="s">
        <v>1414</v>
      </c>
      <c r="I26" s="16" t="s">
        <v>1514</v>
      </c>
      <c r="J26" s="13"/>
      <c r="K26" s="13"/>
      <c r="L26" s="13"/>
      <c r="M26" s="16"/>
    </row>
    <row r="27" spans="1:13" ht="51" x14ac:dyDescent="0.25">
      <c r="A27" s="13" t="str">
        <f t="shared" si="6"/>
        <v>1</v>
      </c>
      <c r="B27" s="13" t="str">
        <f t="shared" si="7"/>
        <v>1</v>
      </c>
      <c r="C27" s="13" t="str">
        <f t="shared" si="8"/>
        <v>1</v>
      </c>
      <c r="D27" s="13" t="str">
        <f t="shared" si="9"/>
        <v>2</v>
      </c>
      <c r="E27" s="13" t="str">
        <f t="shared" si="10"/>
        <v>04</v>
      </c>
      <c r="F27" s="13" t="str">
        <f t="shared" si="11"/>
        <v>34</v>
      </c>
      <c r="G27" s="13" t="s">
        <v>58</v>
      </c>
      <c r="H27" s="13" t="s">
        <v>1415</v>
      </c>
      <c r="I27" s="16" t="s">
        <v>1515</v>
      </c>
      <c r="J27" s="13"/>
      <c r="K27" s="13"/>
      <c r="L27" s="13"/>
      <c r="M27" s="16"/>
    </row>
    <row r="28" spans="1:13" ht="25.5" x14ac:dyDescent="0.25">
      <c r="A28" s="13" t="str">
        <f t="shared" si="6"/>
        <v>1</v>
      </c>
      <c r="B28" s="13" t="str">
        <f t="shared" si="7"/>
        <v>1</v>
      </c>
      <c r="C28" s="13" t="str">
        <f t="shared" si="8"/>
        <v>1</v>
      </c>
      <c r="D28" s="13" t="str">
        <f t="shared" si="9"/>
        <v>2</v>
      </c>
      <c r="E28" s="13" t="str">
        <f t="shared" si="10"/>
        <v>04</v>
      </c>
      <c r="F28" s="13" t="str">
        <f t="shared" si="11"/>
        <v>35</v>
      </c>
      <c r="G28" s="13" t="s">
        <v>59</v>
      </c>
      <c r="H28" s="13" t="s">
        <v>1416</v>
      </c>
      <c r="I28" s="16" t="s">
        <v>1516</v>
      </c>
      <c r="J28" s="13"/>
      <c r="K28" s="13"/>
      <c r="L28" s="13"/>
      <c r="M28" s="16"/>
    </row>
    <row r="29" spans="1:13" ht="25.5" x14ac:dyDescent="0.25">
      <c r="A29" s="21" t="str">
        <f t="shared" si="6"/>
        <v>1</v>
      </c>
      <c r="B29" s="21" t="str">
        <f t="shared" si="7"/>
        <v>1</v>
      </c>
      <c r="C29" s="21" t="str">
        <f t="shared" si="8"/>
        <v>1</v>
      </c>
      <c r="D29" s="21" t="str">
        <f t="shared" si="9"/>
        <v>2</v>
      </c>
      <c r="E29" s="21" t="str">
        <f t="shared" si="10"/>
        <v>05</v>
      </c>
      <c r="F29" s="21" t="str">
        <f t="shared" si="11"/>
        <v>00</v>
      </c>
      <c r="G29" s="21" t="s">
        <v>60</v>
      </c>
      <c r="H29" s="21" t="s">
        <v>1417</v>
      </c>
      <c r="I29" s="22" t="s">
        <v>1517</v>
      </c>
      <c r="J29" s="21"/>
      <c r="K29" s="21"/>
      <c r="L29" s="21"/>
      <c r="M29" s="21"/>
    </row>
    <row r="30" spans="1:13" ht="38.25" x14ac:dyDescent="0.25">
      <c r="A30" s="21" t="str">
        <f t="shared" ref="A30:A93" si="12">MID(G30,1,1)</f>
        <v>1</v>
      </c>
      <c r="B30" s="21" t="str">
        <f t="shared" ref="B30:B93" si="13">MID(G30,2,1)</f>
        <v>1</v>
      </c>
      <c r="C30" s="21" t="str">
        <f t="shared" ref="C30:C93" si="14">MID(G30,3,1)</f>
        <v>1</v>
      </c>
      <c r="D30" s="21" t="str">
        <f t="shared" ref="D30:D93" si="15">MID(G30,4,1)</f>
        <v>2</v>
      </c>
      <c r="E30" s="21" t="str">
        <f t="shared" ref="E30:E93" si="16">MID(G30,6,2)</f>
        <v>07</v>
      </c>
      <c r="F30" s="21" t="str">
        <f t="shared" ref="F30:F93" si="17">MID(G30,9,2)</f>
        <v>00</v>
      </c>
      <c r="G30" s="21" t="s">
        <v>61</v>
      </c>
      <c r="H30" s="21" t="s">
        <v>1418</v>
      </c>
      <c r="I30" s="22" t="s">
        <v>1518</v>
      </c>
      <c r="J30" s="21"/>
      <c r="K30" s="21"/>
      <c r="L30" s="21"/>
      <c r="M30" s="21"/>
    </row>
    <row r="31" spans="1:13" ht="38.25" x14ac:dyDescent="0.25">
      <c r="A31" s="21" t="str">
        <f t="shared" si="12"/>
        <v>1</v>
      </c>
      <c r="B31" s="21" t="str">
        <f t="shared" si="13"/>
        <v>1</v>
      </c>
      <c r="C31" s="21" t="str">
        <f t="shared" si="14"/>
        <v>1</v>
      </c>
      <c r="D31" s="21" t="str">
        <f t="shared" si="15"/>
        <v>2</v>
      </c>
      <c r="E31" s="21" t="str">
        <f t="shared" si="16"/>
        <v>08</v>
      </c>
      <c r="F31" s="21" t="str">
        <f t="shared" si="17"/>
        <v>00</v>
      </c>
      <c r="G31" s="21" t="s">
        <v>62</v>
      </c>
      <c r="H31" s="21" t="s">
        <v>1419</v>
      </c>
      <c r="I31" s="22" t="s">
        <v>1519</v>
      </c>
      <c r="J31" s="21"/>
      <c r="K31" s="21"/>
      <c r="L31" s="21"/>
      <c r="M31" s="21"/>
    </row>
    <row r="32" spans="1:13" ht="38.25" x14ac:dyDescent="0.25">
      <c r="A32" s="19" t="str">
        <f t="shared" si="12"/>
        <v>1</v>
      </c>
      <c r="B32" s="19" t="str">
        <f t="shared" si="13"/>
        <v>1</v>
      </c>
      <c r="C32" s="19" t="str">
        <f t="shared" si="14"/>
        <v>1</v>
      </c>
      <c r="D32" s="19" t="str">
        <f t="shared" si="15"/>
        <v>3</v>
      </c>
      <c r="E32" s="19" t="str">
        <f t="shared" si="16"/>
        <v>00</v>
      </c>
      <c r="F32" s="19" t="str">
        <f t="shared" si="17"/>
        <v>00</v>
      </c>
      <c r="G32" s="19" t="s">
        <v>63</v>
      </c>
      <c r="H32" s="19" t="s">
        <v>1420</v>
      </c>
      <c r="I32" s="20" t="s">
        <v>1520</v>
      </c>
      <c r="J32" s="19"/>
      <c r="K32" s="19"/>
      <c r="L32" s="19"/>
      <c r="M32" s="20"/>
    </row>
    <row r="33" spans="1:13" ht="38.25" x14ac:dyDescent="0.25">
      <c r="A33" s="21" t="str">
        <f t="shared" si="12"/>
        <v>1</v>
      </c>
      <c r="B33" s="21" t="str">
        <f t="shared" si="13"/>
        <v>1</v>
      </c>
      <c r="C33" s="21" t="str">
        <f t="shared" si="14"/>
        <v>1</v>
      </c>
      <c r="D33" s="21" t="str">
        <f t="shared" si="15"/>
        <v>3</v>
      </c>
      <c r="E33" s="21" t="str">
        <f t="shared" si="16"/>
        <v>01</v>
      </c>
      <c r="F33" s="21" t="str">
        <f t="shared" si="17"/>
        <v>00</v>
      </c>
      <c r="G33" s="21" t="s">
        <v>64</v>
      </c>
      <c r="H33" s="21" t="s">
        <v>1421</v>
      </c>
      <c r="I33" s="22" t="s">
        <v>1521</v>
      </c>
      <c r="J33" s="21"/>
      <c r="K33" s="21"/>
      <c r="L33" s="21"/>
      <c r="M33" s="21"/>
    </row>
    <row r="34" spans="1:13" ht="25.5" x14ac:dyDescent="0.25">
      <c r="A34" s="13" t="str">
        <f t="shared" si="12"/>
        <v>1</v>
      </c>
      <c r="B34" s="13" t="str">
        <f t="shared" si="13"/>
        <v>1</v>
      </c>
      <c r="C34" s="13" t="str">
        <f t="shared" si="14"/>
        <v>1</v>
      </c>
      <c r="D34" s="13" t="str">
        <f t="shared" si="15"/>
        <v>3</v>
      </c>
      <c r="E34" s="13" t="str">
        <f t="shared" si="16"/>
        <v>01</v>
      </c>
      <c r="F34" s="13" t="str">
        <f t="shared" si="17"/>
        <v>01</v>
      </c>
      <c r="G34" s="13" t="s">
        <v>65</v>
      </c>
      <c r="H34" s="13" t="s">
        <v>1422</v>
      </c>
      <c r="I34" s="16" t="s">
        <v>1522</v>
      </c>
      <c r="J34" s="13"/>
      <c r="K34" s="13"/>
      <c r="L34" s="13"/>
      <c r="M34" s="16"/>
    </row>
    <row r="35" spans="1:13" ht="25.5" x14ac:dyDescent="0.25">
      <c r="A35" s="13" t="str">
        <f t="shared" si="12"/>
        <v>1</v>
      </c>
      <c r="B35" s="13" t="str">
        <f t="shared" si="13"/>
        <v>1</v>
      </c>
      <c r="C35" s="13" t="str">
        <f t="shared" si="14"/>
        <v>1</v>
      </c>
      <c r="D35" s="13" t="str">
        <f t="shared" si="15"/>
        <v>3</v>
      </c>
      <c r="E35" s="13" t="str">
        <f t="shared" si="16"/>
        <v>01</v>
      </c>
      <c r="F35" s="13" t="str">
        <f t="shared" si="17"/>
        <v>02</v>
      </c>
      <c r="G35" s="13" t="s">
        <v>66</v>
      </c>
      <c r="H35" s="13" t="s">
        <v>1423</v>
      </c>
      <c r="I35" s="16" t="s">
        <v>1523</v>
      </c>
      <c r="J35" s="13"/>
      <c r="K35" s="13"/>
      <c r="L35" s="13"/>
      <c r="M35" s="16"/>
    </row>
    <row r="36" spans="1:13" ht="25.5" x14ac:dyDescent="0.25">
      <c r="A36" s="13" t="str">
        <f t="shared" si="12"/>
        <v>1</v>
      </c>
      <c r="B36" s="13" t="str">
        <f t="shared" si="13"/>
        <v>1</v>
      </c>
      <c r="C36" s="13" t="str">
        <f t="shared" si="14"/>
        <v>1</v>
      </c>
      <c r="D36" s="13" t="str">
        <f t="shared" si="15"/>
        <v>3</v>
      </c>
      <c r="E36" s="13" t="str">
        <f t="shared" si="16"/>
        <v>01</v>
      </c>
      <c r="F36" s="13" t="str">
        <f t="shared" si="17"/>
        <v>03</v>
      </c>
      <c r="G36" s="13" t="s">
        <v>67</v>
      </c>
      <c r="H36" s="13" t="s">
        <v>1424</v>
      </c>
      <c r="I36" s="16" t="s">
        <v>1524</v>
      </c>
      <c r="J36" s="13"/>
      <c r="K36" s="13"/>
      <c r="L36" s="13"/>
      <c r="M36" s="16"/>
    </row>
    <row r="37" spans="1:13" ht="25.5" x14ac:dyDescent="0.25">
      <c r="A37" s="13" t="str">
        <f t="shared" si="12"/>
        <v>1</v>
      </c>
      <c r="B37" s="13" t="str">
        <f t="shared" si="13"/>
        <v>1</v>
      </c>
      <c r="C37" s="13" t="str">
        <f t="shared" si="14"/>
        <v>1</v>
      </c>
      <c r="D37" s="13" t="str">
        <f t="shared" si="15"/>
        <v>3</v>
      </c>
      <c r="E37" s="13" t="str">
        <f t="shared" si="16"/>
        <v>01</v>
      </c>
      <c r="F37" s="13" t="str">
        <f t="shared" si="17"/>
        <v>04</v>
      </c>
      <c r="G37" s="13" t="s">
        <v>68</v>
      </c>
      <c r="H37" s="13" t="s">
        <v>1425</v>
      </c>
      <c r="I37" s="16" t="s">
        <v>1525</v>
      </c>
      <c r="J37" s="13"/>
      <c r="K37" s="13"/>
      <c r="L37" s="13"/>
      <c r="M37" s="16"/>
    </row>
    <row r="38" spans="1:13" ht="25.5" x14ac:dyDescent="0.25">
      <c r="A38" s="13" t="str">
        <f t="shared" si="12"/>
        <v>1</v>
      </c>
      <c r="B38" s="13" t="str">
        <f t="shared" si="13"/>
        <v>1</v>
      </c>
      <c r="C38" s="13" t="str">
        <f t="shared" si="14"/>
        <v>1</v>
      </c>
      <c r="D38" s="13" t="str">
        <f t="shared" si="15"/>
        <v>3</v>
      </c>
      <c r="E38" s="13" t="str">
        <f t="shared" si="16"/>
        <v>01</v>
      </c>
      <c r="F38" s="13" t="str">
        <f t="shared" si="17"/>
        <v>09</v>
      </c>
      <c r="G38" s="13" t="s">
        <v>69</v>
      </c>
      <c r="H38" s="13" t="s">
        <v>1426</v>
      </c>
      <c r="I38" s="16" t="s">
        <v>1526</v>
      </c>
      <c r="J38" s="13"/>
      <c r="K38" s="13"/>
      <c r="L38" s="13"/>
      <c r="M38" s="16"/>
    </row>
    <row r="39" spans="1:13" ht="25.5" x14ac:dyDescent="0.25">
      <c r="A39" s="13" t="str">
        <f t="shared" si="12"/>
        <v>1</v>
      </c>
      <c r="B39" s="13" t="str">
        <f t="shared" si="13"/>
        <v>1</v>
      </c>
      <c r="C39" s="13" t="str">
        <f t="shared" si="14"/>
        <v>1</v>
      </c>
      <c r="D39" s="13" t="str">
        <f t="shared" si="15"/>
        <v>3</v>
      </c>
      <c r="E39" s="13" t="str">
        <f t="shared" si="16"/>
        <v>01</v>
      </c>
      <c r="F39" s="13" t="str">
        <f t="shared" si="17"/>
        <v>10</v>
      </c>
      <c r="G39" s="13" t="s">
        <v>70</v>
      </c>
      <c r="H39" s="13" t="s">
        <v>1427</v>
      </c>
      <c r="I39" s="16" t="s">
        <v>1527</v>
      </c>
      <c r="J39" s="13"/>
      <c r="K39" s="13"/>
      <c r="L39" s="13"/>
      <c r="M39" s="16"/>
    </row>
    <row r="40" spans="1:13" ht="25.5" x14ac:dyDescent="0.25">
      <c r="A40" s="13" t="str">
        <f t="shared" si="12"/>
        <v>1</v>
      </c>
      <c r="B40" s="13" t="str">
        <f t="shared" si="13"/>
        <v>1</v>
      </c>
      <c r="C40" s="13" t="str">
        <f t="shared" si="14"/>
        <v>1</v>
      </c>
      <c r="D40" s="13" t="str">
        <f t="shared" si="15"/>
        <v>3</v>
      </c>
      <c r="E40" s="13" t="str">
        <f t="shared" si="16"/>
        <v>01</v>
      </c>
      <c r="F40" s="13" t="str">
        <f t="shared" si="17"/>
        <v>11</v>
      </c>
      <c r="G40" s="13" t="s">
        <v>71</v>
      </c>
      <c r="H40" s="13" t="s">
        <v>1428</v>
      </c>
      <c r="I40" s="16" t="s">
        <v>1528</v>
      </c>
      <c r="J40" s="13"/>
      <c r="K40" s="13"/>
      <c r="L40" s="13"/>
      <c r="M40" s="16"/>
    </row>
    <row r="41" spans="1:13" ht="63.75" x14ac:dyDescent="0.25">
      <c r="A41" s="21" t="str">
        <f t="shared" si="12"/>
        <v>1</v>
      </c>
      <c r="B41" s="21" t="str">
        <f t="shared" si="13"/>
        <v>1</v>
      </c>
      <c r="C41" s="21" t="str">
        <f t="shared" si="14"/>
        <v>1</v>
      </c>
      <c r="D41" s="21" t="str">
        <f t="shared" si="15"/>
        <v>3</v>
      </c>
      <c r="E41" s="21" t="str">
        <f t="shared" si="16"/>
        <v>02</v>
      </c>
      <c r="F41" s="21" t="str">
        <f t="shared" si="17"/>
        <v>00</v>
      </c>
      <c r="G41" s="21" t="s">
        <v>72</v>
      </c>
      <c r="H41" s="21" t="s">
        <v>1429</v>
      </c>
      <c r="I41" s="22" t="s">
        <v>1529</v>
      </c>
      <c r="J41" s="21"/>
      <c r="K41" s="21"/>
      <c r="L41" s="21"/>
      <c r="M41" s="21"/>
    </row>
    <row r="42" spans="1:13" ht="63.75" x14ac:dyDescent="0.25">
      <c r="A42" s="13" t="str">
        <f t="shared" si="12"/>
        <v>1</v>
      </c>
      <c r="B42" s="13" t="str">
        <f t="shared" si="13"/>
        <v>1</v>
      </c>
      <c r="C42" s="13" t="str">
        <f t="shared" si="14"/>
        <v>1</v>
      </c>
      <c r="D42" s="13" t="str">
        <f t="shared" si="15"/>
        <v>3</v>
      </c>
      <c r="E42" s="13" t="str">
        <f t="shared" si="16"/>
        <v>02</v>
      </c>
      <c r="F42" s="13" t="str">
        <f t="shared" si="17"/>
        <v>01</v>
      </c>
      <c r="G42" s="13" t="s">
        <v>73</v>
      </c>
      <c r="H42" s="13" t="s">
        <v>1429</v>
      </c>
      <c r="I42" s="16" t="s">
        <v>1530</v>
      </c>
      <c r="J42" s="13"/>
      <c r="K42" s="13"/>
      <c r="L42" s="13"/>
      <c r="M42" s="16"/>
    </row>
    <row r="43" spans="1:13" ht="38.25" x14ac:dyDescent="0.25">
      <c r="A43" s="13" t="str">
        <f t="shared" si="12"/>
        <v>1</v>
      </c>
      <c r="B43" s="13" t="str">
        <f t="shared" si="13"/>
        <v>1</v>
      </c>
      <c r="C43" s="13" t="str">
        <f t="shared" si="14"/>
        <v>1</v>
      </c>
      <c r="D43" s="13" t="str">
        <f t="shared" si="15"/>
        <v>3</v>
      </c>
      <c r="E43" s="13" t="str">
        <f t="shared" si="16"/>
        <v>02</v>
      </c>
      <c r="F43" s="13" t="str">
        <f t="shared" si="17"/>
        <v>02</v>
      </c>
      <c r="G43" s="13" t="s">
        <v>74</v>
      </c>
      <c r="H43" s="13" t="s">
        <v>1430</v>
      </c>
      <c r="I43" s="16" t="s">
        <v>1531</v>
      </c>
      <c r="J43" s="13"/>
      <c r="K43" s="13"/>
      <c r="L43" s="13"/>
      <c r="M43" s="16"/>
    </row>
    <row r="44" spans="1:13" ht="38.25" x14ac:dyDescent="0.25">
      <c r="A44" s="21" t="str">
        <f t="shared" si="12"/>
        <v>1</v>
      </c>
      <c r="B44" s="21" t="str">
        <f t="shared" si="13"/>
        <v>1</v>
      </c>
      <c r="C44" s="21" t="str">
        <f t="shared" si="14"/>
        <v>1</v>
      </c>
      <c r="D44" s="21" t="str">
        <f t="shared" si="15"/>
        <v>3</v>
      </c>
      <c r="E44" s="21" t="str">
        <f t="shared" si="16"/>
        <v>03</v>
      </c>
      <c r="F44" s="21" t="str">
        <f t="shared" si="17"/>
        <v>00</v>
      </c>
      <c r="G44" s="21" t="s">
        <v>75</v>
      </c>
      <c r="H44" s="21" t="s">
        <v>1431</v>
      </c>
      <c r="I44" s="22" t="s">
        <v>1532</v>
      </c>
      <c r="J44" s="21"/>
      <c r="K44" s="21"/>
      <c r="L44" s="21"/>
      <c r="M44" s="21"/>
    </row>
    <row r="45" spans="1:13" ht="25.5" x14ac:dyDescent="0.25">
      <c r="A45" s="13" t="str">
        <f t="shared" si="12"/>
        <v>1</v>
      </c>
      <c r="B45" s="13" t="str">
        <f t="shared" si="13"/>
        <v>1</v>
      </c>
      <c r="C45" s="13" t="str">
        <f t="shared" si="14"/>
        <v>1</v>
      </c>
      <c r="D45" s="13" t="str">
        <f t="shared" si="15"/>
        <v>3</v>
      </c>
      <c r="E45" s="13" t="str">
        <f t="shared" si="16"/>
        <v>03</v>
      </c>
      <c r="F45" s="13" t="str">
        <f t="shared" si="17"/>
        <v>01</v>
      </c>
      <c r="G45" s="13" t="s">
        <v>76</v>
      </c>
      <c r="H45" s="13" t="s">
        <v>1432</v>
      </c>
      <c r="I45" s="16" t="s">
        <v>1533</v>
      </c>
      <c r="J45" s="13"/>
      <c r="K45" s="13"/>
      <c r="L45" s="13"/>
      <c r="M45" s="16"/>
    </row>
    <row r="46" spans="1:13" ht="51" x14ac:dyDescent="0.25">
      <c r="A46" s="13" t="str">
        <f t="shared" si="12"/>
        <v>1</v>
      </c>
      <c r="B46" s="13" t="str">
        <f t="shared" si="13"/>
        <v>1</v>
      </c>
      <c r="C46" s="13" t="str">
        <f t="shared" si="14"/>
        <v>1</v>
      </c>
      <c r="D46" s="13" t="str">
        <f t="shared" si="15"/>
        <v>3</v>
      </c>
      <c r="E46" s="13" t="str">
        <f t="shared" si="16"/>
        <v>03</v>
      </c>
      <c r="F46" s="13" t="str">
        <f t="shared" si="17"/>
        <v>02</v>
      </c>
      <c r="G46" s="13" t="s">
        <v>77</v>
      </c>
      <c r="H46" s="13" t="s">
        <v>1433</v>
      </c>
      <c r="I46" s="16" t="s">
        <v>1534</v>
      </c>
      <c r="J46" s="13"/>
      <c r="K46" s="13"/>
      <c r="L46" s="13"/>
      <c r="M46" s="16"/>
    </row>
    <row r="47" spans="1:13" ht="38.25" x14ac:dyDescent="0.25">
      <c r="A47" s="13" t="str">
        <f t="shared" si="12"/>
        <v>1</v>
      </c>
      <c r="B47" s="13" t="str">
        <f t="shared" si="13"/>
        <v>1</v>
      </c>
      <c r="C47" s="13" t="str">
        <f t="shared" si="14"/>
        <v>1</v>
      </c>
      <c r="D47" s="13" t="str">
        <f t="shared" si="15"/>
        <v>3</v>
      </c>
      <c r="E47" s="13" t="str">
        <f t="shared" si="16"/>
        <v>03</v>
      </c>
      <c r="F47" s="13" t="str">
        <f t="shared" si="17"/>
        <v>09</v>
      </c>
      <c r="G47" s="13" t="s">
        <v>78</v>
      </c>
      <c r="H47" s="13" t="s">
        <v>1434</v>
      </c>
      <c r="I47" s="16" t="s">
        <v>1535</v>
      </c>
      <c r="J47" s="13"/>
      <c r="K47" s="13"/>
      <c r="L47" s="13"/>
      <c r="M47" s="16"/>
    </row>
    <row r="48" spans="1:13" ht="38.25" x14ac:dyDescent="0.25">
      <c r="A48" s="13" t="str">
        <f t="shared" si="12"/>
        <v>1</v>
      </c>
      <c r="B48" s="13" t="str">
        <f t="shared" si="13"/>
        <v>1</v>
      </c>
      <c r="C48" s="13" t="str">
        <f t="shared" si="14"/>
        <v>1</v>
      </c>
      <c r="D48" s="13" t="str">
        <f t="shared" si="15"/>
        <v>3</v>
      </c>
      <c r="E48" s="13" t="str">
        <f t="shared" si="16"/>
        <v>03</v>
      </c>
      <c r="F48" s="13" t="str">
        <f t="shared" si="17"/>
        <v>10</v>
      </c>
      <c r="G48" s="13" t="s">
        <v>79</v>
      </c>
      <c r="H48" s="13" t="s">
        <v>1435</v>
      </c>
      <c r="I48" s="16" t="s">
        <v>1536</v>
      </c>
      <c r="J48" s="13"/>
      <c r="K48" s="13"/>
      <c r="L48" s="13"/>
      <c r="M48" s="16"/>
    </row>
    <row r="49" spans="1:13" ht="25.5" x14ac:dyDescent="0.25">
      <c r="A49" s="21" t="str">
        <f t="shared" si="12"/>
        <v>1</v>
      </c>
      <c r="B49" s="21" t="str">
        <f t="shared" si="13"/>
        <v>1</v>
      </c>
      <c r="C49" s="21" t="str">
        <f t="shared" si="14"/>
        <v>1</v>
      </c>
      <c r="D49" s="21" t="str">
        <f t="shared" si="15"/>
        <v>3</v>
      </c>
      <c r="E49" s="21" t="str">
        <f t="shared" si="16"/>
        <v>05</v>
      </c>
      <c r="F49" s="21" t="str">
        <f t="shared" si="17"/>
        <v>00</v>
      </c>
      <c r="G49" s="21" t="s">
        <v>80</v>
      </c>
      <c r="H49" s="21" t="s">
        <v>1436</v>
      </c>
      <c r="I49" s="22" t="s">
        <v>1537</v>
      </c>
      <c r="J49" s="21"/>
      <c r="K49" s="21"/>
      <c r="L49" s="21"/>
      <c r="M49" s="21"/>
    </row>
    <row r="50" spans="1:13" ht="38.25" x14ac:dyDescent="0.25">
      <c r="A50" s="13" t="str">
        <f t="shared" si="12"/>
        <v>1</v>
      </c>
      <c r="B50" s="13" t="str">
        <f t="shared" si="13"/>
        <v>1</v>
      </c>
      <c r="C50" s="13" t="str">
        <f t="shared" si="14"/>
        <v>1</v>
      </c>
      <c r="D50" s="13" t="str">
        <f t="shared" si="15"/>
        <v>3</v>
      </c>
      <c r="E50" s="13" t="str">
        <f t="shared" si="16"/>
        <v>05</v>
      </c>
      <c r="F50" s="13" t="str">
        <f t="shared" si="17"/>
        <v>01</v>
      </c>
      <c r="G50" s="13" t="s">
        <v>81</v>
      </c>
      <c r="H50" s="13" t="s">
        <v>1436</v>
      </c>
      <c r="I50" s="16" t="s">
        <v>1538</v>
      </c>
      <c r="J50" s="13"/>
      <c r="K50" s="13"/>
      <c r="L50" s="13"/>
      <c r="M50" s="16"/>
    </row>
    <row r="51" spans="1:13" ht="25.5" x14ac:dyDescent="0.25">
      <c r="A51" s="13" t="str">
        <f t="shared" si="12"/>
        <v>1</v>
      </c>
      <c r="B51" s="13" t="str">
        <f t="shared" si="13"/>
        <v>1</v>
      </c>
      <c r="C51" s="13" t="str">
        <f t="shared" si="14"/>
        <v>1</v>
      </c>
      <c r="D51" s="13" t="str">
        <f t="shared" si="15"/>
        <v>3</v>
      </c>
      <c r="E51" s="13" t="str">
        <f t="shared" si="16"/>
        <v>05</v>
      </c>
      <c r="F51" s="13" t="str">
        <f t="shared" si="17"/>
        <v>02</v>
      </c>
      <c r="G51" s="13" t="s">
        <v>82</v>
      </c>
      <c r="H51" s="13" t="s">
        <v>1437</v>
      </c>
      <c r="I51" s="16" t="s">
        <v>1539</v>
      </c>
      <c r="J51" s="13"/>
      <c r="K51" s="13"/>
      <c r="L51" s="13"/>
      <c r="M51" s="16"/>
    </row>
    <row r="52" spans="1:13" ht="25.5" x14ac:dyDescent="0.25">
      <c r="A52" s="19" t="str">
        <f t="shared" si="12"/>
        <v>1</v>
      </c>
      <c r="B52" s="19" t="str">
        <f t="shared" si="13"/>
        <v>1</v>
      </c>
      <c r="C52" s="19" t="str">
        <f t="shared" si="14"/>
        <v>1</v>
      </c>
      <c r="D52" s="19" t="str">
        <f t="shared" si="15"/>
        <v>5</v>
      </c>
      <c r="E52" s="19" t="str">
        <f t="shared" si="16"/>
        <v>00</v>
      </c>
      <c r="F52" s="19" t="str">
        <f t="shared" si="17"/>
        <v>00</v>
      </c>
      <c r="G52" s="19" t="s">
        <v>83</v>
      </c>
      <c r="H52" s="19" t="s">
        <v>1438</v>
      </c>
      <c r="I52" s="20" t="s">
        <v>1540</v>
      </c>
      <c r="J52" s="19"/>
      <c r="K52" s="19"/>
      <c r="L52" s="19"/>
      <c r="M52" s="20"/>
    </row>
    <row r="53" spans="1:13" ht="38.25" x14ac:dyDescent="0.25">
      <c r="A53" s="12" t="str">
        <f t="shared" si="12"/>
        <v>1</v>
      </c>
      <c r="B53" s="12" t="str">
        <f t="shared" si="13"/>
        <v>1</v>
      </c>
      <c r="C53" s="12" t="str">
        <f t="shared" si="14"/>
        <v>2</v>
      </c>
      <c r="D53" s="12" t="str">
        <f t="shared" si="15"/>
        <v>0</v>
      </c>
      <c r="E53" s="12" t="str">
        <f t="shared" si="16"/>
        <v>00</v>
      </c>
      <c r="F53" s="12" t="str">
        <f t="shared" si="17"/>
        <v>00</v>
      </c>
      <c r="G53" s="12" t="s">
        <v>84</v>
      </c>
      <c r="H53" s="12" t="s">
        <v>1439</v>
      </c>
      <c r="I53" s="15" t="s">
        <v>1541</v>
      </c>
      <c r="J53" s="12"/>
      <c r="K53" s="12"/>
      <c r="L53" s="12"/>
      <c r="M53" s="15"/>
    </row>
    <row r="54" spans="1:13" ht="63.75" x14ac:dyDescent="0.25">
      <c r="A54" s="19" t="str">
        <f t="shared" si="12"/>
        <v>1</v>
      </c>
      <c r="B54" s="19" t="str">
        <f t="shared" si="13"/>
        <v>1</v>
      </c>
      <c r="C54" s="19" t="str">
        <f t="shared" si="14"/>
        <v>2</v>
      </c>
      <c r="D54" s="19" t="str">
        <f t="shared" si="15"/>
        <v>1</v>
      </c>
      <c r="E54" s="19" t="str">
        <f t="shared" si="16"/>
        <v>00</v>
      </c>
      <c r="F54" s="19" t="str">
        <f t="shared" si="17"/>
        <v>00</v>
      </c>
      <c r="G54" s="19" t="s">
        <v>85</v>
      </c>
      <c r="H54" s="19" t="s">
        <v>1440</v>
      </c>
      <c r="I54" s="20" t="s">
        <v>1542</v>
      </c>
      <c r="J54" s="19"/>
      <c r="K54" s="19"/>
      <c r="L54" s="19"/>
      <c r="M54" s="20"/>
    </row>
    <row r="55" spans="1:13" ht="25.5" x14ac:dyDescent="0.25">
      <c r="A55" s="21" t="str">
        <f t="shared" si="12"/>
        <v>1</v>
      </c>
      <c r="B55" s="21" t="str">
        <f t="shared" si="13"/>
        <v>1</v>
      </c>
      <c r="C55" s="21" t="str">
        <f t="shared" si="14"/>
        <v>2</v>
      </c>
      <c r="D55" s="21" t="str">
        <f t="shared" si="15"/>
        <v>1</v>
      </c>
      <c r="E55" s="21" t="str">
        <f t="shared" si="16"/>
        <v>01</v>
      </c>
      <c r="F55" s="21" t="str">
        <f t="shared" si="17"/>
        <v>00</v>
      </c>
      <c r="G55" s="21" t="s">
        <v>86</v>
      </c>
      <c r="H55" s="21" t="s">
        <v>1441</v>
      </c>
      <c r="I55" s="22" t="s">
        <v>1543</v>
      </c>
      <c r="J55" s="21"/>
      <c r="K55" s="21"/>
      <c r="L55" s="21"/>
      <c r="M55" s="21"/>
    </row>
    <row r="56" spans="1:13" ht="51" x14ac:dyDescent="0.25">
      <c r="A56" s="21" t="str">
        <f t="shared" si="12"/>
        <v>1</v>
      </c>
      <c r="B56" s="21" t="str">
        <f t="shared" si="13"/>
        <v>1</v>
      </c>
      <c r="C56" s="21" t="str">
        <f t="shared" si="14"/>
        <v>2</v>
      </c>
      <c r="D56" s="21" t="str">
        <f t="shared" si="15"/>
        <v>1</v>
      </c>
      <c r="E56" s="21" t="str">
        <f t="shared" si="16"/>
        <v>02</v>
      </c>
      <c r="F56" s="21" t="str">
        <f t="shared" si="17"/>
        <v>00</v>
      </c>
      <c r="G56" s="21" t="s">
        <v>87</v>
      </c>
      <c r="H56" s="21" t="s">
        <v>1442</v>
      </c>
      <c r="I56" s="22" t="s">
        <v>1544</v>
      </c>
      <c r="J56" s="21"/>
      <c r="K56" s="21"/>
      <c r="L56" s="21"/>
      <c r="M56" s="21"/>
    </row>
    <row r="57" spans="1:13" ht="25.5" x14ac:dyDescent="0.25">
      <c r="A57" s="13" t="str">
        <f t="shared" si="12"/>
        <v>1</v>
      </c>
      <c r="B57" s="13" t="str">
        <f t="shared" si="13"/>
        <v>1</v>
      </c>
      <c r="C57" s="13" t="str">
        <f t="shared" si="14"/>
        <v>2</v>
      </c>
      <c r="D57" s="13" t="str">
        <f t="shared" si="15"/>
        <v>1</v>
      </c>
      <c r="E57" s="13" t="str">
        <f t="shared" si="16"/>
        <v>02</v>
      </c>
      <c r="F57" s="13" t="str">
        <f t="shared" si="17"/>
        <v>01</v>
      </c>
      <c r="G57" s="13" t="s">
        <v>88</v>
      </c>
      <c r="H57" s="13" t="s">
        <v>1443</v>
      </c>
      <c r="I57" s="16" t="s">
        <v>1545</v>
      </c>
      <c r="J57" s="13"/>
      <c r="K57" s="13"/>
      <c r="L57" s="13"/>
      <c r="M57" s="16"/>
    </row>
    <row r="58" spans="1:13" ht="25.5" x14ac:dyDescent="0.25">
      <c r="A58" s="13" t="str">
        <f t="shared" si="12"/>
        <v>1</v>
      </c>
      <c r="B58" s="13" t="str">
        <f t="shared" si="13"/>
        <v>1</v>
      </c>
      <c r="C58" s="13" t="str">
        <f t="shared" si="14"/>
        <v>2</v>
      </c>
      <c r="D58" s="13" t="str">
        <f t="shared" si="15"/>
        <v>1</v>
      </c>
      <c r="E58" s="13" t="str">
        <f t="shared" si="16"/>
        <v>02</v>
      </c>
      <c r="F58" s="13" t="str">
        <f t="shared" si="17"/>
        <v>02</v>
      </c>
      <c r="G58" s="13" t="s">
        <v>89</v>
      </c>
      <c r="H58" s="13" t="s">
        <v>1444</v>
      </c>
      <c r="I58" s="16" t="s">
        <v>1546</v>
      </c>
      <c r="J58" s="13"/>
      <c r="K58" s="13"/>
      <c r="L58" s="13"/>
      <c r="M58" s="16"/>
    </row>
    <row r="59" spans="1:13" ht="51" x14ac:dyDescent="0.25">
      <c r="A59" s="21" t="str">
        <f t="shared" si="12"/>
        <v>1</v>
      </c>
      <c r="B59" s="21" t="str">
        <f t="shared" si="13"/>
        <v>1</v>
      </c>
      <c r="C59" s="21" t="str">
        <f t="shared" si="14"/>
        <v>2</v>
      </c>
      <c r="D59" s="21" t="str">
        <f t="shared" si="15"/>
        <v>1</v>
      </c>
      <c r="E59" s="21" t="str">
        <f t="shared" si="16"/>
        <v>03</v>
      </c>
      <c r="F59" s="21" t="str">
        <f t="shared" si="17"/>
        <v>00</v>
      </c>
      <c r="G59" s="21" t="s">
        <v>90</v>
      </c>
      <c r="H59" s="21" t="s">
        <v>1445</v>
      </c>
      <c r="I59" s="22" t="s">
        <v>1547</v>
      </c>
      <c r="J59" s="21"/>
      <c r="K59" s="21"/>
      <c r="L59" s="21"/>
      <c r="M59" s="21"/>
    </row>
    <row r="60" spans="1:13" x14ac:dyDescent="0.25">
      <c r="A60" s="21" t="str">
        <f t="shared" si="12"/>
        <v>1</v>
      </c>
      <c r="B60" s="21" t="str">
        <f t="shared" si="13"/>
        <v>1</v>
      </c>
      <c r="C60" s="21" t="str">
        <f t="shared" si="14"/>
        <v>2</v>
      </c>
      <c r="D60" s="21" t="str">
        <f t="shared" si="15"/>
        <v>1</v>
      </c>
      <c r="E60" s="21" t="str">
        <f t="shared" si="16"/>
        <v>04</v>
      </c>
      <c r="F60" s="21" t="str">
        <f t="shared" si="17"/>
        <v>00</v>
      </c>
      <c r="G60" s="21" t="s">
        <v>91</v>
      </c>
      <c r="H60" s="21" t="s">
        <v>1446</v>
      </c>
      <c r="I60" s="22" t="s">
        <v>1548</v>
      </c>
      <c r="J60" s="21"/>
      <c r="K60" s="21"/>
      <c r="L60" s="21"/>
      <c r="M60" s="21"/>
    </row>
    <row r="61" spans="1:13" ht="25.5" x14ac:dyDescent="0.25">
      <c r="A61" s="13" t="str">
        <f t="shared" si="12"/>
        <v>1</v>
      </c>
      <c r="B61" s="13" t="str">
        <f t="shared" si="13"/>
        <v>1</v>
      </c>
      <c r="C61" s="13" t="str">
        <f t="shared" si="14"/>
        <v>2</v>
      </c>
      <c r="D61" s="13" t="str">
        <f t="shared" si="15"/>
        <v>1</v>
      </c>
      <c r="E61" s="13" t="str">
        <f t="shared" si="16"/>
        <v>04</v>
      </c>
      <c r="F61" s="13" t="str">
        <f t="shared" si="17"/>
        <v>01</v>
      </c>
      <c r="G61" s="13" t="s">
        <v>92</v>
      </c>
      <c r="H61" s="13" t="s">
        <v>1447</v>
      </c>
      <c r="I61" s="16" t="s">
        <v>1549</v>
      </c>
      <c r="J61" s="13"/>
      <c r="K61" s="13"/>
      <c r="L61" s="13"/>
      <c r="M61" s="16"/>
    </row>
    <row r="62" spans="1:13" ht="25.5" x14ac:dyDescent="0.25">
      <c r="A62" s="13" t="str">
        <f t="shared" si="12"/>
        <v>1</v>
      </c>
      <c r="B62" s="13" t="str">
        <f t="shared" si="13"/>
        <v>1</v>
      </c>
      <c r="C62" s="13" t="str">
        <f t="shared" si="14"/>
        <v>2</v>
      </c>
      <c r="D62" s="13" t="str">
        <f t="shared" si="15"/>
        <v>1</v>
      </c>
      <c r="E62" s="13" t="str">
        <f t="shared" si="16"/>
        <v>04</v>
      </c>
      <c r="F62" s="13" t="str">
        <f t="shared" si="17"/>
        <v>02</v>
      </c>
      <c r="G62" s="13" t="s">
        <v>93</v>
      </c>
      <c r="H62" s="13" t="s">
        <v>1448</v>
      </c>
      <c r="I62" s="16" t="s">
        <v>1550</v>
      </c>
      <c r="J62" s="13"/>
      <c r="K62" s="13"/>
      <c r="L62" s="13"/>
      <c r="M62" s="16"/>
    </row>
    <row r="63" spans="1:13" ht="25.5" x14ac:dyDescent="0.25">
      <c r="A63" s="21" t="str">
        <f t="shared" si="12"/>
        <v>1</v>
      </c>
      <c r="B63" s="21" t="str">
        <f t="shared" si="13"/>
        <v>1</v>
      </c>
      <c r="C63" s="21" t="str">
        <f t="shared" si="14"/>
        <v>2</v>
      </c>
      <c r="D63" s="21" t="str">
        <f t="shared" si="15"/>
        <v>1</v>
      </c>
      <c r="E63" s="21" t="str">
        <f t="shared" si="16"/>
        <v>05</v>
      </c>
      <c r="F63" s="21" t="str">
        <f t="shared" si="17"/>
        <v>00</v>
      </c>
      <c r="G63" s="21" t="s">
        <v>94</v>
      </c>
      <c r="H63" s="21" t="s">
        <v>1449</v>
      </c>
      <c r="I63" s="22" t="s">
        <v>1551</v>
      </c>
      <c r="J63" s="21"/>
      <c r="K63" s="21"/>
      <c r="L63" s="21"/>
      <c r="M63" s="21"/>
    </row>
    <row r="64" spans="1:13" ht="38.25" x14ac:dyDescent="0.25">
      <c r="A64" s="21" t="str">
        <f t="shared" si="12"/>
        <v>1</v>
      </c>
      <c r="B64" s="21" t="str">
        <f t="shared" si="13"/>
        <v>1</v>
      </c>
      <c r="C64" s="21" t="str">
        <f t="shared" si="14"/>
        <v>2</v>
      </c>
      <c r="D64" s="21" t="str">
        <f t="shared" si="15"/>
        <v>1</v>
      </c>
      <c r="E64" s="21" t="str">
        <f t="shared" si="16"/>
        <v>10</v>
      </c>
      <c r="F64" s="21" t="str">
        <f t="shared" si="17"/>
        <v>00</v>
      </c>
      <c r="G64" s="21" t="s">
        <v>95</v>
      </c>
      <c r="H64" s="21" t="s">
        <v>1450</v>
      </c>
      <c r="I64" s="22" t="s">
        <v>1552</v>
      </c>
      <c r="J64" s="21"/>
      <c r="K64" s="21"/>
      <c r="L64" s="21"/>
      <c r="M64" s="21"/>
    </row>
    <row r="65" spans="1:13" ht="25.5" x14ac:dyDescent="0.25">
      <c r="A65" s="21" t="str">
        <f t="shared" si="12"/>
        <v>1</v>
      </c>
      <c r="B65" s="21" t="str">
        <f t="shared" si="13"/>
        <v>1</v>
      </c>
      <c r="C65" s="21" t="str">
        <f t="shared" si="14"/>
        <v>2</v>
      </c>
      <c r="D65" s="21" t="str">
        <f t="shared" si="15"/>
        <v>1</v>
      </c>
      <c r="E65" s="21" t="str">
        <f t="shared" si="16"/>
        <v>11</v>
      </c>
      <c r="F65" s="21" t="str">
        <f t="shared" si="17"/>
        <v>00</v>
      </c>
      <c r="G65" s="21" t="s">
        <v>96</v>
      </c>
      <c r="H65" s="21" t="s">
        <v>1451</v>
      </c>
      <c r="I65" s="22" t="s">
        <v>1553</v>
      </c>
      <c r="J65" s="21"/>
      <c r="K65" s="21"/>
      <c r="L65" s="21"/>
      <c r="M65" s="21"/>
    </row>
    <row r="66" spans="1:13" ht="38.25" x14ac:dyDescent="0.25">
      <c r="A66" s="21" t="str">
        <f t="shared" si="12"/>
        <v>1</v>
      </c>
      <c r="B66" s="21" t="str">
        <f t="shared" si="13"/>
        <v>1</v>
      </c>
      <c r="C66" s="21" t="str">
        <f t="shared" si="14"/>
        <v>2</v>
      </c>
      <c r="D66" s="21" t="str">
        <f t="shared" si="15"/>
        <v>1</v>
      </c>
      <c r="E66" s="21" t="str">
        <f t="shared" si="16"/>
        <v>13</v>
      </c>
      <c r="F66" s="21" t="str">
        <f t="shared" si="17"/>
        <v>00</v>
      </c>
      <c r="G66" s="21" t="s">
        <v>97</v>
      </c>
      <c r="H66" s="21" t="s">
        <v>1452</v>
      </c>
      <c r="I66" s="22" t="s">
        <v>1554</v>
      </c>
      <c r="J66" s="21"/>
      <c r="K66" s="21" t="s">
        <v>4018</v>
      </c>
      <c r="L66" s="21" t="s">
        <v>4202</v>
      </c>
      <c r="M66" s="21"/>
    </row>
    <row r="67" spans="1:13" ht="51" x14ac:dyDescent="0.25">
      <c r="A67" s="21" t="str">
        <f t="shared" si="12"/>
        <v>1</v>
      </c>
      <c r="B67" s="21" t="str">
        <f t="shared" si="13"/>
        <v>1</v>
      </c>
      <c r="C67" s="21" t="str">
        <f t="shared" si="14"/>
        <v>2</v>
      </c>
      <c r="D67" s="21" t="str">
        <f t="shared" si="15"/>
        <v>1</v>
      </c>
      <c r="E67" s="21" t="str">
        <f t="shared" si="16"/>
        <v>14</v>
      </c>
      <c r="F67" s="21" t="str">
        <f t="shared" si="17"/>
        <v>00</v>
      </c>
      <c r="G67" s="21" t="s">
        <v>98</v>
      </c>
      <c r="H67" s="21" t="s">
        <v>1453</v>
      </c>
      <c r="I67" s="22" t="s">
        <v>1555</v>
      </c>
      <c r="J67" s="21"/>
      <c r="K67" s="21"/>
      <c r="L67" s="21"/>
      <c r="M67" s="21"/>
    </row>
    <row r="68" spans="1:13" ht="38.25" x14ac:dyDescent="0.25">
      <c r="A68" s="21" t="str">
        <f t="shared" si="12"/>
        <v>1</v>
      </c>
      <c r="B68" s="21" t="str">
        <f t="shared" si="13"/>
        <v>1</v>
      </c>
      <c r="C68" s="21" t="str">
        <f t="shared" si="14"/>
        <v>2</v>
      </c>
      <c r="D68" s="21" t="str">
        <f t="shared" si="15"/>
        <v>1</v>
      </c>
      <c r="E68" s="21" t="str">
        <f t="shared" si="16"/>
        <v>15</v>
      </c>
      <c r="F68" s="21" t="str">
        <f t="shared" si="17"/>
        <v>00</v>
      </c>
      <c r="G68" s="21" t="s">
        <v>99</v>
      </c>
      <c r="H68" s="21" t="s">
        <v>1454</v>
      </c>
      <c r="I68" s="22" t="s">
        <v>1556</v>
      </c>
      <c r="J68" s="21"/>
      <c r="K68" s="21"/>
      <c r="L68" s="21"/>
      <c r="M68" s="21"/>
    </row>
    <row r="69" spans="1:13" ht="38.25" x14ac:dyDescent="0.25">
      <c r="A69" s="21" t="str">
        <f t="shared" si="12"/>
        <v>1</v>
      </c>
      <c r="B69" s="21" t="str">
        <f t="shared" si="13"/>
        <v>1</v>
      </c>
      <c r="C69" s="21" t="str">
        <f t="shared" si="14"/>
        <v>2</v>
      </c>
      <c r="D69" s="21" t="str">
        <f t="shared" si="15"/>
        <v>1</v>
      </c>
      <c r="E69" s="21" t="str">
        <f t="shared" si="16"/>
        <v>16</v>
      </c>
      <c r="F69" s="21" t="str">
        <f t="shared" si="17"/>
        <v>00</v>
      </c>
      <c r="G69" s="21" t="s">
        <v>100</v>
      </c>
      <c r="H69" s="21" t="s">
        <v>1455</v>
      </c>
      <c r="I69" s="22" t="s">
        <v>1557</v>
      </c>
      <c r="J69" s="21"/>
      <c r="K69" s="21"/>
      <c r="L69" s="21"/>
      <c r="M69" s="21"/>
    </row>
    <row r="70" spans="1:13" ht="38.25" x14ac:dyDescent="0.25">
      <c r="A70" s="21" t="str">
        <f t="shared" si="12"/>
        <v>1</v>
      </c>
      <c r="B70" s="21" t="str">
        <f t="shared" si="13"/>
        <v>1</v>
      </c>
      <c r="C70" s="21" t="str">
        <f t="shared" si="14"/>
        <v>2</v>
      </c>
      <c r="D70" s="21" t="str">
        <f t="shared" si="15"/>
        <v>1</v>
      </c>
      <c r="E70" s="21" t="str">
        <f t="shared" si="16"/>
        <v>17</v>
      </c>
      <c r="F70" s="21" t="str">
        <f t="shared" si="17"/>
        <v>00</v>
      </c>
      <c r="G70" s="21" t="s">
        <v>101</v>
      </c>
      <c r="H70" s="21" t="s">
        <v>1456</v>
      </c>
      <c r="I70" s="22" t="s">
        <v>1558</v>
      </c>
      <c r="J70" s="21"/>
      <c r="K70" s="21"/>
      <c r="L70" s="21"/>
      <c r="M70" s="21"/>
    </row>
    <row r="71" spans="1:13" ht="38.25" x14ac:dyDescent="0.25">
      <c r="A71" s="21" t="str">
        <f t="shared" si="12"/>
        <v>1</v>
      </c>
      <c r="B71" s="21" t="str">
        <f t="shared" si="13"/>
        <v>1</v>
      </c>
      <c r="C71" s="21" t="str">
        <f t="shared" si="14"/>
        <v>2</v>
      </c>
      <c r="D71" s="21" t="str">
        <f t="shared" si="15"/>
        <v>1</v>
      </c>
      <c r="E71" s="21" t="str">
        <f t="shared" si="16"/>
        <v>20</v>
      </c>
      <c r="F71" s="21" t="str">
        <f t="shared" si="17"/>
        <v>00</v>
      </c>
      <c r="G71" s="21" t="s">
        <v>102</v>
      </c>
      <c r="H71" s="21" t="s">
        <v>1457</v>
      </c>
      <c r="I71" s="22" t="s">
        <v>1559</v>
      </c>
      <c r="J71" s="21"/>
      <c r="K71" s="21"/>
      <c r="L71" s="21"/>
      <c r="M71" s="21"/>
    </row>
    <row r="72" spans="1:13" ht="38.25" x14ac:dyDescent="0.25">
      <c r="A72" s="13" t="str">
        <f t="shared" si="12"/>
        <v>1</v>
      </c>
      <c r="B72" s="13" t="str">
        <f t="shared" si="13"/>
        <v>1</v>
      </c>
      <c r="C72" s="13" t="str">
        <f t="shared" si="14"/>
        <v>2</v>
      </c>
      <c r="D72" s="13" t="str">
        <f t="shared" si="15"/>
        <v>1</v>
      </c>
      <c r="E72" s="13" t="str">
        <f t="shared" si="16"/>
        <v>20</v>
      </c>
      <c r="F72" s="13" t="str">
        <f t="shared" si="17"/>
        <v>01</v>
      </c>
      <c r="G72" s="13" t="s">
        <v>103</v>
      </c>
      <c r="H72" s="13" t="s">
        <v>1458</v>
      </c>
      <c r="I72" s="16" t="s">
        <v>1560</v>
      </c>
      <c r="J72" s="13"/>
      <c r="K72" s="13"/>
      <c r="L72" s="13"/>
      <c r="M72" s="16"/>
    </row>
    <row r="73" spans="1:13" ht="25.5" x14ac:dyDescent="0.25">
      <c r="A73" s="13" t="str">
        <f t="shared" si="12"/>
        <v>1</v>
      </c>
      <c r="B73" s="13" t="str">
        <f t="shared" si="13"/>
        <v>1</v>
      </c>
      <c r="C73" s="13" t="str">
        <f t="shared" si="14"/>
        <v>2</v>
      </c>
      <c r="D73" s="13" t="str">
        <f t="shared" si="15"/>
        <v>1</v>
      </c>
      <c r="E73" s="13" t="str">
        <f t="shared" si="16"/>
        <v>20</v>
      </c>
      <c r="F73" s="13" t="str">
        <f t="shared" si="17"/>
        <v>02</v>
      </c>
      <c r="G73" s="13" t="s">
        <v>104</v>
      </c>
      <c r="H73" s="13" t="s">
        <v>1459</v>
      </c>
      <c r="I73" s="16" t="s">
        <v>1561</v>
      </c>
      <c r="J73" s="13"/>
      <c r="K73" s="13"/>
      <c r="L73" s="13"/>
      <c r="M73" s="16"/>
    </row>
    <row r="74" spans="1:13" ht="25.5" x14ac:dyDescent="0.25">
      <c r="A74" s="13" t="str">
        <f t="shared" si="12"/>
        <v>1</v>
      </c>
      <c r="B74" s="13" t="str">
        <f t="shared" si="13"/>
        <v>1</v>
      </c>
      <c r="C74" s="13" t="str">
        <f t="shared" si="14"/>
        <v>2</v>
      </c>
      <c r="D74" s="13" t="str">
        <f t="shared" si="15"/>
        <v>1</v>
      </c>
      <c r="E74" s="13" t="str">
        <f t="shared" si="16"/>
        <v>20</v>
      </c>
      <c r="F74" s="13" t="str">
        <f t="shared" si="17"/>
        <v>03</v>
      </c>
      <c r="G74" s="13" t="s">
        <v>105</v>
      </c>
      <c r="H74" s="13" t="s">
        <v>1460</v>
      </c>
      <c r="I74" s="16" t="s">
        <v>1562</v>
      </c>
      <c r="J74" s="13"/>
      <c r="K74" s="13"/>
      <c r="L74" s="13"/>
      <c r="M74" s="16"/>
    </row>
    <row r="75" spans="1:13" ht="25.5" x14ac:dyDescent="0.25">
      <c r="A75" s="13" t="str">
        <f t="shared" si="12"/>
        <v>1</v>
      </c>
      <c r="B75" s="13" t="str">
        <f t="shared" si="13"/>
        <v>1</v>
      </c>
      <c r="C75" s="13" t="str">
        <f t="shared" si="14"/>
        <v>2</v>
      </c>
      <c r="D75" s="13" t="str">
        <f t="shared" si="15"/>
        <v>1</v>
      </c>
      <c r="E75" s="13" t="str">
        <f t="shared" si="16"/>
        <v>20</v>
      </c>
      <c r="F75" s="13" t="str">
        <f t="shared" si="17"/>
        <v>04</v>
      </c>
      <c r="G75" s="13" t="s">
        <v>106</v>
      </c>
      <c r="H75" s="13" t="s">
        <v>1461</v>
      </c>
      <c r="I75" s="16" t="s">
        <v>1563</v>
      </c>
      <c r="J75" s="13"/>
      <c r="K75" s="13"/>
      <c r="L75" s="13"/>
      <c r="M75" s="16"/>
    </row>
    <row r="76" spans="1:13" ht="25.5" x14ac:dyDescent="0.25">
      <c r="A76" s="13" t="str">
        <f t="shared" si="12"/>
        <v>1</v>
      </c>
      <c r="B76" s="13" t="str">
        <f t="shared" si="13"/>
        <v>1</v>
      </c>
      <c r="C76" s="13" t="str">
        <f t="shared" si="14"/>
        <v>2</v>
      </c>
      <c r="D76" s="13" t="str">
        <f t="shared" si="15"/>
        <v>1</v>
      </c>
      <c r="E76" s="13" t="str">
        <f t="shared" si="16"/>
        <v>20</v>
      </c>
      <c r="F76" s="13" t="str">
        <f t="shared" si="17"/>
        <v>05</v>
      </c>
      <c r="G76" s="13" t="s">
        <v>107</v>
      </c>
      <c r="H76" s="13" t="s">
        <v>1462</v>
      </c>
      <c r="I76" s="16" t="s">
        <v>1564</v>
      </c>
      <c r="J76" s="13"/>
      <c r="K76" s="13"/>
      <c r="L76" s="13"/>
      <c r="M76" s="16"/>
    </row>
    <row r="77" spans="1:13" ht="25.5" x14ac:dyDescent="0.25">
      <c r="A77" s="13" t="str">
        <f t="shared" si="12"/>
        <v>1</v>
      </c>
      <c r="B77" s="13" t="str">
        <f t="shared" si="13"/>
        <v>1</v>
      </c>
      <c r="C77" s="13" t="str">
        <f t="shared" si="14"/>
        <v>2</v>
      </c>
      <c r="D77" s="13" t="str">
        <f t="shared" si="15"/>
        <v>1</v>
      </c>
      <c r="E77" s="13" t="str">
        <f t="shared" si="16"/>
        <v>20</v>
      </c>
      <c r="F77" s="13" t="str">
        <f t="shared" si="17"/>
        <v>06</v>
      </c>
      <c r="G77" s="13" t="s">
        <v>108</v>
      </c>
      <c r="H77" s="13" t="s">
        <v>1463</v>
      </c>
      <c r="I77" s="16" t="s">
        <v>1565</v>
      </c>
      <c r="J77" s="13"/>
      <c r="K77" s="13"/>
      <c r="L77" s="13"/>
      <c r="M77" s="16"/>
    </row>
    <row r="78" spans="1:13" x14ac:dyDescent="0.25">
      <c r="A78" s="13" t="str">
        <f t="shared" si="12"/>
        <v>1</v>
      </c>
      <c r="B78" s="13" t="str">
        <f t="shared" si="13"/>
        <v>1</v>
      </c>
      <c r="C78" s="13" t="str">
        <f t="shared" si="14"/>
        <v>2</v>
      </c>
      <c r="D78" s="13" t="str">
        <f t="shared" si="15"/>
        <v>1</v>
      </c>
      <c r="E78" s="13" t="str">
        <f t="shared" si="16"/>
        <v>20</v>
      </c>
      <c r="F78" s="13" t="str">
        <f t="shared" si="17"/>
        <v>99</v>
      </c>
      <c r="G78" s="13" t="s">
        <v>109</v>
      </c>
      <c r="H78" s="13" t="s">
        <v>1464</v>
      </c>
      <c r="I78" s="16" t="s">
        <v>1566</v>
      </c>
      <c r="J78" s="13"/>
      <c r="K78" s="13"/>
      <c r="L78" s="13"/>
      <c r="M78" s="16"/>
    </row>
    <row r="79" spans="1:13" ht="25.5" x14ac:dyDescent="0.25">
      <c r="A79" s="21" t="str">
        <f t="shared" si="12"/>
        <v>1</v>
      </c>
      <c r="B79" s="21" t="str">
        <f t="shared" si="13"/>
        <v>1</v>
      </c>
      <c r="C79" s="21" t="str">
        <f t="shared" si="14"/>
        <v>2</v>
      </c>
      <c r="D79" s="21" t="str">
        <f t="shared" si="15"/>
        <v>1</v>
      </c>
      <c r="E79" s="21" t="str">
        <f t="shared" si="16"/>
        <v>21</v>
      </c>
      <c r="F79" s="21" t="str">
        <f t="shared" si="17"/>
        <v>00</v>
      </c>
      <c r="G79" s="21" t="s">
        <v>110</v>
      </c>
      <c r="H79" s="21" t="s">
        <v>1465</v>
      </c>
      <c r="I79" s="22" t="s">
        <v>1567</v>
      </c>
      <c r="J79" s="21"/>
      <c r="K79" s="21"/>
      <c r="L79" s="21"/>
      <c r="M79" s="21"/>
    </row>
    <row r="80" spans="1:13" ht="51" x14ac:dyDescent="0.25">
      <c r="A80" s="21" t="str">
        <f t="shared" si="12"/>
        <v>1</v>
      </c>
      <c r="B80" s="21" t="str">
        <f t="shared" si="13"/>
        <v>1</v>
      </c>
      <c r="C80" s="21" t="str">
        <f t="shared" si="14"/>
        <v>2</v>
      </c>
      <c r="D80" s="21" t="str">
        <f t="shared" si="15"/>
        <v>1</v>
      </c>
      <c r="E80" s="21" t="str">
        <f t="shared" si="16"/>
        <v>22</v>
      </c>
      <c r="F80" s="21" t="str">
        <f t="shared" si="17"/>
        <v>00</v>
      </c>
      <c r="G80" s="21" t="s">
        <v>111</v>
      </c>
      <c r="H80" s="21" t="s">
        <v>1466</v>
      </c>
      <c r="I80" s="22" t="s">
        <v>1568</v>
      </c>
      <c r="J80" s="21"/>
      <c r="K80" s="21"/>
      <c r="L80" s="21"/>
      <c r="M80" s="21"/>
    </row>
    <row r="81" spans="1:13" ht="25.5" x14ac:dyDescent="0.25">
      <c r="A81" s="21" t="str">
        <f t="shared" si="12"/>
        <v>1</v>
      </c>
      <c r="B81" s="21" t="str">
        <f t="shared" si="13"/>
        <v>1</v>
      </c>
      <c r="C81" s="21" t="str">
        <f t="shared" si="14"/>
        <v>2</v>
      </c>
      <c r="D81" s="21" t="str">
        <f t="shared" si="15"/>
        <v>1</v>
      </c>
      <c r="E81" s="21" t="str">
        <f t="shared" si="16"/>
        <v>23</v>
      </c>
      <c r="F81" s="21" t="str">
        <f t="shared" si="17"/>
        <v>00</v>
      </c>
      <c r="G81" s="21" t="s">
        <v>112</v>
      </c>
      <c r="H81" s="21" t="s">
        <v>1467</v>
      </c>
      <c r="I81" s="22" t="s">
        <v>1569</v>
      </c>
      <c r="J81" s="21"/>
      <c r="K81" s="21"/>
      <c r="L81" s="21"/>
      <c r="M81" s="21"/>
    </row>
    <row r="82" spans="1:13" ht="25.5" x14ac:dyDescent="0.25">
      <c r="A82" s="21" t="str">
        <f t="shared" si="12"/>
        <v>1</v>
      </c>
      <c r="B82" s="21" t="str">
        <f t="shared" si="13"/>
        <v>1</v>
      </c>
      <c r="C82" s="21" t="str">
        <f t="shared" si="14"/>
        <v>2</v>
      </c>
      <c r="D82" s="21" t="str">
        <f t="shared" si="15"/>
        <v>1</v>
      </c>
      <c r="E82" s="21" t="str">
        <f t="shared" si="16"/>
        <v>24</v>
      </c>
      <c r="F82" s="21" t="str">
        <f t="shared" si="17"/>
        <v>00</v>
      </c>
      <c r="G82" s="21" t="s">
        <v>113</v>
      </c>
      <c r="H82" s="21" t="s">
        <v>1468</v>
      </c>
      <c r="I82" s="22" t="s">
        <v>1570</v>
      </c>
      <c r="J82" s="21"/>
      <c r="K82" s="21"/>
      <c r="L82" s="21"/>
      <c r="M82" s="21"/>
    </row>
    <row r="83" spans="1:13" ht="38.25" x14ac:dyDescent="0.25">
      <c r="A83" s="21" t="str">
        <f t="shared" si="12"/>
        <v>1</v>
      </c>
      <c r="B83" s="21" t="str">
        <f t="shared" si="13"/>
        <v>1</v>
      </c>
      <c r="C83" s="21" t="str">
        <f t="shared" si="14"/>
        <v>2</v>
      </c>
      <c r="D83" s="21" t="str">
        <f t="shared" si="15"/>
        <v>1</v>
      </c>
      <c r="E83" s="21" t="str">
        <f t="shared" si="16"/>
        <v>25</v>
      </c>
      <c r="F83" s="21" t="str">
        <f t="shared" si="17"/>
        <v>00</v>
      </c>
      <c r="G83" s="21" t="s">
        <v>114</v>
      </c>
      <c r="H83" s="21" t="s">
        <v>1469</v>
      </c>
      <c r="I83" s="22" t="s">
        <v>1571</v>
      </c>
      <c r="J83" s="21"/>
      <c r="K83" s="21"/>
      <c r="L83" s="21"/>
      <c r="M83" s="21"/>
    </row>
    <row r="84" spans="1:13" x14ac:dyDescent="0.25">
      <c r="A84" s="21" t="str">
        <f t="shared" si="12"/>
        <v>1</v>
      </c>
      <c r="B84" s="21" t="str">
        <f t="shared" si="13"/>
        <v>1</v>
      </c>
      <c r="C84" s="21" t="str">
        <f t="shared" si="14"/>
        <v>2</v>
      </c>
      <c r="D84" s="21" t="str">
        <f t="shared" si="15"/>
        <v>1</v>
      </c>
      <c r="E84" s="21" t="str">
        <f t="shared" si="16"/>
        <v>26</v>
      </c>
      <c r="F84" s="21" t="str">
        <f t="shared" si="17"/>
        <v>00</v>
      </c>
      <c r="G84" s="21" t="s">
        <v>115</v>
      </c>
      <c r="H84" s="21" t="s">
        <v>1470</v>
      </c>
      <c r="I84" s="22" t="s">
        <v>1572</v>
      </c>
      <c r="J84" s="21"/>
      <c r="K84" s="21"/>
      <c r="L84" s="21"/>
      <c r="M84" s="21"/>
    </row>
    <row r="85" spans="1:13" x14ac:dyDescent="0.25">
      <c r="A85" s="21" t="str">
        <f t="shared" si="12"/>
        <v>1</v>
      </c>
      <c r="B85" s="21" t="str">
        <f t="shared" si="13"/>
        <v>1</v>
      </c>
      <c r="C85" s="21" t="str">
        <f t="shared" si="14"/>
        <v>2</v>
      </c>
      <c r="D85" s="21" t="str">
        <f t="shared" si="15"/>
        <v>1</v>
      </c>
      <c r="E85" s="21" t="str">
        <f t="shared" si="16"/>
        <v>27</v>
      </c>
      <c r="F85" s="21" t="str">
        <f t="shared" si="17"/>
        <v>00</v>
      </c>
      <c r="G85" s="21" t="s">
        <v>116</v>
      </c>
      <c r="H85" s="21" t="s">
        <v>1471</v>
      </c>
      <c r="I85" s="22" t="s">
        <v>1573</v>
      </c>
      <c r="J85" s="21"/>
      <c r="K85" s="21"/>
      <c r="L85" s="21"/>
      <c r="M85" s="21"/>
    </row>
    <row r="86" spans="1:13" ht="25.5" x14ac:dyDescent="0.25">
      <c r="A86" s="21" t="str">
        <f t="shared" si="12"/>
        <v>1</v>
      </c>
      <c r="B86" s="21" t="str">
        <f t="shared" si="13"/>
        <v>1</v>
      </c>
      <c r="C86" s="21" t="str">
        <f t="shared" si="14"/>
        <v>2</v>
      </c>
      <c r="D86" s="21" t="str">
        <f t="shared" si="15"/>
        <v>1</v>
      </c>
      <c r="E86" s="21" t="str">
        <f t="shared" si="16"/>
        <v>28</v>
      </c>
      <c r="F86" s="21" t="str">
        <f t="shared" si="17"/>
        <v>00</v>
      </c>
      <c r="G86" s="21" t="s">
        <v>117</v>
      </c>
      <c r="H86" s="21" t="s">
        <v>1472</v>
      </c>
      <c r="I86" s="22" t="s">
        <v>1574</v>
      </c>
      <c r="J86" s="21"/>
      <c r="K86" s="21"/>
      <c r="L86" s="21"/>
      <c r="M86" s="21"/>
    </row>
    <row r="87" spans="1:13" ht="25.5" x14ac:dyDescent="0.25">
      <c r="A87" s="21" t="str">
        <f t="shared" si="12"/>
        <v>1</v>
      </c>
      <c r="B87" s="21" t="str">
        <f t="shared" si="13"/>
        <v>1</v>
      </c>
      <c r="C87" s="21" t="str">
        <f t="shared" si="14"/>
        <v>2</v>
      </c>
      <c r="D87" s="21" t="str">
        <f t="shared" si="15"/>
        <v>1</v>
      </c>
      <c r="E87" s="21" t="str">
        <f t="shared" si="16"/>
        <v>29</v>
      </c>
      <c r="F87" s="21" t="str">
        <f t="shared" si="17"/>
        <v>00</v>
      </c>
      <c r="G87" s="21" t="s">
        <v>118</v>
      </c>
      <c r="H87" s="21" t="s">
        <v>1473</v>
      </c>
      <c r="I87" s="22" t="s">
        <v>1575</v>
      </c>
      <c r="J87" s="21"/>
      <c r="K87" s="21"/>
      <c r="L87" s="21"/>
      <c r="M87" s="21"/>
    </row>
    <row r="88" spans="1:13" ht="25.5" x14ac:dyDescent="0.25">
      <c r="A88" s="21" t="str">
        <f t="shared" si="12"/>
        <v>1</v>
      </c>
      <c r="B88" s="21" t="str">
        <f t="shared" si="13"/>
        <v>1</v>
      </c>
      <c r="C88" s="21" t="str">
        <f t="shared" si="14"/>
        <v>2</v>
      </c>
      <c r="D88" s="21" t="str">
        <f t="shared" si="15"/>
        <v>1</v>
      </c>
      <c r="E88" s="21" t="str">
        <f t="shared" si="16"/>
        <v>30</v>
      </c>
      <c r="F88" s="21" t="str">
        <f t="shared" si="17"/>
        <v>00</v>
      </c>
      <c r="G88" s="21" t="s">
        <v>119</v>
      </c>
      <c r="H88" s="21" t="s">
        <v>1474</v>
      </c>
      <c r="I88" s="22" t="s">
        <v>1576</v>
      </c>
      <c r="J88" s="21"/>
      <c r="K88" s="21"/>
      <c r="L88" s="21"/>
      <c r="M88" s="21"/>
    </row>
    <row r="89" spans="1:13" ht="38.25" x14ac:dyDescent="0.25">
      <c r="A89" s="21" t="str">
        <f t="shared" si="12"/>
        <v>1</v>
      </c>
      <c r="B89" s="21" t="str">
        <f t="shared" si="13"/>
        <v>1</v>
      </c>
      <c r="C89" s="21" t="str">
        <f t="shared" si="14"/>
        <v>2</v>
      </c>
      <c r="D89" s="21" t="str">
        <f t="shared" si="15"/>
        <v>1</v>
      </c>
      <c r="E89" s="21" t="str">
        <f t="shared" si="16"/>
        <v>31</v>
      </c>
      <c r="F89" s="21" t="str">
        <f t="shared" si="17"/>
        <v>00</v>
      </c>
      <c r="G89" s="21" t="s">
        <v>120</v>
      </c>
      <c r="H89" s="21" t="s">
        <v>1475</v>
      </c>
      <c r="I89" s="22" t="s">
        <v>1577</v>
      </c>
      <c r="J89" s="21"/>
      <c r="K89" s="21"/>
      <c r="L89" s="21"/>
      <c r="M89" s="21"/>
    </row>
    <row r="90" spans="1:13" ht="25.5" x14ac:dyDescent="0.25">
      <c r="A90" s="21" t="str">
        <f t="shared" si="12"/>
        <v>1</v>
      </c>
      <c r="B90" s="21" t="str">
        <f t="shared" si="13"/>
        <v>1</v>
      </c>
      <c r="C90" s="21" t="str">
        <f t="shared" si="14"/>
        <v>2</v>
      </c>
      <c r="D90" s="21" t="str">
        <f t="shared" si="15"/>
        <v>1</v>
      </c>
      <c r="E90" s="21" t="str">
        <f t="shared" si="16"/>
        <v>32</v>
      </c>
      <c r="F90" s="21" t="str">
        <f t="shared" si="17"/>
        <v>00</v>
      </c>
      <c r="G90" s="21" t="s">
        <v>121</v>
      </c>
      <c r="H90" s="21" t="s">
        <v>1476</v>
      </c>
      <c r="I90" s="22" t="s">
        <v>1578</v>
      </c>
      <c r="J90" s="21"/>
      <c r="K90" s="21"/>
      <c r="L90" s="21"/>
      <c r="M90" s="21"/>
    </row>
    <row r="91" spans="1:13" ht="25.5" x14ac:dyDescent="0.25">
      <c r="A91" s="21" t="str">
        <f t="shared" si="12"/>
        <v>1</v>
      </c>
      <c r="B91" s="21" t="str">
        <f t="shared" si="13"/>
        <v>1</v>
      </c>
      <c r="C91" s="21" t="str">
        <f t="shared" si="14"/>
        <v>2</v>
      </c>
      <c r="D91" s="21" t="str">
        <f t="shared" si="15"/>
        <v>1</v>
      </c>
      <c r="E91" s="21" t="str">
        <f t="shared" si="16"/>
        <v>34</v>
      </c>
      <c r="F91" s="21" t="str">
        <f t="shared" si="17"/>
        <v>00</v>
      </c>
      <c r="G91" s="21" t="s">
        <v>122</v>
      </c>
      <c r="H91" s="21" t="s">
        <v>1477</v>
      </c>
      <c r="I91" s="22" t="s">
        <v>1579</v>
      </c>
      <c r="J91" s="21"/>
      <c r="K91" s="21"/>
      <c r="L91" s="21"/>
      <c r="M91" s="21"/>
    </row>
    <row r="92" spans="1:13" x14ac:dyDescent="0.25">
      <c r="A92" s="21" t="str">
        <f t="shared" si="12"/>
        <v>1</v>
      </c>
      <c r="B92" s="21" t="str">
        <f t="shared" si="13"/>
        <v>1</v>
      </c>
      <c r="C92" s="21" t="str">
        <f t="shared" si="14"/>
        <v>2</v>
      </c>
      <c r="D92" s="21" t="str">
        <f t="shared" si="15"/>
        <v>1</v>
      </c>
      <c r="E92" s="21" t="str">
        <f t="shared" si="16"/>
        <v>35</v>
      </c>
      <c r="F92" s="21" t="str">
        <f t="shared" si="17"/>
        <v>00</v>
      </c>
      <c r="G92" s="21" t="s">
        <v>123</v>
      </c>
      <c r="H92" s="21" t="s">
        <v>1478</v>
      </c>
      <c r="I92" s="22" t="s">
        <v>1580</v>
      </c>
      <c r="J92" s="21"/>
      <c r="K92" s="21"/>
      <c r="L92" s="21"/>
      <c r="M92" s="21"/>
    </row>
    <row r="93" spans="1:13" ht="25.5" x14ac:dyDescent="0.25">
      <c r="A93" s="21" t="str">
        <f t="shared" si="12"/>
        <v>1</v>
      </c>
      <c r="B93" s="21" t="str">
        <f t="shared" si="13"/>
        <v>1</v>
      </c>
      <c r="C93" s="21" t="str">
        <f t="shared" si="14"/>
        <v>2</v>
      </c>
      <c r="D93" s="21" t="str">
        <f t="shared" si="15"/>
        <v>1</v>
      </c>
      <c r="E93" s="21" t="str">
        <f t="shared" si="16"/>
        <v>36</v>
      </c>
      <c r="F93" s="21" t="str">
        <f t="shared" si="17"/>
        <v>00</v>
      </c>
      <c r="G93" s="21" t="s">
        <v>124</v>
      </c>
      <c r="H93" s="21" t="s">
        <v>1479</v>
      </c>
      <c r="I93" s="22" t="s">
        <v>1581</v>
      </c>
      <c r="J93" s="21"/>
      <c r="K93" s="21"/>
      <c r="L93" s="21"/>
      <c r="M93" s="21"/>
    </row>
    <row r="94" spans="1:13" ht="25.5" x14ac:dyDescent="0.25">
      <c r="A94" s="21" t="str">
        <f t="shared" ref="A94:A158" si="18">MID(G94,1,1)</f>
        <v>1</v>
      </c>
      <c r="B94" s="21" t="str">
        <f t="shared" ref="B94:B158" si="19">MID(G94,2,1)</f>
        <v>1</v>
      </c>
      <c r="C94" s="21" t="str">
        <f t="shared" ref="C94:C158" si="20">MID(G94,3,1)</f>
        <v>2</v>
      </c>
      <c r="D94" s="21" t="str">
        <f t="shared" ref="D94:D158" si="21">MID(G94,4,1)</f>
        <v>1</v>
      </c>
      <c r="E94" s="21" t="str">
        <f t="shared" ref="E94:E158" si="22">MID(G94,6,2)</f>
        <v>37</v>
      </c>
      <c r="F94" s="21" t="str">
        <f t="shared" ref="F94:F158" si="23">MID(G94,9,2)</f>
        <v>00</v>
      </c>
      <c r="G94" s="21" t="s">
        <v>125</v>
      </c>
      <c r="H94" s="21" t="s">
        <v>1480</v>
      </c>
      <c r="I94" s="22" t="s">
        <v>1582</v>
      </c>
      <c r="J94" s="21"/>
      <c r="K94" s="21"/>
      <c r="L94" s="21"/>
      <c r="M94" s="21"/>
    </row>
    <row r="95" spans="1:13" ht="25.5" x14ac:dyDescent="0.25">
      <c r="A95" s="21" t="str">
        <f t="shared" si="18"/>
        <v>1</v>
      </c>
      <c r="B95" s="21" t="str">
        <f t="shared" si="19"/>
        <v>1</v>
      </c>
      <c r="C95" s="21" t="str">
        <f t="shared" si="20"/>
        <v>2</v>
      </c>
      <c r="D95" s="21" t="str">
        <f t="shared" si="21"/>
        <v>1</v>
      </c>
      <c r="E95" s="21" t="str">
        <f t="shared" si="22"/>
        <v>38</v>
      </c>
      <c r="F95" s="21" t="str">
        <f t="shared" si="23"/>
        <v>00</v>
      </c>
      <c r="G95" s="21" t="s">
        <v>126</v>
      </c>
      <c r="H95" s="21" t="s">
        <v>1481</v>
      </c>
      <c r="I95" s="22" t="s">
        <v>1583</v>
      </c>
      <c r="J95" s="21"/>
      <c r="K95" s="21"/>
      <c r="L95" s="21"/>
      <c r="M95" s="21"/>
    </row>
    <row r="96" spans="1:13" ht="25.5" x14ac:dyDescent="0.25">
      <c r="A96" s="21" t="str">
        <f t="shared" si="18"/>
        <v>1</v>
      </c>
      <c r="B96" s="21" t="str">
        <f t="shared" si="19"/>
        <v>1</v>
      </c>
      <c r="C96" s="21" t="str">
        <f t="shared" si="20"/>
        <v>2</v>
      </c>
      <c r="D96" s="21" t="str">
        <f t="shared" si="21"/>
        <v>1</v>
      </c>
      <c r="E96" s="21" t="str">
        <f t="shared" si="22"/>
        <v>39</v>
      </c>
      <c r="F96" s="21" t="str">
        <f t="shared" si="23"/>
        <v>00</v>
      </c>
      <c r="G96" s="21" t="s">
        <v>127</v>
      </c>
      <c r="H96" s="21" t="s">
        <v>1482</v>
      </c>
      <c r="I96" s="22" t="s">
        <v>1584</v>
      </c>
      <c r="J96" s="21"/>
      <c r="K96" s="21"/>
      <c r="L96" s="21"/>
      <c r="M96" s="21"/>
    </row>
    <row r="97" spans="1:13" ht="25.5" x14ac:dyDescent="0.25">
      <c r="A97" s="21" t="str">
        <f t="shared" si="18"/>
        <v>1</v>
      </c>
      <c r="B97" s="21" t="str">
        <f t="shared" si="19"/>
        <v>1</v>
      </c>
      <c r="C97" s="21" t="str">
        <f t="shared" si="20"/>
        <v>2</v>
      </c>
      <c r="D97" s="21" t="str">
        <f t="shared" si="21"/>
        <v>1</v>
      </c>
      <c r="E97" s="21" t="str">
        <f t="shared" si="22"/>
        <v>40</v>
      </c>
      <c r="F97" s="21" t="str">
        <f t="shared" si="23"/>
        <v>00</v>
      </c>
      <c r="G97" s="21" t="s">
        <v>128</v>
      </c>
      <c r="H97" s="21" t="s">
        <v>1483</v>
      </c>
      <c r="I97" s="22" t="s">
        <v>1585</v>
      </c>
      <c r="J97" s="21"/>
      <c r="K97" s="21"/>
      <c r="L97" s="21"/>
      <c r="M97" s="21"/>
    </row>
    <row r="98" spans="1:13" ht="51" x14ac:dyDescent="0.25">
      <c r="A98" s="21" t="str">
        <f t="shared" ref="A98" si="24">MID(G98,1,1)</f>
        <v>1</v>
      </c>
      <c r="B98" s="21" t="str">
        <f t="shared" ref="B98" si="25">MID(G98,2,1)</f>
        <v>1</v>
      </c>
      <c r="C98" s="21" t="str">
        <f t="shared" ref="C98" si="26">MID(G98,3,1)</f>
        <v>2</v>
      </c>
      <c r="D98" s="21" t="str">
        <f t="shared" ref="D98" si="27">MID(G98,4,1)</f>
        <v>1</v>
      </c>
      <c r="E98" s="21" t="str">
        <f t="shared" ref="E98" si="28">MID(G98,6,2)</f>
        <v>50</v>
      </c>
      <c r="F98" s="21" t="str">
        <f t="shared" ref="F98" si="29">MID(G98,9,2)</f>
        <v>00</v>
      </c>
      <c r="G98" s="21" t="s">
        <v>4259</v>
      </c>
      <c r="H98" s="21" t="s">
        <v>4260</v>
      </c>
      <c r="I98" s="22" t="s">
        <v>4269</v>
      </c>
      <c r="J98" s="21"/>
      <c r="K98" s="21" t="s">
        <v>46</v>
      </c>
      <c r="L98" s="21" t="s">
        <v>4279</v>
      </c>
      <c r="M98" s="21" t="s">
        <v>4270</v>
      </c>
    </row>
    <row r="99" spans="1:13" ht="25.5" x14ac:dyDescent="0.25">
      <c r="A99" s="21" t="str">
        <f t="shared" si="18"/>
        <v>1</v>
      </c>
      <c r="B99" s="21" t="str">
        <f t="shared" si="19"/>
        <v>1</v>
      </c>
      <c r="C99" s="21" t="str">
        <f t="shared" si="20"/>
        <v>2</v>
      </c>
      <c r="D99" s="21" t="str">
        <f t="shared" si="21"/>
        <v>1</v>
      </c>
      <c r="E99" s="21" t="str">
        <f t="shared" si="22"/>
        <v>99</v>
      </c>
      <c r="F99" s="21" t="str">
        <f t="shared" si="23"/>
        <v>00</v>
      </c>
      <c r="G99" s="21" t="s">
        <v>129</v>
      </c>
      <c r="H99" s="21" t="s">
        <v>1484</v>
      </c>
      <c r="I99" s="22" t="s">
        <v>1586</v>
      </c>
      <c r="J99" s="21"/>
      <c r="K99" s="21"/>
      <c r="L99" s="21"/>
      <c r="M99" s="21"/>
    </row>
    <row r="100" spans="1:13" ht="63.75" x14ac:dyDescent="0.25">
      <c r="A100" s="19" t="str">
        <f t="shared" si="18"/>
        <v>1</v>
      </c>
      <c r="B100" s="19" t="str">
        <f t="shared" si="19"/>
        <v>1</v>
      </c>
      <c r="C100" s="19" t="str">
        <f t="shared" si="20"/>
        <v>2</v>
      </c>
      <c r="D100" s="19" t="str">
        <f t="shared" si="21"/>
        <v>2</v>
      </c>
      <c r="E100" s="19" t="str">
        <f t="shared" si="22"/>
        <v>00</v>
      </c>
      <c r="F100" s="19" t="str">
        <f t="shared" si="23"/>
        <v>00</v>
      </c>
      <c r="G100" s="19" t="s">
        <v>130</v>
      </c>
      <c r="H100" s="19" t="s">
        <v>1485</v>
      </c>
      <c r="I100" s="20" t="s">
        <v>1587</v>
      </c>
      <c r="J100" s="19"/>
      <c r="K100" s="19"/>
      <c r="L100" s="19"/>
      <c r="M100" s="20"/>
    </row>
    <row r="101" spans="1:13" ht="25.5" x14ac:dyDescent="0.25">
      <c r="A101" s="21" t="str">
        <f t="shared" si="18"/>
        <v>1</v>
      </c>
      <c r="B101" s="21" t="str">
        <f t="shared" si="19"/>
        <v>1</v>
      </c>
      <c r="C101" s="21" t="str">
        <f t="shared" si="20"/>
        <v>2</v>
      </c>
      <c r="D101" s="21" t="str">
        <f t="shared" si="21"/>
        <v>2</v>
      </c>
      <c r="E101" s="21" t="str">
        <f t="shared" si="22"/>
        <v>01</v>
      </c>
      <c r="F101" s="21" t="str">
        <f t="shared" si="23"/>
        <v>00</v>
      </c>
      <c r="G101" s="21" t="s">
        <v>131</v>
      </c>
      <c r="H101" s="21" t="s">
        <v>1486</v>
      </c>
      <c r="I101" s="22" t="s">
        <v>1588</v>
      </c>
      <c r="J101" s="21"/>
      <c r="K101" s="21"/>
      <c r="L101" s="21"/>
      <c r="M101" s="21"/>
    </row>
    <row r="102" spans="1:13" ht="25.5" x14ac:dyDescent="0.25">
      <c r="A102" s="21" t="str">
        <f t="shared" si="18"/>
        <v>1</v>
      </c>
      <c r="B102" s="21" t="str">
        <f t="shared" si="19"/>
        <v>1</v>
      </c>
      <c r="C102" s="21" t="str">
        <f t="shared" si="20"/>
        <v>2</v>
      </c>
      <c r="D102" s="21" t="str">
        <f t="shared" si="21"/>
        <v>2</v>
      </c>
      <c r="E102" s="21" t="str">
        <f t="shared" si="22"/>
        <v>02</v>
      </c>
      <c r="F102" s="21" t="str">
        <f t="shared" si="23"/>
        <v>00</v>
      </c>
      <c r="G102" s="21" t="s">
        <v>132</v>
      </c>
      <c r="H102" s="21" t="s">
        <v>1487</v>
      </c>
      <c r="I102" s="22" t="s">
        <v>1589</v>
      </c>
      <c r="J102" s="21"/>
      <c r="K102" s="21"/>
      <c r="L102" s="21"/>
      <c r="M102" s="21"/>
    </row>
    <row r="103" spans="1:13" ht="51" x14ac:dyDescent="0.25">
      <c r="A103" s="21" t="str">
        <f t="shared" si="18"/>
        <v>1</v>
      </c>
      <c r="B103" s="21" t="str">
        <f t="shared" si="19"/>
        <v>1</v>
      </c>
      <c r="C103" s="21" t="str">
        <f t="shared" si="20"/>
        <v>2</v>
      </c>
      <c r="D103" s="21" t="str">
        <f t="shared" si="21"/>
        <v>2</v>
      </c>
      <c r="E103" s="21" t="str">
        <f t="shared" si="22"/>
        <v>03</v>
      </c>
      <c r="F103" s="21" t="str">
        <f t="shared" si="23"/>
        <v>00</v>
      </c>
      <c r="G103" s="21" t="s">
        <v>133</v>
      </c>
      <c r="H103" s="21" t="s">
        <v>1488</v>
      </c>
      <c r="I103" s="22" t="s">
        <v>1590</v>
      </c>
      <c r="J103" s="21"/>
      <c r="K103" s="21"/>
      <c r="L103" s="21"/>
      <c r="M103" s="21"/>
    </row>
    <row r="104" spans="1:13" x14ac:dyDescent="0.25">
      <c r="A104" s="21" t="str">
        <f t="shared" si="18"/>
        <v>1</v>
      </c>
      <c r="B104" s="21" t="str">
        <f t="shared" si="19"/>
        <v>1</v>
      </c>
      <c r="C104" s="21" t="str">
        <f t="shared" si="20"/>
        <v>2</v>
      </c>
      <c r="D104" s="21" t="str">
        <f t="shared" si="21"/>
        <v>2</v>
      </c>
      <c r="E104" s="21" t="str">
        <f t="shared" si="22"/>
        <v>04</v>
      </c>
      <c r="F104" s="21" t="str">
        <f t="shared" si="23"/>
        <v>00</v>
      </c>
      <c r="G104" s="21" t="s">
        <v>134</v>
      </c>
      <c r="H104" s="21" t="s">
        <v>1489</v>
      </c>
      <c r="I104" s="22" t="s">
        <v>1591</v>
      </c>
      <c r="J104" s="21"/>
      <c r="K104" s="21"/>
      <c r="L104" s="21"/>
      <c r="M104" s="21"/>
    </row>
    <row r="105" spans="1:13" ht="38.25" x14ac:dyDescent="0.25">
      <c r="A105" s="21" t="str">
        <f t="shared" si="18"/>
        <v>1</v>
      </c>
      <c r="B105" s="21" t="str">
        <f t="shared" si="19"/>
        <v>1</v>
      </c>
      <c r="C105" s="21" t="str">
        <f t="shared" si="20"/>
        <v>2</v>
      </c>
      <c r="D105" s="21" t="str">
        <f t="shared" si="21"/>
        <v>2</v>
      </c>
      <c r="E105" s="21" t="str">
        <f t="shared" si="22"/>
        <v>06</v>
      </c>
      <c r="F105" s="21" t="str">
        <f t="shared" si="23"/>
        <v>00</v>
      </c>
      <c r="G105" s="21" t="s">
        <v>135</v>
      </c>
      <c r="H105" s="21" t="s">
        <v>1490</v>
      </c>
      <c r="I105" s="22" t="s">
        <v>1592</v>
      </c>
      <c r="J105" s="21"/>
      <c r="K105" s="21"/>
      <c r="L105" s="21"/>
      <c r="M105" s="21"/>
    </row>
    <row r="106" spans="1:13" ht="25.5" x14ac:dyDescent="0.25">
      <c r="A106" s="21" t="str">
        <f t="shared" si="18"/>
        <v>1</v>
      </c>
      <c r="B106" s="21" t="str">
        <f t="shared" si="19"/>
        <v>1</v>
      </c>
      <c r="C106" s="21" t="str">
        <f t="shared" si="20"/>
        <v>2</v>
      </c>
      <c r="D106" s="21" t="str">
        <f t="shared" si="21"/>
        <v>2</v>
      </c>
      <c r="E106" s="21" t="str">
        <f t="shared" si="22"/>
        <v>07</v>
      </c>
      <c r="F106" s="21" t="str">
        <f t="shared" si="23"/>
        <v>00</v>
      </c>
      <c r="G106" s="21" t="s">
        <v>136</v>
      </c>
      <c r="H106" s="21" t="s">
        <v>1491</v>
      </c>
      <c r="I106" s="22" t="s">
        <v>1593</v>
      </c>
      <c r="J106" s="21"/>
      <c r="K106" s="21"/>
      <c r="L106" s="21"/>
      <c r="M106" s="21"/>
    </row>
    <row r="107" spans="1:13" ht="63.75" x14ac:dyDescent="0.25">
      <c r="A107" s="21" t="str">
        <f t="shared" si="18"/>
        <v>1</v>
      </c>
      <c r="B107" s="21" t="str">
        <f t="shared" si="19"/>
        <v>1</v>
      </c>
      <c r="C107" s="21" t="str">
        <f t="shared" si="20"/>
        <v>2</v>
      </c>
      <c r="D107" s="21" t="str">
        <f t="shared" si="21"/>
        <v>2</v>
      </c>
      <c r="E107" s="21" t="str">
        <f t="shared" si="22"/>
        <v>08</v>
      </c>
      <c r="F107" s="21" t="str">
        <f t="shared" si="23"/>
        <v>00</v>
      </c>
      <c r="G107" s="21" t="s">
        <v>137</v>
      </c>
      <c r="H107" s="21" t="s">
        <v>1492</v>
      </c>
      <c r="I107" s="22" t="s">
        <v>1594</v>
      </c>
      <c r="J107" s="21"/>
      <c r="K107" s="21"/>
      <c r="L107" s="21"/>
      <c r="M107" s="21"/>
    </row>
    <row r="108" spans="1:13" ht="38.25" x14ac:dyDescent="0.25">
      <c r="A108" s="21" t="str">
        <f t="shared" si="18"/>
        <v>1</v>
      </c>
      <c r="B108" s="21" t="str">
        <f t="shared" si="19"/>
        <v>1</v>
      </c>
      <c r="C108" s="21" t="str">
        <f t="shared" si="20"/>
        <v>2</v>
      </c>
      <c r="D108" s="21" t="str">
        <f t="shared" si="21"/>
        <v>2</v>
      </c>
      <c r="E108" s="21" t="str">
        <f t="shared" si="22"/>
        <v>11</v>
      </c>
      <c r="F108" s="21" t="str">
        <f t="shared" si="23"/>
        <v>00</v>
      </c>
      <c r="G108" s="21" t="s">
        <v>138</v>
      </c>
      <c r="H108" s="21" t="s">
        <v>1493</v>
      </c>
      <c r="I108" s="22" t="s">
        <v>1595</v>
      </c>
      <c r="J108" s="21"/>
      <c r="K108" s="21"/>
      <c r="L108" s="21"/>
      <c r="M108" s="21"/>
    </row>
    <row r="109" spans="1:13" ht="25.5" x14ac:dyDescent="0.25">
      <c r="A109" s="21" t="str">
        <f t="shared" si="18"/>
        <v>1</v>
      </c>
      <c r="B109" s="21" t="str">
        <f t="shared" si="19"/>
        <v>1</v>
      </c>
      <c r="C109" s="21" t="str">
        <f t="shared" si="20"/>
        <v>2</v>
      </c>
      <c r="D109" s="21" t="str">
        <f t="shared" si="21"/>
        <v>2</v>
      </c>
      <c r="E109" s="21" t="str">
        <f t="shared" si="22"/>
        <v>12</v>
      </c>
      <c r="F109" s="21" t="str">
        <f t="shared" si="23"/>
        <v>00</v>
      </c>
      <c r="G109" s="21" t="s">
        <v>139</v>
      </c>
      <c r="H109" s="21" t="s">
        <v>1494</v>
      </c>
      <c r="I109" s="22" t="s">
        <v>1596</v>
      </c>
      <c r="J109" s="21"/>
      <c r="K109" s="21"/>
      <c r="L109" s="21"/>
      <c r="M109" s="21"/>
    </row>
    <row r="110" spans="1:13" ht="25.5" x14ac:dyDescent="0.25">
      <c r="A110" s="13" t="str">
        <f t="shared" si="18"/>
        <v>1</v>
      </c>
      <c r="B110" s="13" t="str">
        <f t="shared" si="19"/>
        <v>1</v>
      </c>
      <c r="C110" s="13" t="str">
        <f t="shared" si="20"/>
        <v>2</v>
      </c>
      <c r="D110" s="13" t="str">
        <f t="shared" si="21"/>
        <v>2</v>
      </c>
      <c r="E110" s="13" t="str">
        <f t="shared" si="22"/>
        <v>12</v>
      </c>
      <c r="F110" s="13" t="str">
        <f t="shared" si="23"/>
        <v>01</v>
      </c>
      <c r="G110" s="13" t="s">
        <v>140</v>
      </c>
      <c r="H110" s="13" t="s">
        <v>1495</v>
      </c>
      <c r="I110" s="16" t="s">
        <v>4106</v>
      </c>
      <c r="J110" s="13"/>
      <c r="K110" s="13"/>
      <c r="L110" s="13"/>
      <c r="M110" s="16"/>
    </row>
    <row r="111" spans="1:13" ht="25.5" x14ac:dyDescent="0.25">
      <c r="A111" s="13" t="str">
        <f t="shared" si="18"/>
        <v>1</v>
      </c>
      <c r="B111" s="13" t="str">
        <f t="shared" si="19"/>
        <v>1</v>
      </c>
      <c r="C111" s="13" t="str">
        <f t="shared" si="20"/>
        <v>2</v>
      </c>
      <c r="D111" s="13" t="str">
        <f t="shared" si="21"/>
        <v>2</v>
      </c>
      <c r="E111" s="13" t="str">
        <f t="shared" si="22"/>
        <v>12</v>
      </c>
      <c r="F111" s="13" t="str">
        <f t="shared" si="23"/>
        <v>02</v>
      </c>
      <c r="G111" s="13" t="s">
        <v>141</v>
      </c>
      <c r="H111" s="13" t="s">
        <v>1496</v>
      </c>
      <c r="I111" s="16" t="s">
        <v>4107</v>
      </c>
      <c r="J111" s="13"/>
      <c r="K111" s="13"/>
      <c r="L111" s="13"/>
      <c r="M111" s="16"/>
    </row>
    <row r="112" spans="1:13" ht="25.5" x14ac:dyDescent="0.25">
      <c r="A112" s="21" t="str">
        <f t="shared" si="18"/>
        <v>1</v>
      </c>
      <c r="B112" s="21" t="str">
        <f t="shared" si="19"/>
        <v>1</v>
      </c>
      <c r="C112" s="21" t="str">
        <f t="shared" si="20"/>
        <v>2</v>
      </c>
      <c r="D112" s="21" t="str">
        <f t="shared" si="21"/>
        <v>2</v>
      </c>
      <c r="E112" s="21" t="str">
        <f t="shared" si="22"/>
        <v>15</v>
      </c>
      <c r="F112" s="21" t="str">
        <f t="shared" si="23"/>
        <v>00</v>
      </c>
      <c r="G112" s="21" t="s">
        <v>142</v>
      </c>
      <c r="H112" s="21" t="s">
        <v>1497</v>
      </c>
      <c r="I112" s="22" t="s">
        <v>1597</v>
      </c>
      <c r="J112" s="21"/>
      <c r="K112" s="21"/>
      <c r="L112" s="21"/>
      <c r="M112" s="21"/>
    </row>
    <row r="113" spans="1:13" x14ac:dyDescent="0.25">
      <c r="A113" s="21" t="str">
        <f t="shared" si="18"/>
        <v>1</v>
      </c>
      <c r="B113" s="21" t="str">
        <f t="shared" si="19"/>
        <v>1</v>
      </c>
      <c r="C113" s="21" t="str">
        <f t="shared" si="20"/>
        <v>2</v>
      </c>
      <c r="D113" s="21" t="str">
        <f t="shared" si="21"/>
        <v>2</v>
      </c>
      <c r="E113" s="21" t="str">
        <f t="shared" si="22"/>
        <v>19</v>
      </c>
      <c r="F113" s="21" t="str">
        <f t="shared" si="23"/>
        <v>00</v>
      </c>
      <c r="G113" s="21" t="s">
        <v>143</v>
      </c>
      <c r="H113" s="21" t="s">
        <v>1498</v>
      </c>
      <c r="I113" s="22" t="s">
        <v>1598</v>
      </c>
      <c r="J113" s="21"/>
      <c r="K113" s="21"/>
      <c r="L113" s="21"/>
      <c r="M113" s="21"/>
    </row>
    <row r="114" spans="1:13" x14ac:dyDescent="0.25">
      <c r="A114" s="21" t="str">
        <f t="shared" si="18"/>
        <v>1</v>
      </c>
      <c r="B114" s="21" t="str">
        <f t="shared" si="19"/>
        <v>1</v>
      </c>
      <c r="C114" s="21" t="str">
        <f t="shared" si="20"/>
        <v>2</v>
      </c>
      <c r="D114" s="21" t="str">
        <f t="shared" si="21"/>
        <v>2</v>
      </c>
      <c r="E114" s="21" t="str">
        <f t="shared" si="22"/>
        <v>21</v>
      </c>
      <c r="F114" s="21" t="str">
        <f t="shared" si="23"/>
        <v>00</v>
      </c>
      <c r="G114" s="21" t="s">
        <v>144</v>
      </c>
      <c r="H114" s="21" t="s">
        <v>1499</v>
      </c>
      <c r="I114" s="22" t="s">
        <v>1599</v>
      </c>
      <c r="J114" s="21"/>
      <c r="K114" s="21"/>
      <c r="L114" s="21"/>
      <c r="M114" s="21"/>
    </row>
    <row r="115" spans="1:13" ht="25.5" x14ac:dyDescent="0.25">
      <c r="A115" s="21" t="str">
        <f t="shared" si="18"/>
        <v>1</v>
      </c>
      <c r="B115" s="21" t="str">
        <f t="shared" si="19"/>
        <v>1</v>
      </c>
      <c r="C115" s="21" t="str">
        <f t="shared" si="20"/>
        <v>2</v>
      </c>
      <c r="D115" s="21" t="str">
        <f t="shared" si="21"/>
        <v>2</v>
      </c>
      <c r="E115" s="21" t="str">
        <f t="shared" si="22"/>
        <v>22</v>
      </c>
      <c r="F115" s="21" t="str">
        <f t="shared" si="23"/>
        <v>00</v>
      </c>
      <c r="G115" s="21" t="s">
        <v>145</v>
      </c>
      <c r="H115" s="21" t="s">
        <v>1500</v>
      </c>
      <c r="I115" s="22" t="s">
        <v>1600</v>
      </c>
      <c r="J115" s="21"/>
      <c r="K115" s="21"/>
      <c r="L115" s="21"/>
      <c r="M115" s="21"/>
    </row>
    <row r="116" spans="1:13" ht="25.5" x14ac:dyDescent="0.25">
      <c r="A116" s="21" t="str">
        <f t="shared" si="18"/>
        <v>1</v>
      </c>
      <c r="B116" s="21" t="str">
        <f t="shared" si="19"/>
        <v>1</v>
      </c>
      <c r="C116" s="21" t="str">
        <f t="shared" si="20"/>
        <v>2</v>
      </c>
      <c r="D116" s="21" t="str">
        <f t="shared" si="21"/>
        <v>2</v>
      </c>
      <c r="E116" s="21" t="str">
        <f t="shared" si="22"/>
        <v>28</v>
      </c>
      <c r="F116" s="21" t="str">
        <f t="shared" si="23"/>
        <v>00</v>
      </c>
      <c r="G116" s="21" t="s">
        <v>146</v>
      </c>
      <c r="H116" s="21" t="s">
        <v>1501</v>
      </c>
      <c r="I116" s="22" t="s">
        <v>1601</v>
      </c>
      <c r="J116" s="21"/>
      <c r="K116" s="21"/>
      <c r="L116" s="21"/>
      <c r="M116" s="21"/>
    </row>
    <row r="117" spans="1:13" ht="38.25" x14ac:dyDescent="0.25">
      <c r="A117" s="21" t="str">
        <f t="shared" si="18"/>
        <v>1</v>
      </c>
      <c r="B117" s="21" t="str">
        <f t="shared" si="19"/>
        <v>1</v>
      </c>
      <c r="C117" s="21" t="str">
        <f t="shared" si="20"/>
        <v>2</v>
      </c>
      <c r="D117" s="21" t="str">
        <f t="shared" si="21"/>
        <v>2</v>
      </c>
      <c r="E117" s="21" t="str">
        <f t="shared" si="22"/>
        <v>29</v>
      </c>
      <c r="F117" s="21" t="str">
        <f t="shared" si="23"/>
        <v>00</v>
      </c>
      <c r="G117" s="21" t="s">
        <v>147</v>
      </c>
      <c r="H117" s="21" t="s">
        <v>1502</v>
      </c>
      <c r="I117" s="22" t="s">
        <v>1602</v>
      </c>
      <c r="J117" s="21"/>
      <c r="K117" s="21"/>
      <c r="L117" s="21"/>
      <c r="M117" s="21"/>
    </row>
    <row r="118" spans="1:13" ht="25.5" x14ac:dyDescent="0.25">
      <c r="A118" s="21" t="str">
        <f t="shared" si="18"/>
        <v>1</v>
      </c>
      <c r="B118" s="21" t="str">
        <f t="shared" si="19"/>
        <v>1</v>
      </c>
      <c r="C118" s="21" t="str">
        <f t="shared" si="20"/>
        <v>2</v>
      </c>
      <c r="D118" s="21" t="str">
        <f t="shared" si="21"/>
        <v>2</v>
      </c>
      <c r="E118" s="21" t="str">
        <f t="shared" si="22"/>
        <v>90</v>
      </c>
      <c r="F118" s="21" t="str">
        <f t="shared" si="23"/>
        <v>00</v>
      </c>
      <c r="G118" s="21" t="s">
        <v>148</v>
      </c>
      <c r="H118" s="21" t="s">
        <v>1503</v>
      </c>
      <c r="I118" s="22" t="s">
        <v>1603</v>
      </c>
      <c r="J118" s="21"/>
      <c r="K118" s="21"/>
      <c r="L118" s="21"/>
      <c r="M118" s="21"/>
    </row>
    <row r="119" spans="1:13" x14ac:dyDescent="0.25">
      <c r="A119" s="21" t="str">
        <f t="shared" si="18"/>
        <v>1</v>
      </c>
      <c r="B119" s="21" t="str">
        <f t="shared" si="19"/>
        <v>1</v>
      </c>
      <c r="C119" s="21" t="str">
        <f t="shared" si="20"/>
        <v>2</v>
      </c>
      <c r="D119" s="21" t="str">
        <f t="shared" si="21"/>
        <v>2</v>
      </c>
      <c r="E119" s="21" t="str">
        <f t="shared" si="22"/>
        <v>99</v>
      </c>
      <c r="F119" s="21" t="str">
        <f t="shared" si="23"/>
        <v>00</v>
      </c>
      <c r="G119" s="21" t="s">
        <v>149</v>
      </c>
      <c r="H119" s="21" t="s">
        <v>1504</v>
      </c>
      <c r="I119" s="22" t="s">
        <v>1604</v>
      </c>
      <c r="J119" s="21"/>
      <c r="K119" s="21"/>
      <c r="L119" s="21"/>
      <c r="M119" s="21"/>
    </row>
    <row r="120" spans="1:13" ht="38.25" x14ac:dyDescent="0.25">
      <c r="A120" s="12" t="str">
        <f t="shared" si="18"/>
        <v>1</v>
      </c>
      <c r="B120" s="12" t="str">
        <f t="shared" si="19"/>
        <v>1</v>
      </c>
      <c r="C120" s="12" t="str">
        <f t="shared" si="20"/>
        <v>3</v>
      </c>
      <c r="D120" s="12" t="str">
        <f t="shared" si="21"/>
        <v>0</v>
      </c>
      <c r="E120" s="12" t="str">
        <f t="shared" si="22"/>
        <v>00</v>
      </c>
      <c r="F120" s="12" t="str">
        <f t="shared" si="23"/>
        <v>00</v>
      </c>
      <c r="G120" s="12" t="s">
        <v>150</v>
      </c>
      <c r="H120" s="12" t="s">
        <v>1505</v>
      </c>
      <c r="I120" s="15" t="s">
        <v>1605</v>
      </c>
      <c r="J120" s="12"/>
      <c r="K120" s="12"/>
      <c r="L120" s="12"/>
      <c r="M120" s="15"/>
    </row>
    <row r="121" spans="1:13" ht="25.5" x14ac:dyDescent="0.25">
      <c r="A121" s="21" t="str">
        <f t="shared" si="18"/>
        <v>1</v>
      </c>
      <c r="B121" s="21" t="str">
        <f t="shared" si="19"/>
        <v>1</v>
      </c>
      <c r="C121" s="21" t="str">
        <f t="shared" si="20"/>
        <v>3</v>
      </c>
      <c r="D121" s="21" t="str">
        <f t="shared" si="21"/>
        <v>0</v>
      </c>
      <c r="E121" s="21" t="str">
        <f t="shared" si="22"/>
        <v>01</v>
      </c>
      <c r="F121" s="21" t="str">
        <f t="shared" si="23"/>
        <v>00</v>
      </c>
      <c r="G121" s="21" t="s">
        <v>151</v>
      </c>
      <c r="H121" s="21" t="s">
        <v>1506</v>
      </c>
      <c r="I121" s="22" t="s">
        <v>1606</v>
      </c>
      <c r="J121" s="21"/>
      <c r="K121" s="21"/>
      <c r="L121" s="21"/>
      <c r="M121" s="21"/>
    </row>
    <row r="122" spans="1:13" ht="25.5" x14ac:dyDescent="0.25">
      <c r="A122" s="21" t="str">
        <f t="shared" si="18"/>
        <v>1</v>
      </c>
      <c r="B122" s="21" t="str">
        <f t="shared" si="19"/>
        <v>1</v>
      </c>
      <c r="C122" s="21" t="str">
        <f t="shared" si="20"/>
        <v>3</v>
      </c>
      <c r="D122" s="21" t="str">
        <f t="shared" si="21"/>
        <v>0</v>
      </c>
      <c r="E122" s="21" t="str">
        <f t="shared" si="22"/>
        <v>02</v>
      </c>
      <c r="F122" s="21" t="str">
        <f t="shared" si="23"/>
        <v>00</v>
      </c>
      <c r="G122" s="21" t="s">
        <v>152</v>
      </c>
      <c r="H122" s="21" t="s">
        <v>1401</v>
      </c>
      <c r="I122" s="22" t="s">
        <v>1607</v>
      </c>
      <c r="J122" s="21"/>
      <c r="K122" s="21"/>
      <c r="L122" s="21"/>
      <c r="M122" s="21"/>
    </row>
    <row r="123" spans="1:13" ht="25.5" x14ac:dyDescent="0.25">
      <c r="A123" s="21" t="str">
        <f t="shared" si="18"/>
        <v>1</v>
      </c>
      <c r="B123" s="21" t="str">
        <f t="shared" si="19"/>
        <v>1</v>
      </c>
      <c r="C123" s="21" t="str">
        <f t="shared" si="20"/>
        <v>3</v>
      </c>
      <c r="D123" s="21" t="str">
        <f t="shared" si="21"/>
        <v>0</v>
      </c>
      <c r="E123" s="21" t="str">
        <f t="shared" si="22"/>
        <v>03</v>
      </c>
      <c r="F123" s="21" t="str">
        <f t="shared" si="23"/>
        <v>00</v>
      </c>
      <c r="G123" s="21" t="s">
        <v>153</v>
      </c>
      <c r="H123" s="21" t="s">
        <v>1402</v>
      </c>
      <c r="I123" s="22" t="s">
        <v>1608</v>
      </c>
      <c r="J123" s="21"/>
      <c r="K123" s="21"/>
      <c r="L123" s="21"/>
      <c r="M123" s="21"/>
    </row>
    <row r="124" spans="1:13" ht="25.5" x14ac:dyDescent="0.25">
      <c r="A124" s="21" t="str">
        <f t="shared" si="18"/>
        <v>1</v>
      </c>
      <c r="B124" s="21" t="str">
        <f t="shared" si="19"/>
        <v>1</v>
      </c>
      <c r="C124" s="21" t="str">
        <f t="shared" si="20"/>
        <v>3</v>
      </c>
      <c r="D124" s="21" t="str">
        <f t="shared" si="21"/>
        <v>0</v>
      </c>
      <c r="E124" s="21" t="str">
        <f t="shared" si="22"/>
        <v>04</v>
      </c>
      <c r="F124" s="21" t="str">
        <f t="shared" si="23"/>
        <v>00</v>
      </c>
      <c r="G124" s="21" t="s">
        <v>154</v>
      </c>
      <c r="H124" s="21" t="s">
        <v>1403</v>
      </c>
      <c r="I124" s="22" t="s">
        <v>1609</v>
      </c>
      <c r="J124" s="21"/>
      <c r="K124" s="21"/>
      <c r="L124" s="21"/>
      <c r="M124" s="21"/>
    </row>
    <row r="125" spans="1:13" x14ac:dyDescent="0.25">
      <c r="A125" s="21" t="str">
        <f t="shared" si="18"/>
        <v>1</v>
      </c>
      <c r="B125" s="21" t="str">
        <f t="shared" si="19"/>
        <v>1</v>
      </c>
      <c r="C125" s="21" t="str">
        <f t="shared" si="20"/>
        <v>3</v>
      </c>
      <c r="D125" s="21" t="str">
        <f t="shared" si="21"/>
        <v>0</v>
      </c>
      <c r="E125" s="21" t="str">
        <f t="shared" si="22"/>
        <v>99</v>
      </c>
      <c r="F125" s="21" t="str">
        <f t="shared" si="23"/>
        <v>00</v>
      </c>
      <c r="G125" s="21" t="s">
        <v>155</v>
      </c>
      <c r="H125" s="21" t="s">
        <v>1404</v>
      </c>
      <c r="I125" s="22" t="s">
        <v>1610</v>
      </c>
      <c r="J125" s="21"/>
      <c r="K125" s="21"/>
      <c r="L125" s="21"/>
      <c r="M125" s="21"/>
    </row>
    <row r="126" spans="1:13" ht="38.25" x14ac:dyDescent="0.25">
      <c r="A126" s="13" t="str">
        <f t="shared" si="18"/>
        <v>1</v>
      </c>
      <c r="B126" s="13" t="str">
        <f t="shared" si="19"/>
        <v>1</v>
      </c>
      <c r="C126" s="13" t="str">
        <f t="shared" si="20"/>
        <v>3</v>
      </c>
      <c r="D126" s="13" t="str">
        <f t="shared" si="21"/>
        <v>1</v>
      </c>
      <c r="E126" s="13" t="str">
        <f t="shared" si="22"/>
        <v>02</v>
      </c>
      <c r="F126" s="13" t="str">
        <f t="shared" si="23"/>
        <v>05</v>
      </c>
      <c r="G126" s="13" t="s">
        <v>156</v>
      </c>
      <c r="H126" s="13" t="s">
        <v>1405</v>
      </c>
      <c r="I126" s="16" t="s">
        <v>1611</v>
      </c>
      <c r="J126" s="13"/>
      <c r="K126" s="13"/>
      <c r="L126" s="13"/>
      <c r="M126" s="16"/>
    </row>
    <row r="127" spans="1:13" ht="38.25" x14ac:dyDescent="0.25">
      <c r="A127" s="10" t="str">
        <f t="shared" si="18"/>
        <v>1</v>
      </c>
      <c r="B127" s="10" t="str">
        <f t="shared" si="19"/>
        <v>2</v>
      </c>
      <c r="C127" s="10" t="str">
        <f t="shared" si="20"/>
        <v>0</v>
      </c>
      <c r="D127" s="10" t="str">
        <f t="shared" si="21"/>
        <v>0</v>
      </c>
      <c r="E127" s="10" t="str">
        <f t="shared" si="22"/>
        <v>00</v>
      </c>
      <c r="F127" s="10" t="str">
        <f t="shared" si="23"/>
        <v>00</v>
      </c>
      <c r="G127" s="10" t="s">
        <v>42</v>
      </c>
      <c r="H127" s="10" t="s">
        <v>1612</v>
      </c>
      <c r="I127" s="14" t="s">
        <v>1755</v>
      </c>
      <c r="J127" s="10"/>
      <c r="K127" s="10"/>
      <c r="L127" s="10"/>
      <c r="M127" s="14"/>
    </row>
    <row r="128" spans="1:13" x14ac:dyDescent="0.25">
      <c r="A128" s="12" t="str">
        <f t="shared" si="18"/>
        <v>1</v>
      </c>
      <c r="B128" s="12" t="str">
        <f t="shared" si="19"/>
        <v>2</v>
      </c>
      <c r="C128" s="12" t="str">
        <f t="shared" si="20"/>
        <v>1</v>
      </c>
      <c r="D128" s="12" t="str">
        <f t="shared" si="21"/>
        <v>0</v>
      </c>
      <c r="E128" s="12" t="str">
        <f t="shared" si="22"/>
        <v>00</v>
      </c>
      <c r="F128" s="12" t="str">
        <f t="shared" si="23"/>
        <v>00</v>
      </c>
      <c r="G128" s="12" t="s">
        <v>43</v>
      </c>
      <c r="H128" s="12" t="s">
        <v>1613</v>
      </c>
      <c r="I128" s="15" t="s">
        <v>1756</v>
      </c>
      <c r="J128" s="12"/>
      <c r="K128" s="12"/>
      <c r="L128" s="12"/>
      <c r="M128" s="15"/>
    </row>
    <row r="129" spans="1:13" ht="38.25" x14ac:dyDescent="0.25">
      <c r="A129" s="21" t="str">
        <f t="shared" si="18"/>
        <v>1</v>
      </c>
      <c r="B129" s="21" t="str">
        <f t="shared" si="19"/>
        <v>2</v>
      </c>
      <c r="C129" s="21" t="str">
        <f t="shared" si="20"/>
        <v>1</v>
      </c>
      <c r="D129" s="21" t="str">
        <f t="shared" si="21"/>
        <v>0</v>
      </c>
      <c r="E129" s="21" t="str">
        <f t="shared" si="22"/>
        <v>01</v>
      </c>
      <c r="F129" s="21" t="str">
        <f t="shared" si="23"/>
        <v>00</v>
      </c>
      <c r="G129" s="21" t="s">
        <v>157</v>
      </c>
      <c r="H129" s="21" t="s">
        <v>1614</v>
      </c>
      <c r="I129" s="22" t="s">
        <v>1757</v>
      </c>
      <c r="J129" s="21"/>
      <c r="K129" s="21"/>
      <c r="L129" s="21"/>
      <c r="M129" s="21"/>
    </row>
    <row r="130" spans="1:13" ht="38.25" x14ac:dyDescent="0.25">
      <c r="A130" s="13" t="str">
        <f t="shared" si="18"/>
        <v>1</v>
      </c>
      <c r="B130" s="13" t="str">
        <f t="shared" si="19"/>
        <v>2</v>
      </c>
      <c r="C130" s="13" t="str">
        <f t="shared" si="20"/>
        <v>1</v>
      </c>
      <c r="D130" s="13" t="str">
        <f t="shared" si="21"/>
        <v>0</v>
      </c>
      <c r="E130" s="13" t="str">
        <f t="shared" si="22"/>
        <v>01</v>
      </c>
      <c r="F130" s="13" t="str">
        <f t="shared" si="23"/>
        <v>01</v>
      </c>
      <c r="G130" s="13" t="s">
        <v>158</v>
      </c>
      <c r="H130" s="13" t="s">
        <v>1615</v>
      </c>
      <c r="I130" s="16" t="s">
        <v>1758</v>
      </c>
      <c r="J130" s="13"/>
      <c r="K130" s="13"/>
      <c r="L130" s="13"/>
      <c r="M130" s="16"/>
    </row>
    <row r="131" spans="1:13" ht="38.25" x14ac:dyDescent="0.25">
      <c r="A131" s="13" t="str">
        <f t="shared" si="18"/>
        <v>1</v>
      </c>
      <c r="B131" s="13" t="str">
        <f t="shared" si="19"/>
        <v>2</v>
      </c>
      <c r="C131" s="13" t="str">
        <f t="shared" si="20"/>
        <v>1</v>
      </c>
      <c r="D131" s="13" t="str">
        <f t="shared" si="21"/>
        <v>0</v>
      </c>
      <c r="E131" s="13" t="str">
        <f t="shared" si="22"/>
        <v>01</v>
      </c>
      <c r="F131" s="13" t="str">
        <f t="shared" si="23"/>
        <v>02</v>
      </c>
      <c r="G131" s="13" t="s">
        <v>159</v>
      </c>
      <c r="H131" s="13" t="s">
        <v>1616</v>
      </c>
      <c r="I131" s="16" t="s">
        <v>1759</v>
      </c>
      <c r="J131" s="13"/>
      <c r="K131" s="13"/>
      <c r="L131" s="13"/>
      <c r="M131" s="16"/>
    </row>
    <row r="132" spans="1:13" ht="63.75" x14ac:dyDescent="0.25">
      <c r="A132" s="21" t="str">
        <f t="shared" si="18"/>
        <v>1</v>
      </c>
      <c r="B132" s="21" t="str">
        <f t="shared" si="19"/>
        <v>2</v>
      </c>
      <c r="C132" s="21" t="str">
        <f t="shared" si="20"/>
        <v>1</v>
      </c>
      <c r="D132" s="21" t="str">
        <f t="shared" si="21"/>
        <v>0</v>
      </c>
      <c r="E132" s="21" t="str">
        <f t="shared" si="22"/>
        <v>02</v>
      </c>
      <c r="F132" s="21" t="str">
        <f t="shared" si="23"/>
        <v>00</v>
      </c>
      <c r="G132" s="21" t="s">
        <v>160</v>
      </c>
      <c r="H132" s="21" t="s">
        <v>1617</v>
      </c>
      <c r="I132" s="22" t="s">
        <v>1760</v>
      </c>
      <c r="J132" s="21"/>
      <c r="K132" s="21"/>
      <c r="L132" s="21"/>
      <c r="M132" s="21"/>
    </row>
    <row r="133" spans="1:13" ht="38.25" x14ac:dyDescent="0.25">
      <c r="A133" s="21" t="str">
        <f t="shared" si="18"/>
        <v>1</v>
      </c>
      <c r="B133" s="21" t="str">
        <f t="shared" si="19"/>
        <v>2</v>
      </c>
      <c r="C133" s="21" t="str">
        <f t="shared" si="20"/>
        <v>1</v>
      </c>
      <c r="D133" s="21" t="str">
        <f t="shared" si="21"/>
        <v>0</v>
      </c>
      <c r="E133" s="21" t="str">
        <f t="shared" si="22"/>
        <v>04</v>
      </c>
      <c r="F133" s="21" t="str">
        <f t="shared" si="23"/>
        <v>00</v>
      </c>
      <c r="G133" s="21" t="s">
        <v>161</v>
      </c>
      <c r="H133" s="21" t="s">
        <v>1618</v>
      </c>
      <c r="I133" s="22" t="s">
        <v>1761</v>
      </c>
      <c r="J133" s="21"/>
      <c r="K133" s="21"/>
      <c r="L133" s="21"/>
      <c r="M133" s="21"/>
    </row>
    <row r="134" spans="1:13" ht="38.25" x14ac:dyDescent="0.25">
      <c r="A134" s="21" t="str">
        <f t="shared" si="18"/>
        <v>1</v>
      </c>
      <c r="B134" s="21" t="str">
        <f t="shared" si="19"/>
        <v>2</v>
      </c>
      <c r="C134" s="21" t="str">
        <f t="shared" si="20"/>
        <v>1</v>
      </c>
      <c r="D134" s="21" t="str">
        <f t="shared" si="21"/>
        <v>0</v>
      </c>
      <c r="E134" s="21" t="str">
        <f t="shared" si="22"/>
        <v>05</v>
      </c>
      <c r="F134" s="21" t="str">
        <f t="shared" si="23"/>
        <v>00</v>
      </c>
      <c r="G134" s="21" t="s">
        <v>162</v>
      </c>
      <c r="H134" s="21" t="s">
        <v>1619</v>
      </c>
      <c r="I134" s="22" t="s">
        <v>1762</v>
      </c>
      <c r="J134" s="21"/>
      <c r="K134" s="21"/>
      <c r="L134" s="21"/>
      <c r="M134" s="21"/>
    </row>
    <row r="135" spans="1:13" ht="38.25" x14ac:dyDescent="0.25">
      <c r="A135" s="21" t="str">
        <f t="shared" si="18"/>
        <v>1</v>
      </c>
      <c r="B135" s="21" t="str">
        <f t="shared" si="19"/>
        <v>2</v>
      </c>
      <c r="C135" s="21" t="str">
        <f t="shared" si="20"/>
        <v>1</v>
      </c>
      <c r="D135" s="21" t="str">
        <f t="shared" si="21"/>
        <v>0</v>
      </c>
      <c r="E135" s="21" t="str">
        <f t="shared" si="22"/>
        <v>06</v>
      </c>
      <c r="F135" s="21" t="str">
        <f t="shared" si="23"/>
        <v>00</v>
      </c>
      <c r="G135" s="21" t="s">
        <v>163</v>
      </c>
      <c r="H135" s="21" t="s">
        <v>1620</v>
      </c>
      <c r="I135" s="22" t="s">
        <v>1763</v>
      </c>
      <c r="J135" s="21"/>
      <c r="K135" s="21"/>
      <c r="L135" s="21"/>
      <c r="M135" s="21"/>
    </row>
    <row r="136" spans="1:13" ht="25.5" x14ac:dyDescent="0.25">
      <c r="A136" s="21" t="str">
        <f t="shared" si="18"/>
        <v>1</v>
      </c>
      <c r="B136" s="21" t="str">
        <f t="shared" si="19"/>
        <v>2</v>
      </c>
      <c r="C136" s="21" t="str">
        <f t="shared" si="20"/>
        <v>1</v>
      </c>
      <c r="D136" s="21" t="str">
        <f t="shared" si="21"/>
        <v>0</v>
      </c>
      <c r="E136" s="21" t="str">
        <f t="shared" si="22"/>
        <v>07</v>
      </c>
      <c r="F136" s="21" t="str">
        <f t="shared" si="23"/>
        <v>00</v>
      </c>
      <c r="G136" s="21" t="s">
        <v>164</v>
      </c>
      <c r="H136" s="21" t="s">
        <v>1621</v>
      </c>
      <c r="I136" s="22" t="s">
        <v>1764</v>
      </c>
      <c r="J136" s="21"/>
      <c r="K136" s="21"/>
      <c r="L136" s="21"/>
      <c r="M136" s="21"/>
    </row>
    <row r="137" spans="1:13" ht="25.5" x14ac:dyDescent="0.25">
      <c r="A137" s="21" t="str">
        <f t="shared" si="18"/>
        <v>1</v>
      </c>
      <c r="B137" s="21" t="str">
        <f t="shared" si="19"/>
        <v>2</v>
      </c>
      <c r="C137" s="21" t="str">
        <f t="shared" si="20"/>
        <v>1</v>
      </c>
      <c r="D137" s="21" t="str">
        <f t="shared" si="21"/>
        <v>0</v>
      </c>
      <c r="E137" s="21" t="str">
        <f t="shared" si="22"/>
        <v>09</v>
      </c>
      <c r="F137" s="21" t="str">
        <f t="shared" si="23"/>
        <v>00</v>
      </c>
      <c r="G137" s="21" t="s">
        <v>165</v>
      </c>
      <c r="H137" s="21" t="s">
        <v>1622</v>
      </c>
      <c r="I137" s="22" t="s">
        <v>1765</v>
      </c>
      <c r="J137" s="21"/>
      <c r="K137" s="21"/>
      <c r="L137" s="21"/>
      <c r="M137" s="21"/>
    </row>
    <row r="138" spans="1:13" ht="38.25" x14ac:dyDescent="0.25">
      <c r="A138" s="21" t="str">
        <f t="shared" si="18"/>
        <v>1</v>
      </c>
      <c r="B138" s="21" t="str">
        <f t="shared" si="19"/>
        <v>2</v>
      </c>
      <c r="C138" s="21" t="str">
        <f t="shared" si="20"/>
        <v>1</v>
      </c>
      <c r="D138" s="21" t="str">
        <f t="shared" si="21"/>
        <v>0</v>
      </c>
      <c r="E138" s="21" t="str">
        <f t="shared" si="22"/>
        <v>13</v>
      </c>
      <c r="F138" s="21" t="str">
        <f t="shared" si="23"/>
        <v>00</v>
      </c>
      <c r="G138" s="21" t="s">
        <v>166</v>
      </c>
      <c r="H138" s="21" t="s">
        <v>1623</v>
      </c>
      <c r="I138" s="22" t="s">
        <v>1766</v>
      </c>
      <c r="J138" s="21"/>
      <c r="K138" s="21"/>
      <c r="L138" s="21"/>
      <c r="M138" s="21"/>
    </row>
    <row r="139" spans="1:13" ht="51" x14ac:dyDescent="0.25">
      <c r="A139" s="13" t="str">
        <f t="shared" si="18"/>
        <v>1</v>
      </c>
      <c r="B139" s="13" t="str">
        <f t="shared" si="19"/>
        <v>2</v>
      </c>
      <c r="C139" s="13" t="str">
        <f t="shared" si="20"/>
        <v>1</v>
      </c>
      <c r="D139" s="13" t="str">
        <f t="shared" si="21"/>
        <v>0</v>
      </c>
      <c r="E139" s="13" t="str">
        <f t="shared" si="22"/>
        <v>13</v>
      </c>
      <c r="F139" s="13" t="str">
        <f t="shared" si="23"/>
        <v>01</v>
      </c>
      <c r="G139" s="13" t="s">
        <v>167</v>
      </c>
      <c r="H139" s="13" t="s">
        <v>1624</v>
      </c>
      <c r="I139" s="16" t="s">
        <v>1767</v>
      </c>
      <c r="J139" s="13"/>
      <c r="K139" s="13"/>
      <c r="L139" s="13"/>
      <c r="M139" s="16"/>
    </row>
    <row r="140" spans="1:13" ht="51" x14ac:dyDescent="0.25">
      <c r="A140" s="13" t="str">
        <f t="shared" si="18"/>
        <v>1</v>
      </c>
      <c r="B140" s="13" t="str">
        <f t="shared" si="19"/>
        <v>2</v>
      </c>
      <c r="C140" s="13" t="str">
        <f t="shared" si="20"/>
        <v>1</v>
      </c>
      <c r="D140" s="13" t="str">
        <f t="shared" si="21"/>
        <v>0</v>
      </c>
      <c r="E140" s="13" t="str">
        <f t="shared" si="22"/>
        <v>13</v>
      </c>
      <c r="F140" s="13" t="str">
        <f t="shared" si="23"/>
        <v>02</v>
      </c>
      <c r="G140" s="13" t="s">
        <v>168</v>
      </c>
      <c r="H140" s="13" t="s">
        <v>1625</v>
      </c>
      <c r="I140" s="16" t="s">
        <v>1768</v>
      </c>
      <c r="J140" s="13"/>
      <c r="K140" s="13"/>
      <c r="L140" s="13"/>
      <c r="M140" s="16"/>
    </row>
    <row r="141" spans="1:13" ht="25.5" x14ac:dyDescent="0.25">
      <c r="A141" s="21" t="str">
        <f t="shared" si="18"/>
        <v>1</v>
      </c>
      <c r="B141" s="21" t="str">
        <f t="shared" si="19"/>
        <v>2</v>
      </c>
      <c r="C141" s="21" t="str">
        <f t="shared" si="20"/>
        <v>1</v>
      </c>
      <c r="D141" s="21" t="str">
        <f t="shared" si="21"/>
        <v>0</v>
      </c>
      <c r="E141" s="21" t="str">
        <f t="shared" si="22"/>
        <v>15</v>
      </c>
      <c r="F141" s="21" t="str">
        <f t="shared" si="23"/>
        <v>00</v>
      </c>
      <c r="G141" s="21" t="s">
        <v>169</v>
      </c>
      <c r="H141" s="21" t="s">
        <v>1626</v>
      </c>
      <c r="I141" s="22" t="s">
        <v>1769</v>
      </c>
      <c r="J141" s="21"/>
      <c r="K141" s="21"/>
      <c r="L141" s="21"/>
      <c r="M141" s="21"/>
    </row>
    <row r="142" spans="1:13" ht="25.5" x14ac:dyDescent="0.25">
      <c r="A142" s="21" t="str">
        <f t="shared" si="18"/>
        <v>1</v>
      </c>
      <c r="B142" s="21" t="str">
        <f t="shared" si="19"/>
        <v>2</v>
      </c>
      <c r="C142" s="21" t="str">
        <f t="shared" si="20"/>
        <v>1</v>
      </c>
      <c r="D142" s="21" t="str">
        <f t="shared" si="21"/>
        <v>0</v>
      </c>
      <c r="E142" s="21" t="str">
        <f t="shared" si="22"/>
        <v>17</v>
      </c>
      <c r="F142" s="21" t="str">
        <f t="shared" si="23"/>
        <v>00</v>
      </c>
      <c r="G142" s="21" t="s">
        <v>170</v>
      </c>
      <c r="H142" s="21" t="s">
        <v>1627</v>
      </c>
      <c r="I142" s="22" t="s">
        <v>1770</v>
      </c>
      <c r="J142" s="21"/>
      <c r="K142" s="21"/>
      <c r="L142" s="21"/>
      <c r="M142" s="21"/>
    </row>
    <row r="143" spans="1:13" ht="38.25" x14ac:dyDescent="0.25">
      <c r="A143" s="21" t="str">
        <f t="shared" si="18"/>
        <v>1</v>
      </c>
      <c r="B143" s="21" t="str">
        <f t="shared" si="19"/>
        <v>2</v>
      </c>
      <c r="C143" s="21" t="str">
        <f t="shared" si="20"/>
        <v>1</v>
      </c>
      <c r="D143" s="21" t="str">
        <f t="shared" si="21"/>
        <v>0</v>
      </c>
      <c r="E143" s="21" t="str">
        <f t="shared" si="22"/>
        <v>18</v>
      </c>
      <c r="F143" s="21" t="str">
        <f t="shared" si="23"/>
        <v>00</v>
      </c>
      <c r="G143" s="21" t="s">
        <v>171</v>
      </c>
      <c r="H143" s="21" t="s">
        <v>1628</v>
      </c>
      <c r="I143" s="22" t="s">
        <v>1771</v>
      </c>
      <c r="J143" s="21"/>
      <c r="K143" s="21"/>
      <c r="L143" s="21"/>
      <c r="M143" s="21"/>
    </row>
    <row r="144" spans="1:13" ht="25.5" x14ac:dyDescent="0.25">
      <c r="A144" s="13" t="str">
        <f t="shared" si="18"/>
        <v>1</v>
      </c>
      <c r="B144" s="13" t="str">
        <f t="shared" si="19"/>
        <v>2</v>
      </c>
      <c r="C144" s="13" t="str">
        <f t="shared" si="20"/>
        <v>1</v>
      </c>
      <c r="D144" s="13" t="str">
        <f t="shared" si="21"/>
        <v>0</v>
      </c>
      <c r="E144" s="13" t="str">
        <f t="shared" si="22"/>
        <v>18</v>
      </c>
      <c r="F144" s="13" t="str">
        <f t="shared" si="23"/>
        <v>01</v>
      </c>
      <c r="G144" s="13" t="s">
        <v>172</v>
      </c>
      <c r="H144" s="13" t="s">
        <v>1629</v>
      </c>
      <c r="I144" s="16" t="s">
        <v>1772</v>
      </c>
      <c r="J144" s="13"/>
      <c r="K144" s="13"/>
      <c r="L144" s="13"/>
      <c r="M144" s="16"/>
    </row>
    <row r="145" spans="1:13" ht="25.5" x14ac:dyDescent="0.25">
      <c r="A145" s="13" t="str">
        <f t="shared" si="18"/>
        <v>1</v>
      </c>
      <c r="B145" s="13" t="str">
        <f t="shared" si="19"/>
        <v>2</v>
      </c>
      <c r="C145" s="13" t="str">
        <f t="shared" si="20"/>
        <v>1</v>
      </c>
      <c r="D145" s="13" t="str">
        <f t="shared" si="21"/>
        <v>0</v>
      </c>
      <c r="E145" s="13" t="str">
        <f t="shared" si="22"/>
        <v>18</v>
      </c>
      <c r="F145" s="13" t="str">
        <f t="shared" si="23"/>
        <v>02</v>
      </c>
      <c r="G145" s="13" t="s">
        <v>173</v>
      </c>
      <c r="H145" s="13" t="s">
        <v>1630</v>
      </c>
      <c r="I145" s="16" t="s">
        <v>1773</v>
      </c>
      <c r="J145" s="13"/>
      <c r="K145" s="13"/>
      <c r="L145" s="13"/>
      <c r="M145" s="16"/>
    </row>
    <row r="146" spans="1:13" ht="25.5" x14ac:dyDescent="0.25">
      <c r="A146" s="13" t="str">
        <f t="shared" si="18"/>
        <v>1</v>
      </c>
      <c r="B146" s="13" t="str">
        <f t="shared" si="19"/>
        <v>2</v>
      </c>
      <c r="C146" s="13" t="str">
        <f t="shared" si="20"/>
        <v>1</v>
      </c>
      <c r="D146" s="13" t="str">
        <f t="shared" si="21"/>
        <v>0</v>
      </c>
      <c r="E146" s="13" t="str">
        <f t="shared" si="22"/>
        <v>18</v>
      </c>
      <c r="F146" s="13" t="str">
        <f t="shared" si="23"/>
        <v>03</v>
      </c>
      <c r="G146" s="13" t="s">
        <v>174</v>
      </c>
      <c r="H146" s="13" t="s">
        <v>1631</v>
      </c>
      <c r="I146" s="16" t="s">
        <v>1774</v>
      </c>
      <c r="J146" s="13"/>
      <c r="K146" s="13"/>
      <c r="L146" s="13"/>
      <c r="M146" s="16"/>
    </row>
    <row r="147" spans="1:13" ht="25.5" x14ac:dyDescent="0.25">
      <c r="A147" s="13" t="str">
        <f t="shared" si="18"/>
        <v>1</v>
      </c>
      <c r="B147" s="13" t="str">
        <f t="shared" si="19"/>
        <v>2</v>
      </c>
      <c r="C147" s="13" t="str">
        <f t="shared" si="20"/>
        <v>1</v>
      </c>
      <c r="D147" s="13" t="str">
        <f t="shared" si="21"/>
        <v>0</v>
      </c>
      <c r="E147" s="13" t="str">
        <f t="shared" si="22"/>
        <v>18</v>
      </c>
      <c r="F147" s="13" t="str">
        <f t="shared" si="23"/>
        <v>04</v>
      </c>
      <c r="G147" s="13" t="s">
        <v>175</v>
      </c>
      <c r="H147" s="13" t="s">
        <v>1632</v>
      </c>
      <c r="I147" s="16" t="s">
        <v>1775</v>
      </c>
      <c r="J147" s="13"/>
      <c r="K147" s="13"/>
      <c r="L147" s="13"/>
      <c r="M147" s="16"/>
    </row>
    <row r="148" spans="1:13" ht="25.5" x14ac:dyDescent="0.25">
      <c r="A148" s="13" t="str">
        <f t="shared" si="18"/>
        <v>1</v>
      </c>
      <c r="B148" s="13" t="str">
        <f t="shared" si="19"/>
        <v>2</v>
      </c>
      <c r="C148" s="13" t="str">
        <f t="shared" si="20"/>
        <v>1</v>
      </c>
      <c r="D148" s="13" t="str">
        <f t="shared" si="21"/>
        <v>0</v>
      </c>
      <c r="E148" s="13" t="str">
        <f t="shared" si="22"/>
        <v>18</v>
      </c>
      <c r="F148" s="13" t="str">
        <f t="shared" si="23"/>
        <v>05</v>
      </c>
      <c r="G148" s="13" t="s">
        <v>176</v>
      </c>
      <c r="H148" s="13" t="s">
        <v>1633</v>
      </c>
      <c r="I148" s="16" t="s">
        <v>1776</v>
      </c>
      <c r="J148" s="13"/>
      <c r="K148" s="13"/>
      <c r="L148" s="13"/>
      <c r="M148" s="16"/>
    </row>
    <row r="149" spans="1:13" ht="25.5" x14ac:dyDescent="0.25">
      <c r="A149" s="13" t="str">
        <f t="shared" si="18"/>
        <v>1</v>
      </c>
      <c r="B149" s="13" t="str">
        <f t="shared" si="19"/>
        <v>2</v>
      </c>
      <c r="C149" s="13" t="str">
        <f t="shared" si="20"/>
        <v>1</v>
      </c>
      <c r="D149" s="13" t="str">
        <f t="shared" si="21"/>
        <v>0</v>
      </c>
      <c r="E149" s="13" t="str">
        <f t="shared" si="22"/>
        <v>18</v>
      </c>
      <c r="F149" s="13" t="str">
        <f t="shared" si="23"/>
        <v>06</v>
      </c>
      <c r="G149" s="13" t="s">
        <v>177</v>
      </c>
      <c r="H149" s="13" t="s">
        <v>1634</v>
      </c>
      <c r="I149" s="16" t="s">
        <v>1777</v>
      </c>
      <c r="J149" s="13"/>
      <c r="K149" s="13"/>
      <c r="L149" s="13"/>
      <c r="M149" s="16"/>
    </row>
    <row r="150" spans="1:13" ht="25.5" x14ac:dyDescent="0.25">
      <c r="A150" s="13" t="str">
        <f t="shared" si="18"/>
        <v>1</v>
      </c>
      <c r="B150" s="13" t="str">
        <f t="shared" si="19"/>
        <v>2</v>
      </c>
      <c r="C150" s="13" t="str">
        <f t="shared" si="20"/>
        <v>1</v>
      </c>
      <c r="D150" s="13" t="str">
        <f t="shared" si="21"/>
        <v>0</v>
      </c>
      <c r="E150" s="13" t="str">
        <f t="shared" si="22"/>
        <v>18</v>
      </c>
      <c r="F150" s="13" t="str">
        <f t="shared" si="23"/>
        <v>07</v>
      </c>
      <c r="G150" s="13" t="s">
        <v>178</v>
      </c>
      <c r="H150" s="13" t="s">
        <v>1635</v>
      </c>
      <c r="I150" s="16" t="s">
        <v>1778</v>
      </c>
      <c r="J150" s="13"/>
      <c r="K150" s="13"/>
      <c r="L150" s="13"/>
      <c r="M150" s="16"/>
    </row>
    <row r="151" spans="1:13" ht="51" x14ac:dyDescent="0.25">
      <c r="A151" s="13" t="str">
        <f t="shared" si="18"/>
        <v>1</v>
      </c>
      <c r="B151" s="13" t="str">
        <f t="shared" si="19"/>
        <v>2</v>
      </c>
      <c r="C151" s="13" t="str">
        <f t="shared" si="20"/>
        <v>1</v>
      </c>
      <c r="D151" s="13" t="str">
        <f t="shared" si="21"/>
        <v>0</v>
      </c>
      <c r="E151" s="13" t="str">
        <f t="shared" si="22"/>
        <v>18</v>
      </c>
      <c r="F151" s="13" t="str">
        <f t="shared" si="23"/>
        <v>08</v>
      </c>
      <c r="G151" s="13" t="s">
        <v>179</v>
      </c>
      <c r="H151" s="13" t="s">
        <v>1636</v>
      </c>
      <c r="I151" s="16" t="s">
        <v>1779</v>
      </c>
      <c r="J151" s="13"/>
      <c r="K151" s="13"/>
      <c r="L151" s="13"/>
      <c r="M151" s="16"/>
    </row>
    <row r="152" spans="1:13" ht="25.5" x14ac:dyDescent="0.25">
      <c r="A152" s="13" t="str">
        <f t="shared" si="18"/>
        <v>1</v>
      </c>
      <c r="B152" s="13" t="str">
        <f t="shared" si="19"/>
        <v>2</v>
      </c>
      <c r="C152" s="13" t="str">
        <f t="shared" si="20"/>
        <v>1</v>
      </c>
      <c r="D152" s="13" t="str">
        <f t="shared" si="21"/>
        <v>0</v>
      </c>
      <c r="E152" s="13" t="str">
        <f t="shared" si="22"/>
        <v>18</v>
      </c>
      <c r="F152" s="13" t="str">
        <f t="shared" si="23"/>
        <v>09</v>
      </c>
      <c r="G152" s="13" t="s">
        <v>180</v>
      </c>
      <c r="H152" s="13" t="s">
        <v>1637</v>
      </c>
      <c r="I152" s="16" t="s">
        <v>1780</v>
      </c>
      <c r="J152" s="13"/>
      <c r="K152" s="13"/>
      <c r="L152" s="13"/>
      <c r="M152" s="16"/>
    </row>
    <row r="153" spans="1:13" ht="25.5" x14ac:dyDescent="0.25">
      <c r="A153" s="21" t="str">
        <f t="shared" si="18"/>
        <v>1</v>
      </c>
      <c r="B153" s="21" t="str">
        <f t="shared" si="19"/>
        <v>2</v>
      </c>
      <c r="C153" s="21" t="str">
        <f t="shared" si="20"/>
        <v>1</v>
      </c>
      <c r="D153" s="21" t="str">
        <f t="shared" si="21"/>
        <v>0</v>
      </c>
      <c r="E153" s="21" t="str">
        <f t="shared" si="22"/>
        <v>29</v>
      </c>
      <c r="F153" s="21" t="str">
        <f t="shared" si="23"/>
        <v>00</v>
      </c>
      <c r="G153" s="21" t="s">
        <v>181</v>
      </c>
      <c r="H153" s="21" t="s">
        <v>1638</v>
      </c>
      <c r="I153" s="22" t="s">
        <v>1781</v>
      </c>
      <c r="J153" s="21"/>
      <c r="K153" s="21"/>
      <c r="L153" s="21"/>
      <c r="M153" s="21"/>
    </row>
    <row r="154" spans="1:13" ht="25.5" x14ac:dyDescent="0.25">
      <c r="A154" s="13" t="str">
        <f t="shared" si="18"/>
        <v>1</v>
      </c>
      <c r="B154" s="13" t="str">
        <f t="shared" si="19"/>
        <v>2</v>
      </c>
      <c r="C154" s="13" t="str">
        <f t="shared" si="20"/>
        <v>1</v>
      </c>
      <c r="D154" s="13" t="str">
        <f t="shared" si="21"/>
        <v>0</v>
      </c>
      <c r="E154" s="13" t="str">
        <f t="shared" si="22"/>
        <v>29</v>
      </c>
      <c r="F154" s="13" t="str">
        <f t="shared" si="23"/>
        <v>01</v>
      </c>
      <c r="G154" s="13" t="s">
        <v>182</v>
      </c>
      <c r="H154" s="13" t="s">
        <v>1639</v>
      </c>
      <c r="I154" s="16" t="s">
        <v>4108</v>
      </c>
      <c r="J154" s="13"/>
      <c r="K154" s="13"/>
      <c r="L154" s="13"/>
      <c r="M154" s="16"/>
    </row>
    <row r="155" spans="1:13" ht="25.5" x14ac:dyDescent="0.25">
      <c r="A155" s="13" t="str">
        <f t="shared" si="18"/>
        <v>1</v>
      </c>
      <c r="B155" s="13" t="str">
        <f t="shared" si="19"/>
        <v>2</v>
      </c>
      <c r="C155" s="13" t="str">
        <f t="shared" si="20"/>
        <v>1</v>
      </c>
      <c r="D155" s="13" t="str">
        <f t="shared" si="21"/>
        <v>0</v>
      </c>
      <c r="E155" s="13" t="str">
        <f t="shared" si="22"/>
        <v>29</v>
      </c>
      <c r="F155" s="13" t="str">
        <f t="shared" si="23"/>
        <v>02</v>
      </c>
      <c r="G155" s="13" t="s">
        <v>183</v>
      </c>
      <c r="H155" s="13" t="s">
        <v>1640</v>
      </c>
      <c r="I155" s="16" t="s">
        <v>1782</v>
      </c>
      <c r="J155" s="13"/>
      <c r="K155" s="13"/>
      <c r="L155" s="13"/>
      <c r="M155" s="16"/>
    </row>
    <row r="156" spans="1:13" x14ac:dyDescent="0.25">
      <c r="A156" s="13" t="str">
        <f t="shared" si="18"/>
        <v>1</v>
      </c>
      <c r="B156" s="13" t="str">
        <f t="shared" si="19"/>
        <v>2</v>
      </c>
      <c r="C156" s="13" t="str">
        <f t="shared" si="20"/>
        <v>1</v>
      </c>
      <c r="D156" s="13" t="str">
        <f t="shared" si="21"/>
        <v>0</v>
      </c>
      <c r="E156" s="13" t="str">
        <f t="shared" si="22"/>
        <v>29</v>
      </c>
      <c r="F156" s="13" t="str">
        <f t="shared" si="23"/>
        <v>03</v>
      </c>
      <c r="G156" s="13" t="s">
        <v>184</v>
      </c>
      <c r="H156" s="13" t="s">
        <v>1641</v>
      </c>
      <c r="I156" s="16" t="s">
        <v>1783</v>
      </c>
      <c r="J156" s="13"/>
      <c r="K156" s="13"/>
      <c r="L156" s="13"/>
      <c r="M156" s="16"/>
    </row>
    <row r="157" spans="1:13" x14ac:dyDescent="0.25">
      <c r="A157" s="13" t="str">
        <f t="shared" si="18"/>
        <v>1</v>
      </c>
      <c r="B157" s="13" t="str">
        <f t="shared" si="19"/>
        <v>2</v>
      </c>
      <c r="C157" s="13" t="str">
        <f t="shared" si="20"/>
        <v>1</v>
      </c>
      <c r="D157" s="13" t="str">
        <f t="shared" si="21"/>
        <v>0</v>
      </c>
      <c r="E157" s="13" t="str">
        <f t="shared" si="22"/>
        <v>29</v>
      </c>
      <c r="F157" s="13" t="str">
        <f t="shared" si="23"/>
        <v>04</v>
      </c>
      <c r="G157" s="13" t="s">
        <v>185</v>
      </c>
      <c r="H157" s="13" t="s">
        <v>1642</v>
      </c>
      <c r="I157" s="16" t="s">
        <v>1784</v>
      </c>
      <c r="J157" s="13"/>
      <c r="K157" s="13"/>
      <c r="L157" s="13"/>
      <c r="M157" s="16"/>
    </row>
    <row r="158" spans="1:13" x14ac:dyDescent="0.25">
      <c r="A158" s="13" t="str">
        <f t="shared" si="18"/>
        <v>1</v>
      </c>
      <c r="B158" s="13" t="str">
        <f t="shared" si="19"/>
        <v>2</v>
      </c>
      <c r="C158" s="13" t="str">
        <f t="shared" si="20"/>
        <v>1</v>
      </c>
      <c r="D158" s="13" t="str">
        <f t="shared" si="21"/>
        <v>0</v>
      </c>
      <c r="E158" s="13" t="str">
        <f t="shared" si="22"/>
        <v>29</v>
      </c>
      <c r="F158" s="13" t="str">
        <f t="shared" si="23"/>
        <v>05</v>
      </c>
      <c r="G158" s="13" t="s">
        <v>186</v>
      </c>
      <c r="H158" s="13" t="s">
        <v>1643</v>
      </c>
      <c r="I158" s="16" t="s">
        <v>1785</v>
      </c>
      <c r="J158" s="13"/>
      <c r="K158" s="13"/>
      <c r="L158" s="13"/>
      <c r="M158" s="16"/>
    </row>
    <row r="159" spans="1:13" ht="25.5" x14ac:dyDescent="0.25">
      <c r="A159" s="13" t="str">
        <f t="shared" ref="A159:A222" si="30">MID(G159,1,1)</f>
        <v>1</v>
      </c>
      <c r="B159" s="13" t="str">
        <f t="shared" ref="B159:B222" si="31">MID(G159,2,1)</f>
        <v>2</v>
      </c>
      <c r="C159" s="13" t="str">
        <f t="shared" ref="C159:C222" si="32">MID(G159,3,1)</f>
        <v>1</v>
      </c>
      <c r="D159" s="13" t="str">
        <f t="shared" ref="D159:D222" si="33">MID(G159,4,1)</f>
        <v>0</v>
      </c>
      <c r="E159" s="13" t="str">
        <f t="shared" ref="E159:E222" si="34">MID(G159,6,2)</f>
        <v>29</v>
      </c>
      <c r="F159" s="13" t="str">
        <f t="shared" ref="F159:F222" si="35">MID(G159,9,2)</f>
        <v>06</v>
      </c>
      <c r="G159" s="13" t="s">
        <v>187</v>
      </c>
      <c r="H159" s="13" t="s">
        <v>1644</v>
      </c>
      <c r="I159" s="16" t="s">
        <v>1786</v>
      </c>
      <c r="J159" s="13"/>
      <c r="K159" s="13"/>
      <c r="L159" s="13"/>
      <c r="M159" s="16"/>
    </row>
    <row r="160" spans="1:13" ht="25.5" x14ac:dyDescent="0.25">
      <c r="A160" s="13" t="str">
        <f t="shared" si="30"/>
        <v>1</v>
      </c>
      <c r="B160" s="13" t="str">
        <f t="shared" si="31"/>
        <v>2</v>
      </c>
      <c r="C160" s="13" t="str">
        <f t="shared" si="32"/>
        <v>1</v>
      </c>
      <c r="D160" s="13" t="str">
        <f t="shared" si="33"/>
        <v>0</v>
      </c>
      <c r="E160" s="13" t="str">
        <f t="shared" si="34"/>
        <v>29</v>
      </c>
      <c r="F160" s="13" t="str">
        <f t="shared" si="35"/>
        <v>07</v>
      </c>
      <c r="G160" s="13" t="s">
        <v>188</v>
      </c>
      <c r="H160" s="13" t="s">
        <v>1645</v>
      </c>
      <c r="I160" s="16" t="s">
        <v>1787</v>
      </c>
      <c r="J160" s="13"/>
      <c r="K160" s="13"/>
      <c r="L160" s="13"/>
      <c r="M160" s="16"/>
    </row>
    <row r="161" spans="1:13" x14ac:dyDescent="0.25">
      <c r="A161" s="13" t="str">
        <f t="shared" si="30"/>
        <v>1</v>
      </c>
      <c r="B161" s="13" t="str">
        <f t="shared" si="31"/>
        <v>2</v>
      </c>
      <c r="C161" s="13" t="str">
        <f t="shared" si="32"/>
        <v>1</v>
      </c>
      <c r="D161" s="13" t="str">
        <f t="shared" si="33"/>
        <v>0</v>
      </c>
      <c r="E161" s="13" t="str">
        <f t="shared" si="34"/>
        <v>29</v>
      </c>
      <c r="F161" s="13" t="str">
        <f t="shared" si="35"/>
        <v>08</v>
      </c>
      <c r="G161" s="13" t="s">
        <v>189</v>
      </c>
      <c r="H161" s="13" t="s">
        <v>1646</v>
      </c>
      <c r="I161" s="16" t="s">
        <v>1788</v>
      </c>
      <c r="J161" s="13"/>
      <c r="K161" s="13"/>
      <c r="L161" s="13"/>
      <c r="M161" s="16"/>
    </row>
    <row r="162" spans="1:13" ht="25.5" x14ac:dyDescent="0.25">
      <c r="A162" s="13" t="str">
        <f t="shared" si="30"/>
        <v>1</v>
      </c>
      <c r="B162" s="13" t="str">
        <f t="shared" si="31"/>
        <v>2</v>
      </c>
      <c r="C162" s="13" t="str">
        <f t="shared" si="32"/>
        <v>1</v>
      </c>
      <c r="D162" s="13" t="str">
        <f t="shared" si="33"/>
        <v>0</v>
      </c>
      <c r="E162" s="13" t="str">
        <f t="shared" si="34"/>
        <v>29</v>
      </c>
      <c r="F162" s="13" t="str">
        <f t="shared" si="35"/>
        <v>09</v>
      </c>
      <c r="G162" s="13" t="s">
        <v>190</v>
      </c>
      <c r="H162" s="13" t="s">
        <v>1647</v>
      </c>
      <c r="I162" s="16" t="s">
        <v>1789</v>
      </c>
      <c r="J162" s="13"/>
      <c r="K162" s="13"/>
      <c r="L162" s="13"/>
      <c r="M162" s="16"/>
    </row>
    <row r="163" spans="1:13" x14ac:dyDescent="0.25">
      <c r="A163" s="13" t="str">
        <f t="shared" si="30"/>
        <v>1</v>
      </c>
      <c r="B163" s="13" t="str">
        <f t="shared" si="31"/>
        <v>2</v>
      </c>
      <c r="C163" s="13" t="str">
        <f t="shared" si="32"/>
        <v>1</v>
      </c>
      <c r="D163" s="13" t="str">
        <f t="shared" si="33"/>
        <v>0</v>
      </c>
      <c r="E163" s="13" t="str">
        <f t="shared" si="34"/>
        <v>29</v>
      </c>
      <c r="F163" s="13" t="str">
        <f t="shared" si="35"/>
        <v>10</v>
      </c>
      <c r="G163" s="13" t="s">
        <v>191</v>
      </c>
      <c r="H163" s="13" t="s">
        <v>1648</v>
      </c>
      <c r="I163" s="16" t="s">
        <v>1790</v>
      </c>
      <c r="J163" s="13"/>
      <c r="K163" s="13"/>
      <c r="L163" s="13"/>
      <c r="M163" s="16"/>
    </row>
    <row r="164" spans="1:13" ht="25.5" x14ac:dyDescent="0.25">
      <c r="A164" s="13" t="str">
        <f t="shared" si="30"/>
        <v>1</v>
      </c>
      <c r="B164" s="13" t="str">
        <f t="shared" si="31"/>
        <v>2</v>
      </c>
      <c r="C164" s="13" t="str">
        <f t="shared" si="32"/>
        <v>1</v>
      </c>
      <c r="D164" s="13" t="str">
        <f t="shared" si="33"/>
        <v>0</v>
      </c>
      <c r="E164" s="13" t="str">
        <f t="shared" si="34"/>
        <v>29</v>
      </c>
      <c r="F164" s="13" t="str">
        <f t="shared" si="35"/>
        <v>11</v>
      </c>
      <c r="G164" s="13" t="s">
        <v>192</v>
      </c>
      <c r="H164" s="13" t="s">
        <v>1649</v>
      </c>
      <c r="I164" s="16" t="s">
        <v>1791</v>
      </c>
      <c r="J164" s="13"/>
      <c r="K164" s="13"/>
      <c r="L164" s="13"/>
      <c r="M164" s="16"/>
    </row>
    <row r="165" spans="1:13" x14ac:dyDescent="0.25">
      <c r="A165" s="13" t="str">
        <f t="shared" si="30"/>
        <v>1</v>
      </c>
      <c r="B165" s="13" t="str">
        <f t="shared" si="31"/>
        <v>2</v>
      </c>
      <c r="C165" s="13" t="str">
        <f t="shared" si="32"/>
        <v>1</v>
      </c>
      <c r="D165" s="13" t="str">
        <f t="shared" si="33"/>
        <v>0</v>
      </c>
      <c r="E165" s="13" t="str">
        <f t="shared" si="34"/>
        <v>29</v>
      </c>
      <c r="F165" s="13" t="str">
        <f t="shared" si="35"/>
        <v>12</v>
      </c>
      <c r="G165" s="13" t="s">
        <v>193</v>
      </c>
      <c r="H165" s="13" t="s">
        <v>1650</v>
      </c>
      <c r="I165" s="16" t="s">
        <v>1792</v>
      </c>
      <c r="J165" s="13"/>
      <c r="K165" s="13"/>
      <c r="L165" s="13"/>
      <c r="M165" s="16"/>
    </row>
    <row r="166" spans="1:13" ht="25.5" x14ac:dyDescent="0.25">
      <c r="A166" s="13" t="str">
        <f t="shared" si="30"/>
        <v>1</v>
      </c>
      <c r="B166" s="13" t="str">
        <f t="shared" si="31"/>
        <v>2</v>
      </c>
      <c r="C166" s="13" t="str">
        <f t="shared" si="32"/>
        <v>1</v>
      </c>
      <c r="D166" s="13" t="str">
        <f t="shared" si="33"/>
        <v>0</v>
      </c>
      <c r="E166" s="13" t="str">
        <f t="shared" si="34"/>
        <v>29</v>
      </c>
      <c r="F166" s="13" t="str">
        <f t="shared" si="35"/>
        <v>13</v>
      </c>
      <c r="G166" s="13" t="s">
        <v>194</v>
      </c>
      <c r="H166" s="13" t="s">
        <v>1651</v>
      </c>
      <c r="I166" s="16" t="s">
        <v>1793</v>
      </c>
      <c r="J166" s="13"/>
      <c r="K166" s="13"/>
      <c r="L166" s="13"/>
      <c r="M166" s="16"/>
    </row>
    <row r="167" spans="1:13" ht="25.5" x14ac:dyDescent="0.25">
      <c r="A167" s="13" t="str">
        <f t="shared" si="30"/>
        <v>1</v>
      </c>
      <c r="B167" s="13" t="str">
        <f t="shared" si="31"/>
        <v>2</v>
      </c>
      <c r="C167" s="13" t="str">
        <f t="shared" si="32"/>
        <v>1</v>
      </c>
      <c r="D167" s="13" t="str">
        <f t="shared" si="33"/>
        <v>0</v>
      </c>
      <c r="E167" s="13" t="str">
        <f t="shared" si="34"/>
        <v>29</v>
      </c>
      <c r="F167" s="13" t="str">
        <f t="shared" si="35"/>
        <v>15</v>
      </c>
      <c r="G167" s="13" t="s">
        <v>195</v>
      </c>
      <c r="H167" s="13" t="s">
        <v>1652</v>
      </c>
      <c r="I167" s="16" t="s">
        <v>1794</v>
      </c>
      <c r="J167" s="13"/>
      <c r="K167" s="13"/>
      <c r="L167" s="13"/>
      <c r="M167" s="16"/>
    </row>
    <row r="168" spans="1:13" ht="38.25" x14ac:dyDescent="0.25">
      <c r="A168" s="13" t="str">
        <f t="shared" si="30"/>
        <v>1</v>
      </c>
      <c r="B168" s="13" t="str">
        <f t="shared" si="31"/>
        <v>2</v>
      </c>
      <c r="C168" s="13" t="str">
        <f t="shared" si="32"/>
        <v>1</v>
      </c>
      <c r="D168" s="13" t="str">
        <f t="shared" si="33"/>
        <v>0</v>
      </c>
      <c r="E168" s="13" t="str">
        <f t="shared" si="34"/>
        <v>29</v>
      </c>
      <c r="F168" s="13" t="str">
        <f t="shared" si="35"/>
        <v>16</v>
      </c>
      <c r="G168" s="13" t="s">
        <v>196</v>
      </c>
      <c r="H168" s="13" t="s">
        <v>1653</v>
      </c>
      <c r="I168" s="16" t="s">
        <v>4017</v>
      </c>
      <c r="J168" s="13"/>
      <c r="K168" s="13" t="s">
        <v>4018</v>
      </c>
      <c r="L168" s="13" t="s">
        <v>4203</v>
      </c>
      <c r="M168" s="16"/>
    </row>
    <row r="169" spans="1:13" ht="38.25" x14ac:dyDescent="0.25">
      <c r="A169" s="13" t="str">
        <f t="shared" si="30"/>
        <v>1</v>
      </c>
      <c r="B169" s="13" t="str">
        <f t="shared" si="31"/>
        <v>2</v>
      </c>
      <c r="C169" s="13" t="str">
        <f t="shared" si="32"/>
        <v>1</v>
      </c>
      <c r="D169" s="13" t="str">
        <f t="shared" si="33"/>
        <v>0</v>
      </c>
      <c r="E169" s="13" t="str">
        <f t="shared" si="34"/>
        <v>29</v>
      </c>
      <c r="F169" s="13" t="str">
        <f t="shared" si="35"/>
        <v>17</v>
      </c>
      <c r="G169" s="13" t="s">
        <v>197</v>
      </c>
      <c r="H169" s="13" t="s">
        <v>1654</v>
      </c>
      <c r="I169" s="16" t="s">
        <v>1795</v>
      </c>
      <c r="J169" s="13"/>
      <c r="K169" s="13"/>
      <c r="L169" s="13"/>
      <c r="M169" s="16"/>
    </row>
    <row r="170" spans="1:13" ht="38.25" x14ac:dyDescent="0.25">
      <c r="A170" s="13" t="str">
        <f t="shared" si="30"/>
        <v>1</v>
      </c>
      <c r="B170" s="13" t="str">
        <f t="shared" si="31"/>
        <v>2</v>
      </c>
      <c r="C170" s="13" t="str">
        <f t="shared" si="32"/>
        <v>1</v>
      </c>
      <c r="D170" s="13" t="str">
        <f t="shared" si="33"/>
        <v>0</v>
      </c>
      <c r="E170" s="13" t="str">
        <f t="shared" si="34"/>
        <v>29</v>
      </c>
      <c r="F170" s="13" t="str">
        <f t="shared" si="35"/>
        <v>18</v>
      </c>
      <c r="G170" s="13" t="s">
        <v>198</v>
      </c>
      <c r="H170" s="13" t="s">
        <v>1655</v>
      </c>
      <c r="I170" s="16" t="s">
        <v>1796</v>
      </c>
      <c r="J170" s="13"/>
      <c r="K170" s="13"/>
      <c r="L170" s="13"/>
      <c r="M170" s="16"/>
    </row>
    <row r="171" spans="1:13" ht="38.25" x14ac:dyDescent="0.25">
      <c r="A171" s="13" t="str">
        <f t="shared" si="30"/>
        <v>1</v>
      </c>
      <c r="B171" s="13" t="str">
        <f t="shared" si="31"/>
        <v>2</v>
      </c>
      <c r="C171" s="13" t="str">
        <f t="shared" si="32"/>
        <v>1</v>
      </c>
      <c r="D171" s="13" t="str">
        <f t="shared" si="33"/>
        <v>0</v>
      </c>
      <c r="E171" s="13" t="str">
        <f t="shared" si="34"/>
        <v>29</v>
      </c>
      <c r="F171" s="13" t="str">
        <f t="shared" si="35"/>
        <v>19</v>
      </c>
      <c r="G171" s="13" t="s">
        <v>199</v>
      </c>
      <c r="H171" s="13" t="s">
        <v>1656</v>
      </c>
      <c r="I171" s="16" t="s">
        <v>1797</v>
      </c>
      <c r="J171" s="13"/>
      <c r="K171" s="13"/>
      <c r="L171" s="13"/>
      <c r="M171" s="16"/>
    </row>
    <row r="172" spans="1:13" ht="25.5" x14ac:dyDescent="0.25">
      <c r="A172" s="21" t="str">
        <f t="shared" si="30"/>
        <v>1</v>
      </c>
      <c r="B172" s="21" t="str">
        <f t="shared" si="31"/>
        <v>2</v>
      </c>
      <c r="C172" s="21" t="str">
        <f t="shared" si="32"/>
        <v>1</v>
      </c>
      <c r="D172" s="21" t="str">
        <f t="shared" si="33"/>
        <v>0</v>
      </c>
      <c r="E172" s="21" t="str">
        <f t="shared" si="34"/>
        <v>30</v>
      </c>
      <c r="F172" s="21" t="str">
        <f t="shared" si="35"/>
        <v>00</v>
      </c>
      <c r="G172" s="21" t="s">
        <v>200</v>
      </c>
      <c r="H172" s="21" t="s">
        <v>1657</v>
      </c>
      <c r="I172" s="22" t="s">
        <v>1798</v>
      </c>
      <c r="J172" s="21"/>
      <c r="K172" s="21"/>
      <c r="L172" s="21"/>
      <c r="M172" s="21"/>
    </row>
    <row r="173" spans="1:13" ht="25.5" x14ac:dyDescent="0.25">
      <c r="A173" s="13" t="str">
        <f t="shared" si="30"/>
        <v>1</v>
      </c>
      <c r="B173" s="13" t="str">
        <f t="shared" si="31"/>
        <v>2</v>
      </c>
      <c r="C173" s="13" t="str">
        <f t="shared" si="32"/>
        <v>1</v>
      </c>
      <c r="D173" s="13" t="str">
        <f t="shared" si="33"/>
        <v>0</v>
      </c>
      <c r="E173" s="13" t="str">
        <f t="shared" si="34"/>
        <v>30</v>
      </c>
      <c r="F173" s="13" t="str">
        <f t="shared" si="35"/>
        <v>01</v>
      </c>
      <c r="G173" s="13" t="s">
        <v>201</v>
      </c>
      <c r="H173" s="13" t="s">
        <v>1658</v>
      </c>
      <c r="I173" s="16" t="s">
        <v>1799</v>
      </c>
      <c r="J173" s="13"/>
      <c r="K173" s="13"/>
      <c r="L173" s="13"/>
      <c r="M173" s="16"/>
    </row>
    <row r="174" spans="1:13" ht="25.5" x14ac:dyDescent="0.25">
      <c r="A174" s="13" t="str">
        <f t="shared" si="30"/>
        <v>1</v>
      </c>
      <c r="B174" s="13" t="str">
        <f t="shared" si="31"/>
        <v>2</v>
      </c>
      <c r="C174" s="13" t="str">
        <f t="shared" si="32"/>
        <v>1</v>
      </c>
      <c r="D174" s="13" t="str">
        <f t="shared" si="33"/>
        <v>0</v>
      </c>
      <c r="E174" s="13" t="str">
        <f t="shared" si="34"/>
        <v>30</v>
      </c>
      <c r="F174" s="13" t="str">
        <f t="shared" si="35"/>
        <v>02</v>
      </c>
      <c r="G174" s="13" t="s">
        <v>202</v>
      </c>
      <c r="H174" s="13" t="s">
        <v>1659</v>
      </c>
      <c r="I174" s="16" t="s">
        <v>1800</v>
      </c>
      <c r="J174" s="13"/>
      <c r="K174" s="13"/>
      <c r="L174" s="13"/>
      <c r="M174" s="16"/>
    </row>
    <row r="175" spans="1:13" ht="25.5" x14ac:dyDescent="0.25">
      <c r="A175" s="13" t="str">
        <f t="shared" si="30"/>
        <v>1</v>
      </c>
      <c r="B175" s="13" t="str">
        <f t="shared" si="31"/>
        <v>2</v>
      </c>
      <c r="C175" s="13" t="str">
        <f t="shared" si="32"/>
        <v>1</v>
      </c>
      <c r="D175" s="13" t="str">
        <f t="shared" si="33"/>
        <v>0</v>
      </c>
      <c r="E175" s="13" t="str">
        <f t="shared" si="34"/>
        <v>30</v>
      </c>
      <c r="F175" s="13" t="str">
        <f t="shared" si="35"/>
        <v>03</v>
      </c>
      <c r="G175" s="13" t="s">
        <v>203</v>
      </c>
      <c r="H175" s="13" t="s">
        <v>1660</v>
      </c>
      <c r="I175" s="16" t="s">
        <v>1801</v>
      </c>
      <c r="J175" s="13"/>
      <c r="K175" s="13"/>
      <c r="L175" s="13"/>
      <c r="M175" s="16"/>
    </row>
    <row r="176" spans="1:13" ht="51" x14ac:dyDescent="0.25">
      <c r="A176" s="13" t="str">
        <f t="shared" si="30"/>
        <v>1</v>
      </c>
      <c r="B176" s="13" t="str">
        <f t="shared" si="31"/>
        <v>2</v>
      </c>
      <c r="C176" s="13" t="str">
        <f t="shared" si="32"/>
        <v>1</v>
      </c>
      <c r="D176" s="13" t="str">
        <f t="shared" si="33"/>
        <v>0</v>
      </c>
      <c r="E176" s="13" t="str">
        <f t="shared" si="34"/>
        <v>30</v>
      </c>
      <c r="F176" s="13" t="str">
        <f t="shared" si="35"/>
        <v>04</v>
      </c>
      <c r="G176" s="13" t="s">
        <v>204</v>
      </c>
      <c r="H176" s="13" t="s">
        <v>1661</v>
      </c>
      <c r="I176" s="16" t="s">
        <v>1802</v>
      </c>
      <c r="J176" s="13"/>
      <c r="K176" s="13"/>
      <c r="L176" s="13"/>
      <c r="M176" s="16"/>
    </row>
    <row r="177" spans="1:13" ht="38.25" x14ac:dyDescent="0.25">
      <c r="A177" s="13" t="str">
        <f t="shared" si="30"/>
        <v>1</v>
      </c>
      <c r="B177" s="13" t="str">
        <f t="shared" si="31"/>
        <v>2</v>
      </c>
      <c r="C177" s="13" t="str">
        <f t="shared" si="32"/>
        <v>1</v>
      </c>
      <c r="D177" s="13" t="str">
        <f t="shared" si="33"/>
        <v>0</v>
      </c>
      <c r="E177" s="13" t="str">
        <f t="shared" si="34"/>
        <v>30</v>
      </c>
      <c r="F177" s="13" t="str">
        <f t="shared" si="35"/>
        <v>05</v>
      </c>
      <c r="G177" s="13" t="s">
        <v>205</v>
      </c>
      <c r="H177" s="13" t="s">
        <v>1662</v>
      </c>
      <c r="I177" s="16" t="s">
        <v>1803</v>
      </c>
      <c r="J177" s="13"/>
      <c r="K177" s="13"/>
      <c r="L177" s="13"/>
      <c r="M177" s="16"/>
    </row>
    <row r="178" spans="1:13" ht="25.5" x14ac:dyDescent="0.25">
      <c r="A178" s="13" t="str">
        <f t="shared" si="30"/>
        <v>1</v>
      </c>
      <c r="B178" s="13" t="str">
        <f t="shared" si="31"/>
        <v>2</v>
      </c>
      <c r="C178" s="13" t="str">
        <f t="shared" si="32"/>
        <v>1</v>
      </c>
      <c r="D178" s="13" t="str">
        <f t="shared" si="33"/>
        <v>0</v>
      </c>
      <c r="E178" s="13" t="str">
        <f t="shared" si="34"/>
        <v>30</v>
      </c>
      <c r="F178" s="13" t="str">
        <f t="shared" si="35"/>
        <v>06</v>
      </c>
      <c r="G178" s="13" t="s">
        <v>206</v>
      </c>
      <c r="H178" s="13" t="s">
        <v>1663</v>
      </c>
      <c r="I178" s="16" t="s">
        <v>1804</v>
      </c>
      <c r="J178" s="13"/>
      <c r="K178" s="13"/>
      <c r="L178" s="13"/>
      <c r="M178" s="16"/>
    </row>
    <row r="179" spans="1:13" ht="38.25" x14ac:dyDescent="0.25">
      <c r="A179" s="13" t="str">
        <f t="shared" si="30"/>
        <v>1</v>
      </c>
      <c r="B179" s="13" t="str">
        <f t="shared" si="31"/>
        <v>2</v>
      </c>
      <c r="C179" s="13" t="str">
        <f t="shared" si="32"/>
        <v>1</v>
      </c>
      <c r="D179" s="13" t="str">
        <f t="shared" si="33"/>
        <v>0</v>
      </c>
      <c r="E179" s="13" t="str">
        <f t="shared" si="34"/>
        <v>30</v>
      </c>
      <c r="F179" s="13" t="str">
        <f t="shared" si="35"/>
        <v>07</v>
      </c>
      <c r="G179" s="13" t="s">
        <v>207</v>
      </c>
      <c r="H179" s="13" t="s">
        <v>1664</v>
      </c>
      <c r="I179" s="16" t="s">
        <v>1805</v>
      </c>
      <c r="J179" s="13"/>
      <c r="K179" s="13"/>
      <c r="L179" s="13"/>
      <c r="M179" s="16"/>
    </row>
    <row r="180" spans="1:13" ht="38.25" x14ac:dyDescent="0.25">
      <c r="A180" s="13" t="str">
        <f t="shared" si="30"/>
        <v>1</v>
      </c>
      <c r="B180" s="13" t="str">
        <f t="shared" si="31"/>
        <v>2</v>
      </c>
      <c r="C180" s="13" t="str">
        <f t="shared" si="32"/>
        <v>1</v>
      </c>
      <c r="D180" s="13" t="str">
        <f t="shared" si="33"/>
        <v>0</v>
      </c>
      <c r="E180" s="13" t="str">
        <f t="shared" si="34"/>
        <v>30</v>
      </c>
      <c r="F180" s="13" t="str">
        <f t="shared" si="35"/>
        <v>08</v>
      </c>
      <c r="G180" s="13" t="s">
        <v>208</v>
      </c>
      <c r="H180" s="13" t="s">
        <v>1665</v>
      </c>
      <c r="I180" s="16" t="s">
        <v>1806</v>
      </c>
      <c r="J180" s="13"/>
      <c r="K180" s="13"/>
      <c r="L180" s="13"/>
      <c r="M180" s="16"/>
    </row>
    <row r="181" spans="1:13" ht="38.25" x14ac:dyDescent="0.25">
      <c r="A181" s="13" t="str">
        <f t="shared" si="30"/>
        <v>1</v>
      </c>
      <c r="B181" s="13" t="str">
        <f t="shared" si="31"/>
        <v>2</v>
      </c>
      <c r="C181" s="13" t="str">
        <f t="shared" si="32"/>
        <v>1</v>
      </c>
      <c r="D181" s="13" t="str">
        <f t="shared" si="33"/>
        <v>0</v>
      </c>
      <c r="E181" s="13" t="str">
        <f t="shared" si="34"/>
        <v>30</v>
      </c>
      <c r="F181" s="13" t="str">
        <f t="shared" si="35"/>
        <v>09</v>
      </c>
      <c r="G181" s="13" t="s">
        <v>209</v>
      </c>
      <c r="H181" s="13" t="s">
        <v>1666</v>
      </c>
      <c r="I181" s="16" t="s">
        <v>1807</v>
      </c>
      <c r="J181" s="13"/>
      <c r="K181" s="13"/>
      <c r="L181" s="13"/>
      <c r="M181" s="16"/>
    </row>
    <row r="182" spans="1:13" ht="25.5" x14ac:dyDescent="0.25">
      <c r="A182" s="13" t="str">
        <f t="shared" si="30"/>
        <v>1</v>
      </c>
      <c r="B182" s="13" t="str">
        <f t="shared" si="31"/>
        <v>2</v>
      </c>
      <c r="C182" s="13" t="str">
        <f t="shared" si="32"/>
        <v>1</v>
      </c>
      <c r="D182" s="13" t="str">
        <f t="shared" si="33"/>
        <v>0</v>
      </c>
      <c r="E182" s="13" t="str">
        <f t="shared" si="34"/>
        <v>30</v>
      </c>
      <c r="F182" s="13" t="str">
        <f t="shared" si="35"/>
        <v>10</v>
      </c>
      <c r="G182" s="13" t="s">
        <v>210</v>
      </c>
      <c r="H182" s="13" t="s">
        <v>1667</v>
      </c>
      <c r="I182" s="16" t="s">
        <v>1808</v>
      </c>
      <c r="J182" s="13"/>
      <c r="K182" s="13"/>
      <c r="L182" s="13"/>
      <c r="M182" s="16"/>
    </row>
    <row r="183" spans="1:13" ht="25.5" x14ac:dyDescent="0.25">
      <c r="A183" s="13" t="str">
        <f t="shared" si="30"/>
        <v>1</v>
      </c>
      <c r="B183" s="13" t="str">
        <f t="shared" si="31"/>
        <v>2</v>
      </c>
      <c r="C183" s="13" t="str">
        <f t="shared" si="32"/>
        <v>1</v>
      </c>
      <c r="D183" s="13" t="str">
        <f t="shared" si="33"/>
        <v>0</v>
      </c>
      <c r="E183" s="13" t="str">
        <f t="shared" si="34"/>
        <v>30</v>
      </c>
      <c r="F183" s="13" t="str">
        <f t="shared" si="35"/>
        <v>11</v>
      </c>
      <c r="G183" s="13" t="s">
        <v>211</v>
      </c>
      <c r="H183" s="13" t="s">
        <v>1668</v>
      </c>
      <c r="I183" s="16" t="s">
        <v>1809</v>
      </c>
      <c r="J183" s="13"/>
      <c r="K183" s="13"/>
      <c r="L183" s="13"/>
      <c r="M183" s="16"/>
    </row>
    <row r="184" spans="1:13" ht="25.5" x14ac:dyDescent="0.25">
      <c r="A184" s="13" t="str">
        <f t="shared" si="30"/>
        <v>1</v>
      </c>
      <c r="B184" s="13" t="str">
        <f t="shared" si="31"/>
        <v>2</v>
      </c>
      <c r="C184" s="13" t="str">
        <f t="shared" si="32"/>
        <v>1</v>
      </c>
      <c r="D184" s="13" t="str">
        <f t="shared" si="33"/>
        <v>0</v>
      </c>
      <c r="E184" s="13" t="str">
        <f t="shared" si="34"/>
        <v>30</v>
      </c>
      <c r="F184" s="13" t="str">
        <f t="shared" si="35"/>
        <v>12</v>
      </c>
      <c r="G184" s="13" t="s">
        <v>212</v>
      </c>
      <c r="H184" s="13" t="s">
        <v>1669</v>
      </c>
      <c r="I184" s="16" t="s">
        <v>1810</v>
      </c>
      <c r="J184" s="13"/>
      <c r="K184" s="13"/>
      <c r="L184" s="13"/>
      <c r="M184" s="16"/>
    </row>
    <row r="185" spans="1:13" ht="51" x14ac:dyDescent="0.25">
      <c r="A185" s="13" t="str">
        <f t="shared" si="30"/>
        <v>1</v>
      </c>
      <c r="B185" s="13" t="str">
        <f t="shared" si="31"/>
        <v>2</v>
      </c>
      <c r="C185" s="13" t="str">
        <f t="shared" si="32"/>
        <v>1</v>
      </c>
      <c r="D185" s="13" t="str">
        <f t="shared" si="33"/>
        <v>0</v>
      </c>
      <c r="E185" s="13" t="str">
        <f t="shared" si="34"/>
        <v>30</v>
      </c>
      <c r="F185" s="13" t="str">
        <f t="shared" si="35"/>
        <v>13</v>
      </c>
      <c r="G185" s="13" t="s">
        <v>213</v>
      </c>
      <c r="H185" s="13" t="s">
        <v>1670</v>
      </c>
      <c r="I185" s="16" t="s">
        <v>1811</v>
      </c>
      <c r="J185" s="13"/>
      <c r="K185" s="13"/>
      <c r="L185" s="13"/>
      <c r="M185" s="16"/>
    </row>
    <row r="186" spans="1:13" ht="25.5" x14ac:dyDescent="0.25">
      <c r="A186" s="13" t="str">
        <f t="shared" si="30"/>
        <v>1</v>
      </c>
      <c r="B186" s="13" t="str">
        <f t="shared" si="31"/>
        <v>2</v>
      </c>
      <c r="C186" s="13" t="str">
        <f t="shared" si="32"/>
        <v>1</v>
      </c>
      <c r="D186" s="13" t="str">
        <f t="shared" si="33"/>
        <v>0</v>
      </c>
      <c r="E186" s="13" t="str">
        <f t="shared" si="34"/>
        <v>30</v>
      </c>
      <c r="F186" s="13" t="str">
        <f t="shared" si="35"/>
        <v>14</v>
      </c>
      <c r="G186" s="13" t="s">
        <v>214</v>
      </c>
      <c r="H186" s="13" t="s">
        <v>1671</v>
      </c>
      <c r="I186" s="16" t="s">
        <v>1812</v>
      </c>
      <c r="J186" s="13"/>
      <c r="K186" s="13"/>
      <c r="L186" s="13"/>
      <c r="M186" s="16"/>
    </row>
    <row r="187" spans="1:13" ht="25.5" x14ac:dyDescent="0.25">
      <c r="A187" s="13" t="str">
        <f t="shared" si="30"/>
        <v>1</v>
      </c>
      <c r="B187" s="13" t="str">
        <f t="shared" si="31"/>
        <v>2</v>
      </c>
      <c r="C187" s="13" t="str">
        <f t="shared" si="32"/>
        <v>1</v>
      </c>
      <c r="D187" s="13" t="str">
        <f t="shared" si="33"/>
        <v>0</v>
      </c>
      <c r="E187" s="13" t="str">
        <f t="shared" si="34"/>
        <v>30</v>
      </c>
      <c r="F187" s="13" t="str">
        <f t="shared" si="35"/>
        <v>15</v>
      </c>
      <c r="G187" s="13" t="s">
        <v>215</v>
      </c>
      <c r="H187" s="13" t="s">
        <v>1672</v>
      </c>
      <c r="I187" s="16" t="s">
        <v>1813</v>
      </c>
      <c r="J187" s="13"/>
      <c r="K187" s="13"/>
      <c r="L187" s="13"/>
      <c r="M187" s="16"/>
    </row>
    <row r="188" spans="1:13" ht="25.5" x14ac:dyDescent="0.25">
      <c r="A188" s="13" t="str">
        <f t="shared" si="30"/>
        <v>1</v>
      </c>
      <c r="B188" s="13" t="str">
        <f t="shared" si="31"/>
        <v>2</v>
      </c>
      <c r="C188" s="13" t="str">
        <f t="shared" si="32"/>
        <v>1</v>
      </c>
      <c r="D188" s="13" t="str">
        <f t="shared" si="33"/>
        <v>0</v>
      </c>
      <c r="E188" s="13" t="str">
        <f t="shared" si="34"/>
        <v>30</v>
      </c>
      <c r="F188" s="13" t="str">
        <f t="shared" si="35"/>
        <v>16</v>
      </c>
      <c r="G188" s="13" t="s">
        <v>216</v>
      </c>
      <c r="H188" s="13" t="s">
        <v>1673</v>
      </c>
      <c r="I188" s="16" t="s">
        <v>1814</v>
      </c>
      <c r="J188" s="13"/>
      <c r="K188" s="13"/>
      <c r="L188" s="13"/>
      <c r="M188" s="16"/>
    </row>
    <row r="189" spans="1:13" ht="38.25" x14ac:dyDescent="0.25">
      <c r="A189" s="13" t="str">
        <f t="shared" si="30"/>
        <v>1</v>
      </c>
      <c r="B189" s="13" t="str">
        <f t="shared" si="31"/>
        <v>2</v>
      </c>
      <c r="C189" s="13" t="str">
        <f t="shared" si="32"/>
        <v>1</v>
      </c>
      <c r="D189" s="13" t="str">
        <f t="shared" si="33"/>
        <v>0</v>
      </c>
      <c r="E189" s="13" t="str">
        <f t="shared" si="34"/>
        <v>30</v>
      </c>
      <c r="F189" s="13" t="str">
        <f t="shared" si="35"/>
        <v>17</v>
      </c>
      <c r="G189" s="13" t="s">
        <v>217</v>
      </c>
      <c r="H189" s="13" t="s">
        <v>1674</v>
      </c>
      <c r="I189" s="16" t="s">
        <v>1815</v>
      </c>
      <c r="J189" s="13"/>
      <c r="K189" s="13"/>
      <c r="L189" s="13"/>
      <c r="M189" s="16"/>
    </row>
    <row r="190" spans="1:13" ht="25.5" x14ac:dyDescent="0.25">
      <c r="A190" s="13" t="str">
        <f t="shared" si="30"/>
        <v>1</v>
      </c>
      <c r="B190" s="13" t="str">
        <f t="shared" si="31"/>
        <v>2</v>
      </c>
      <c r="C190" s="13" t="str">
        <f t="shared" si="32"/>
        <v>1</v>
      </c>
      <c r="D190" s="13" t="str">
        <f t="shared" si="33"/>
        <v>0</v>
      </c>
      <c r="E190" s="13" t="str">
        <f t="shared" si="34"/>
        <v>30</v>
      </c>
      <c r="F190" s="13" t="str">
        <f t="shared" si="35"/>
        <v>18</v>
      </c>
      <c r="G190" s="13" t="s">
        <v>218</v>
      </c>
      <c r="H190" s="13" t="s">
        <v>1675</v>
      </c>
      <c r="I190" s="16" t="s">
        <v>1816</v>
      </c>
      <c r="J190" s="13"/>
      <c r="K190" s="13"/>
      <c r="L190" s="13"/>
      <c r="M190" s="16"/>
    </row>
    <row r="191" spans="1:13" ht="25.5" x14ac:dyDescent="0.25">
      <c r="A191" s="13" t="str">
        <f t="shared" si="30"/>
        <v>1</v>
      </c>
      <c r="B191" s="13" t="str">
        <f t="shared" si="31"/>
        <v>2</v>
      </c>
      <c r="C191" s="13" t="str">
        <f t="shared" si="32"/>
        <v>1</v>
      </c>
      <c r="D191" s="13" t="str">
        <f t="shared" si="33"/>
        <v>0</v>
      </c>
      <c r="E191" s="13" t="str">
        <f t="shared" si="34"/>
        <v>30</v>
      </c>
      <c r="F191" s="13" t="str">
        <f t="shared" si="35"/>
        <v>19</v>
      </c>
      <c r="G191" s="13" t="s">
        <v>219</v>
      </c>
      <c r="H191" s="13" t="s">
        <v>1676</v>
      </c>
      <c r="I191" s="16" t="s">
        <v>1817</v>
      </c>
      <c r="J191" s="13"/>
      <c r="K191" s="13"/>
      <c r="L191" s="13"/>
      <c r="M191" s="16"/>
    </row>
    <row r="192" spans="1:13" ht="25.5" x14ac:dyDescent="0.25">
      <c r="A192" s="13" t="str">
        <f t="shared" si="30"/>
        <v>1</v>
      </c>
      <c r="B192" s="13" t="str">
        <f t="shared" si="31"/>
        <v>2</v>
      </c>
      <c r="C192" s="13" t="str">
        <f t="shared" si="32"/>
        <v>1</v>
      </c>
      <c r="D192" s="13" t="str">
        <f t="shared" si="33"/>
        <v>0</v>
      </c>
      <c r="E192" s="13" t="str">
        <f t="shared" si="34"/>
        <v>30</v>
      </c>
      <c r="F192" s="13" t="str">
        <f t="shared" si="35"/>
        <v>20</v>
      </c>
      <c r="G192" s="13" t="s">
        <v>220</v>
      </c>
      <c r="H192" s="13" t="s">
        <v>1677</v>
      </c>
      <c r="I192" s="16" t="s">
        <v>1818</v>
      </c>
      <c r="J192" s="13"/>
      <c r="K192" s="13"/>
      <c r="L192" s="13"/>
      <c r="M192" s="16"/>
    </row>
    <row r="193" spans="1:13" ht="38.25" x14ac:dyDescent="0.25">
      <c r="A193" s="13" t="str">
        <f t="shared" si="30"/>
        <v>1</v>
      </c>
      <c r="B193" s="13" t="str">
        <f t="shared" si="31"/>
        <v>2</v>
      </c>
      <c r="C193" s="13" t="str">
        <f t="shared" si="32"/>
        <v>1</v>
      </c>
      <c r="D193" s="13" t="str">
        <f t="shared" si="33"/>
        <v>0</v>
      </c>
      <c r="E193" s="13" t="str">
        <f t="shared" si="34"/>
        <v>30</v>
      </c>
      <c r="F193" s="13" t="str">
        <f t="shared" si="35"/>
        <v>21</v>
      </c>
      <c r="G193" s="13" t="s">
        <v>221</v>
      </c>
      <c r="H193" s="13" t="s">
        <v>1678</v>
      </c>
      <c r="I193" s="16" t="s">
        <v>1819</v>
      </c>
      <c r="J193" s="13"/>
      <c r="K193" s="13"/>
      <c r="L193" s="13"/>
      <c r="M193" s="16"/>
    </row>
    <row r="194" spans="1:13" ht="38.25" x14ac:dyDescent="0.25">
      <c r="A194" s="13" t="str">
        <f t="shared" si="30"/>
        <v>1</v>
      </c>
      <c r="B194" s="13" t="str">
        <f t="shared" si="31"/>
        <v>2</v>
      </c>
      <c r="C194" s="13" t="str">
        <f t="shared" si="32"/>
        <v>1</v>
      </c>
      <c r="D194" s="13" t="str">
        <f t="shared" si="33"/>
        <v>0</v>
      </c>
      <c r="E194" s="13" t="str">
        <f t="shared" si="34"/>
        <v>30</v>
      </c>
      <c r="F194" s="13" t="str">
        <f t="shared" si="35"/>
        <v>22</v>
      </c>
      <c r="G194" s="13" t="s">
        <v>222</v>
      </c>
      <c r="H194" s="13" t="s">
        <v>1679</v>
      </c>
      <c r="I194" s="16" t="s">
        <v>1820</v>
      </c>
      <c r="J194" s="13"/>
      <c r="K194" s="13"/>
      <c r="L194" s="13"/>
      <c r="M194" s="16"/>
    </row>
    <row r="195" spans="1:13" ht="38.25" x14ac:dyDescent="0.25">
      <c r="A195" s="13" t="str">
        <f t="shared" si="30"/>
        <v>1</v>
      </c>
      <c r="B195" s="13" t="str">
        <f t="shared" si="31"/>
        <v>2</v>
      </c>
      <c r="C195" s="13" t="str">
        <f t="shared" si="32"/>
        <v>1</v>
      </c>
      <c r="D195" s="13" t="str">
        <f t="shared" si="33"/>
        <v>0</v>
      </c>
      <c r="E195" s="13" t="str">
        <f t="shared" si="34"/>
        <v>30</v>
      </c>
      <c r="F195" s="13" t="str">
        <f t="shared" si="35"/>
        <v>23</v>
      </c>
      <c r="G195" s="13" t="s">
        <v>223</v>
      </c>
      <c r="H195" s="13" t="s">
        <v>1680</v>
      </c>
      <c r="I195" s="16" t="s">
        <v>1821</v>
      </c>
      <c r="J195" s="13"/>
      <c r="K195" s="13"/>
      <c r="L195" s="13"/>
      <c r="M195" s="16"/>
    </row>
    <row r="196" spans="1:13" ht="76.5" x14ac:dyDescent="0.25">
      <c r="A196" s="13" t="str">
        <f t="shared" si="30"/>
        <v>1</v>
      </c>
      <c r="B196" s="13" t="str">
        <f t="shared" si="31"/>
        <v>2</v>
      </c>
      <c r="C196" s="13" t="str">
        <f t="shared" si="32"/>
        <v>1</v>
      </c>
      <c r="D196" s="13" t="str">
        <f t="shared" si="33"/>
        <v>0</v>
      </c>
      <c r="E196" s="13" t="str">
        <f t="shared" si="34"/>
        <v>30</v>
      </c>
      <c r="F196" s="13" t="str">
        <f t="shared" si="35"/>
        <v>24</v>
      </c>
      <c r="G196" s="13" t="s">
        <v>224</v>
      </c>
      <c r="H196" s="13" t="s">
        <v>1681</v>
      </c>
      <c r="I196" s="16" t="s">
        <v>1822</v>
      </c>
      <c r="J196" s="13"/>
      <c r="K196" s="13"/>
      <c r="L196" s="13"/>
      <c r="M196" s="16"/>
    </row>
    <row r="197" spans="1:13" x14ac:dyDescent="0.25">
      <c r="A197" s="13" t="str">
        <f t="shared" si="30"/>
        <v>1</v>
      </c>
      <c r="B197" s="13" t="str">
        <f t="shared" si="31"/>
        <v>2</v>
      </c>
      <c r="C197" s="13" t="str">
        <f t="shared" si="32"/>
        <v>1</v>
      </c>
      <c r="D197" s="13" t="str">
        <f t="shared" si="33"/>
        <v>0</v>
      </c>
      <c r="E197" s="13" t="str">
        <f t="shared" si="34"/>
        <v>30</v>
      </c>
      <c r="F197" s="13" t="str">
        <f t="shared" si="35"/>
        <v>99</v>
      </c>
      <c r="G197" s="13" t="s">
        <v>225</v>
      </c>
      <c r="H197" s="13" t="s">
        <v>1682</v>
      </c>
      <c r="I197" s="16" t="s">
        <v>1823</v>
      </c>
      <c r="J197" s="13"/>
      <c r="K197" s="13"/>
      <c r="L197" s="13"/>
      <c r="M197" s="16"/>
    </row>
    <row r="198" spans="1:13" ht="38.25" x14ac:dyDescent="0.25">
      <c r="A198" s="21" t="str">
        <f t="shared" si="30"/>
        <v>1</v>
      </c>
      <c r="B198" s="21" t="str">
        <f t="shared" si="31"/>
        <v>2</v>
      </c>
      <c r="C198" s="21" t="str">
        <f t="shared" si="32"/>
        <v>1</v>
      </c>
      <c r="D198" s="21" t="str">
        <f t="shared" si="33"/>
        <v>0</v>
      </c>
      <c r="E198" s="21" t="str">
        <f t="shared" si="34"/>
        <v>31</v>
      </c>
      <c r="F198" s="21" t="str">
        <f t="shared" si="35"/>
        <v>00</v>
      </c>
      <c r="G198" s="21" t="s">
        <v>226</v>
      </c>
      <c r="H198" s="21" t="s">
        <v>1683</v>
      </c>
      <c r="I198" s="22" t="s">
        <v>1824</v>
      </c>
      <c r="J198" s="21"/>
      <c r="K198" s="21"/>
      <c r="L198" s="21"/>
      <c r="M198" s="21"/>
    </row>
    <row r="199" spans="1:13" ht="25.5" x14ac:dyDescent="0.25">
      <c r="A199" s="13" t="str">
        <f t="shared" si="30"/>
        <v>1</v>
      </c>
      <c r="B199" s="13" t="str">
        <f t="shared" si="31"/>
        <v>2</v>
      </c>
      <c r="C199" s="13" t="str">
        <f t="shared" si="32"/>
        <v>1</v>
      </c>
      <c r="D199" s="13" t="str">
        <f t="shared" si="33"/>
        <v>0</v>
      </c>
      <c r="E199" s="13" t="str">
        <f t="shared" si="34"/>
        <v>31</v>
      </c>
      <c r="F199" s="13" t="str">
        <f t="shared" si="35"/>
        <v>01</v>
      </c>
      <c r="G199" s="13" t="s">
        <v>227</v>
      </c>
      <c r="H199" s="13" t="s">
        <v>1684</v>
      </c>
      <c r="I199" s="16" t="s">
        <v>1825</v>
      </c>
      <c r="J199" s="13"/>
      <c r="K199" s="13" t="s">
        <v>4018</v>
      </c>
      <c r="L199" s="13" t="s">
        <v>4204</v>
      </c>
      <c r="M199" s="16"/>
    </row>
    <row r="200" spans="1:13" ht="25.5" x14ac:dyDescent="0.25">
      <c r="A200" s="13" t="str">
        <f t="shared" si="30"/>
        <v>1</v>
      </c>
      <c r="B200" s="13" t="str">
        <f t="shared" si="31"/>
        <v>2</v>
      </c>
      <c r="C200" s="13" t="str">
        <f t="shared" si="32"/>
        <v>1</v>
      </c>
      <c r="D200" s="13" t="str">
        <f t="shared" si="33"/>
        <v>0</v>
      </c>
      <c r="E200" s="13" t="str">
        <f t="shared" si="34"/>
        <v>31</v>
      </c>
      <c r="F200" s="13" t="str">
        <f t="shared" si="35"/>
        <v>02</v>
      </c>
      <c r="G200" s="13" t="s">
        <v>228</v>
      </c>
      <c r="H200" s="13" t="s">
        <v>1685</v>
      </c>
      <c r="I200" s="16" t="s">
        <v>1826</v>
      </c>
      <c r="J200" s="13"/>
      <c r="K200" s="13" t="s">
        <v>4018</v>
      </c>
      <c r="L200" s="13" t="s">
        <v>4204</v>
      </c>
      <c r="M200" s="16"/>
    </row>
    <row r="201" spans="1:13" ht="25.5" x14ac:dyDescent="0.25">
      <c r="A201" s="21" t="str">
        <f t="shared" si="30"/>
        <v>1</v>
      </c>
      <c r="B201" s="21" t="str">
        <f t="shared" si="31"/>
        <v>2</v>
      </c>
      <c r="C201" s="21" t="str">
        <f t="shared" si="32"/>
        <v>1</v>
      </c>
      <c r="D201" s="21" t="str">
        <f t="shared" si="33"/>
        <v>0</v>
      </c>
      <c r="E201" s="21" t="str">
        <f t="shared" si="34"/>
        <v>32</v>
      </c>
      <c r="F201" s="21" t="str">
        <f t="shared" si="35"/>
        <v>00</v>
      </c>
      <c r="G201" s="21" t="s">
        <v>229</v>
      </c>
      <c r="H201" s="21" t="s">
        <v>1686</v>
      </c>
      <c r="I201" s="22" t="s">
        <v>1827</v>
      </c>
      <c r="J201" s="21"/>
      <c r="K201" s="21"/>
      <c r="L201" s="21"/>
      <c r="M201" s="21"/>
    </row>
    <row r="202" spans="1:13" ht="51" x14ac:dyDescent="0.25">
      <c r="A202" s="13" t="str">
        <f t="shared" si="30"/>
        <v>1</v>
      </c>
      <c r="B202" s="13" t="str">
        <f t="shared" si="31"/>
        <v>2</v>
      </c>
      <c r="C202" s="13" t="str">
        <f t="shared" si="32"/>
        <v>1</v>
      </c>
      <c r="D202" s="13" t="str">
        <f t="shared" si="33"/>
        <v>0</v>
      </c>
      <c r="E202" s="13" t="str">
        <f t="shared" si="34"/>
        <v>32</v>
      </c>
      <c r="F202" s="13" t="str">
        <f t="shared" si="35"/>
        <v>01</v>
      </c>
      <c r="G202" s="13" t="s">
        <v>230</v>
      </c>
      <c r="H202" s="13" t="s">
        <v>1687</v>
      </c>
      <c r="I202" s="16" t="s">
        <v>1828</v>
      </c>
      <c r="J202" s="13"/>
      <c r="K202" s="13"/>
      <c r="L202" s="13"/>
      <c r="M202" s="16"/>
    </row>
    <row r="203" spans="1:13" ht="25.5" x14ac:dyDescent="0.25">
      <c r="A203" s="13" t="str">
        <f t="shared" si="30"/>
        <v>1</v>
      </c>
      <c r="B203" s="13" t="str">
        <f t="shared" si="31"/>
        <v>2</v>
      </c>
      <c r="C203" s="13" t="str">
        <f t="shared" si="32"/>
        <v>1</v>
      </c>
      <c r="D203" s="13" t="str">
        <f t="shared" si="33"/>
        <v>0</v>
      </c>
      <c r="E203" s="13" t="str">
        <f t="shared" si="34"/>
        <v>32</v>
      </c>
      <c r="F203" s="13" t="str">
        <f t="shared" si="35"/>
        <v>03</v>
      </c>
      <c r="G203" s="13" t="s">
        <v>231</v>
      </c>
      <c r="H203" s="13" t="s">
        <v>1688</v>
      </c>
      <c r="I203" s="16" t="s">
        <v>1829</v>
      </c>
      <c r="J203" s="13"/>
      <c r="K203" s="13"/>
      <c r="L203" s="13"/>
      <c r="M203" s="16"/>
    </row>
    <row r="204" spans="1:13" ht="38.25" x14ac:dyDescent="0.25">
      <c r="A204" s="21" t="str">
        <f t="shared" si="30"/>
        <v>1</v>
      </c>
      <c r="B204" s="21" t="str">
        <f t="shared" si="31"/>
        <v>2</v>
      </c>
      <c r="C204" s="21" t="str">
        <f t="shared" si="32"/>
        <v>1</v>
      </c>
      <c r="D204" s="21" t="str">
        <f t="shared" si="33"/>
        <v>0</v>
      </c>
      <c r="E204" s="21" t="str">
        <f t="shared" si="34"/>
        <v>33</v>
      </c>
      <c r="F204" s="21" t="str">
        <f t="shared" si="35"/>
        <v>00</v>
      </c>
      <c r="G204" s="21" t="s">
        <v>232</v>
      </c>
      <c r="H204" s="21" t="s">
        <v>1689</v>
      </c>
      <c r="I204" s="22" t="s">
        <v>1830</v>
      </c>
      <c r="J204" s="21"/>
      <c r="K204" s="21"/>
      <c r="L204" s="21"/>
      <c r="M204" s="21"/>
    </row>
    <row r="205" spans="1:13" ht="38.25" x14ac:dyDescent="0.25">
      <c r="A205" s="13" t="str">
        <f t="shared" si="30"/>
        <v>1</v>
      </c>
      <c r="B205" s="13" t="str">
        <f t="shared" si="31"/>
        <v>2</v>
      </c>
      <c r="C205" s="13" t="str">
        <f t="shared" si="32"/>
        <v>1</v>
      </c>
      <c r="D205" s="13" t="str">
        <f t="shared" si="33"/>
        <v>0</v>
      </c>
      <c r="E205" s="13" t="str">
        <f t="shared" si="34"/>
        <v>33</v>
      </c>
      <c r="F205" s="13" t="str">
        <f t="shared" si="35"/>
        <v>01</v>
      </c>
      <c r="G205" s="13" t="s">
        <v>233</v>
      </c>
      <c r="H205" s="13" t="s">
        <v>1690</v>
      </c>
      <c r="I205" s="16" t="s">
        <v>1831</v>
      </c>
      <c r="J205" s="13"/>
      <c r="K205" s="13"/>
      <c r="L205" s="13"/>
      <c r="M205" s="16"/>
    </row>
    <row r="206" spans="1:13" ht="38.25" x14ac:dyDescent="0.25">
      <c r="A206" s="13" t="str">
        <f t="shared" si="30"/>
        <v>1</v>
      </c>
      <c r="B206" s="13" t="str">
        <f t="shared" si="31"/>
        <v>2</v>
      </c>
      <c r="C206" s="13" t="str">
        <f t="shared" si="32"/>
        <v>1</v>
      </c>
      <c r="D206" s="13" t="str">
        <f t="shared" si="33"/>
        <v>0</v>
      </c>
      <c r="E206" s="13" t="str">
        <f t="shared" si="34"/>
        <v>33</v>
      </c>
      <c r="F206" s="13" t="str">
        <f t="shared" si="35"/>
        <v>02</v>
      </c>
      <c r="G206" s="13" t="s">
        <v>234</v>
      </c>
      <c r="H206" s="13" t="s">
        <v>1691</v>
      </c>
      <c r="I206" s="16" t="s">
        <v>1832</v>
      </c>
      <c r="J206" s="13"/>
      <c r="K206" s="13"/>
      <c r="L206" s="13"/>
      <c r="M206" s="16"/>
    </row>
    <row r="207" spans="1:13" ht="38.25" x14ac:dyDescent="0.25">
      <c r="A207" s="21" t="str">
        <f t="shared" si="30"/>
        <v>1</v>
      </c>
      <c r="B207" s="21" t="str">
        <f t="shared" si="31"/>
        <v>2</v>
      </c>
      <c r="C207" s="21" t="str">
        <f t="shared" si="32"/>
        <v>1</v>
      </c>
      <c r="D207" s="21" t="str">
        <f t="shared" si="33"/>
        <v>0</v>
      </c>
      <c r="E207" s="21" t="str">
        <f t="shared" si="34"/>
        <v>34</v>
      </c>
      <c r="F207" s="21" t="str">
        <f t="shared" si="35"/>
        <v>00</v>
      </c>
      <c r="G207" s="21" t="s">
        <v>235</v>
      </c>
      <c r="H207" s="21" t="s">
        <v>1692</v>
      </c>
      <c r="I207" s="22" t="s">
        <v>1833</v>
      </c>
      <c r="J207" s="21"/>
      <c r="K207" s="21"/>
      <c r="L207" s="21"/>
      <c r="M207" s="21"/>
    </row>
    <row r="208" spans="1:13" ht="38.25" x14ac:dyDescent="0.25">
      <c r="A208" s="13" t="str">
        <f t="shared" si="30"/>
        <v>1</v>
      </c>
      <c r="B208" s="13" t="str">
        <f t="shared" si="31"/>
        <v>2</v>
      </c>
      <c r="C208" s="13" t="str">
        <f t="shared" si="32"/>
        <v>1</v>
      </c>
      <c r="D208" s="13" t="str">
        <f t="shared" si="33"/>
        <v>0</v>
      </c>
      <c r="E208" s="13" t="str">
        <f t="shared" si="34"/>
        <v>34</v>
      </c>
      <c r="F208" s="13" t="str">
        <f t="shared" si="35"/>
        <v>01</v>
      </c>
      <c r="G208" s="13" t="s">
        <v>236</v>
      </c>
      <c r="H208" s="13" t="s">
        <v>1693</v>
      </c>
      <c r="I208" s="16" t="s">
        <v>1834</v>
      </c>
      <c r="J208" s="13"/>
      <c r="K208" s="13"/>
      <c r="L208" s="13"/>
      <c r="M208" s="16"/>
    </row>
    <row r="209" spans="1:13" ht="38.25" x14ac:dyDescent="0.25">
      <c r="A209" s="13" t="str">
        <f t="shared" si="30"/>
        <v>1</v>
      </c>
      <c r="B209" s="13" t="str">
        <f t="shared" si="31"/>
        <v>2</v>
      </c>
      <c r="C209" s="13" t="str">
        <f t="shared" si="32"/>
        <v>1</v>
      </c>
      <c r="D209" s="13" t="str">
        <f t="shared" si="33"/>
        <v>0</v>
      </c>
      <c r="E209" s="13" t="str">
        <f t="shared" si="34"/>
        <v>34</v>
      </c>
      <c r="F209" s="13" t="str">
        <f t="shared" si="35"/>
        <v>02</v>
      </c>
      <c r="G209" s="13" t="s">
        <v>237</v>
      </c>
      <c r="H209" s="13" t="s">
        <v>1694</v>
      </c>
      <c r="I209" s="16" t="s">
        <v>1832</v>
      </c>
      <c r="J209" s="13"/>
      <c r="K209" s="13"/>
      <c r="L209" s="13"/>
      <c r="M209" s="16"/>
    </row>
    <row r="210" spans="1:13" ht="25.5" x14ac:dyDescent="0.25">
      <c r="A210" s="21" t="str">
        <f t="shared" si="30"/>
        <v>1</v>
      </c>
      <c r="B210" s="21" t="str">
        <f t="shared" si="31"/>
        <v>2</v>
      </c>
      <c r="C210" s="21" t="str">
        <f t="shared" si="32"/>
        <v>1</v>
      </c>
      <c r="D210" s="21" t="str">
        <f t="shared" si="33"/>
        <v>0</v>
      </c>
      <c r="E210" s="21" t="str">
        <f t="shared" si="34"/>
        <v>35</v>
      </c>
      <c r="F210" s="21" t="str">
        <f t="shared" si="35"/>
        <v>00</v>
      </c>
      <c r="G210" s="21" t="s">
        <v>238</v>
      </c>
      <c r="H210" s="21" t="s">
        <v>1695</v>
      </c>
      <c r="I210" s="22" t="s">
        <v>1835</v>
      </c>
      <c r="J210" s="21"/>
      <c r="K210" s="21"/>
      <c r="L210" s="21"/>
      <c r="M210" s="21"/>
    </row>
    <row r="211" spans="1:13" ht="51" x14ac:dyDescent="0.25">
      <c r="A211" s="13" t="str">
        <f t="shared" si="30"/>
        <v>1</v>
      </c>
      <c r="B211" s="13" t="str">
        <f t="shared" si="31"/>
        <v>2</v>
      </c>
      <c r="C211" s="13" t="str">
        <f t="shared" si="32"/>
        <v>1</v>
      </c>
      <c r="D211" s="13" t="str">
        <f t="shared" si="33"/>
        <v>0</v>
      </c>
      <c r="E211" s="13" t="str">
        <f t="shared" si="34"/>
        <v>35</v>
      </c>
      <c r="F211" s="13" t="str">
        <f t="shared" si="35"/>
        <v>01</v>
      </c>
      <c r="G211" s="13" t="s">
        <v>239</v>
      </c>
      <c r="H211" s="13" t="s">
        <v>1696</v>
      </c>
      <c r="I211" s="16" t="s">
        <v>1836</v>
      </c>
      <c r="J211" s="13"/>
      <c r="K211" s="13"/>
      <c r="L211" s="13"/>
      <c r="M211" s="16"/>
    </row>
    <row r="212" spans="1:13" ht="25.5" x14ac:dyDescent="0.25">
      <c r="A212" s="13" t="str">
        <f t="shared" si="30"/>
        <v>1</v>
      </c>
      <c r="B212" s="13" t="str">
        <f t="shared" si="31"/>
        <v>2</v>
      </c>
      <c r="C212" s="13" t="str">
        <f t="shared" si="32"/>
        <v>1</v>
      </c>
      <c r="D212" s="13" t="str">
        <f t="shared" si="33"/>
        <v>0</v>
      </c>
      <c r="E212" s="13" t="str">
        <f t="shared" si="34"/>
        <v>35</v>
      </c>
      <c r="F212" s="13" t="str">
        <f t="shared" si="35"/>
        <v>02</v>
      </c>
      <c r="G212" s="13" t="s">
        <v>240</v>
      </c>
      <c r="H212" s="13" t="s">
        <v>1697</v>
      </c>
      <c r="I212" s="16" t="s">
        <v>1837</v>
      </c>
      <c r="J212" s="13"/>
      <c r="K212" s="13"/>
      <c r="L212" s="13"/>
      <c r="M212" s="16"/>
    </row>
    <row r="213" spans="1:13" ht="25.5" x14ac:dyDescent="0.25">
      <c r="A213" s="21" t="str">
        <f t="shared" si="30"/>
        <v>1</v>
      </c>
      <c r="B213" s="21" t="str">
        <f t="shared" si="31"/>
        <v>2</v>
      </c>
      <c r="C213" s="21" t="str">
        <f t="shared" si="32"/>
        <v>1</v>
      </c>
      <c r="D213" s="21" t="str">
        <f t="shared" si="33"/>
        <v>0</v>
      </c>
      <c r="E213" s="21" t="str">
        <f t="shared" si="34"/>
        <v>36</v>
      </c>
      <c r="F213" s="21" t="str">
        <f t="shared" si="35"/>
        <v>00</v>
      </c>
      <c r="G213" s="21" t="s">
        <v>241</v>
      </c>
      <c r="H213" s="21" t="s">
        <v>1698</v>
      </c>
      <c r="I213" s="22" t="s">
        <v>1838</v>
      </c>
      <c r="J213" s="21"/>
      <c r="K213" s="21"/>
      <c r="L213" s="21"/>
      <c r="M213" s="21"/>
    </row>
    <row r="214" spans="1:13" ht="38.25" x14ac:dyDescent="0.25">
      <c r="A214" s="13" t="str">
        <f t="shared" si="30"/>
        <v>1</v>
      </c>
      <c r="B214" s="13" t="str">
        <f t="shared" si="31"/>
        <v>2</v>
      </c>
      <c r="C214" s="13" t="str">
        <f t="shared" si="32"/>
        <v>1</v>
      </c>
      <c r="D214" s="13" t="str">
        <f t="shared" si="33"/>
        <v>0</v>
      </c>
      <c r="E214" s="13" t="str">
        <f t="shared" si="34"/>
        <v>36</v>
      </c>
      <c r="F214" s="13" t="str">
        <f t="shared" si="35"/>
        <v>01</v>
      </c>
      <c r="G214" s="13" t="s">
        <v>242</v>
      </c>
      <c r="H214" s="13" t="s">
        <v>1699</v>
      </c>
      <c r="I214" s="16" t="s">
        <v>1839</v>
      </c>
      <c r="J214" s="13"/>
      <c r="K214" s="13"/>
      <c r="L214" s="13"/>
      <c r="M214" s="16"/>
    </row>
    <row r="215" spans="1:13" ht="25.5" x14ac:dyDescent="0.25">
      <c r="A215" s="13" t="str">
        <f t="shared" si="30"/>
        <v>1</v>
      </c>
      <c r="B215" s="13" t="str">
        <f t="shared" si="31"/>
        <v>2</v>
      </c>
      <c r="C215" s="13" t="str">
        <f t="shared" si="32"/>
        <v>1</v>
      </c>
      <c r="D215" s="13" t="str">
        <f t="shared" si="33"/>
        <v>0</v>
      </c>
      <c r="E215" s="13" t="str">
        <f t="shared" si="34"/>
        <v>36</v>
      </c>
      <c r="F215" s="13" t="str">
        <f t="shared" si="35"/>
        <v>02</v>
      </c>
      <c r="G215" s="13" t="s">
        <v>243</v>
      </c>
      <c r="H215" s="13" t="s">
        <v>1700</v>
      </c>
      <c r="I215" s="16" t="s">
        <v>1837</v>
      </c>
      <c r="J215" s="13"/>
      <c r="K215" s="13"/>
      <c r="L215" s="13"/>
      <c r="M215" s="16"/>
    </row>
    <row r="216" spans="1:13" ht="51" x14ac:dyDescent="0.25">
      <c r="A216" s="21" t="str">
        <f t="shared" si="30"/>
        <v>1</v>
      </c>
      <c r="B216" s="21" t="str">
        <f t="shared" si="31"/>
        <v>2</v>
      </c>
      <c r="C216" s="21" t="str">
        <f t="shared" si="32"/>
        <v>1</v>
      </c>
      <c r="D216" s="21" t="str">
        <f t="shared" si="33"/>
        <v>0</v>
      </c>
      <c r="E216" s="21" t="str">
        <f t="shared" si="34"/>
        <v>37</v>
      </c>
      <c r="F216" s="21" t="str">
        <f t="shared" si="35"/>
        <v>00</v>
      </c>
      <c r="G216" s="21" t="s">
        <v>244</v>
      </c>
      <c r="H216" s="21" t="s">
        <v>1701</v>
      </c>
      <c r="I216" s="22" t="s">
        <v>1840</v>
      </c>
      <c r="J216" s="21"/>
      <c r="K216" s="21"/>
      <c r="L216" s="21"/>
      <c r="M216" s="21"/>
    </row>
    <row r="217" spans="1:13" ht="25.5" x14ac:dyDescent="0.25">
      <c r="A217" s="13" t="str">
        <f t="shared" si="30"/>
        <v>1</v>
      </c>
      <c r="B217" s="13" t="str">
        <f t="shared" si="31"/>
        <v>2</v>
      </c>
      <c r="C217" s="13" t="str">
        <f t="shared" si="32"/>
        <v>1</v>
      </c>
      <c r="D217" s="13" t="str">
        <f t="shared" si="33"/>
        <v>0</v>
      </c>
      <c r="E217" s="13" t="str">
        <f t="shared" si="34"/>
        <v>37</v>
      </c>
      <c r="F217" s="13" t="str">
        <f t="shared" si="35"/>
        <v>01</v>
      </c>
      <c r="G217" s="13" t="s">
        <v>245</v>
      </c>
      <c r="H217" s="13" t="s">
        <v>1702</v>
      </c>
      <c r="I217" s="16" t="s">
        <v>1841</v>
      </c>
      <c r="J217" s="13"/>
      <c r="K217" s="13"/>
      <c r="L217" s="13"/>
      <c r="M217" s="16"/>
    </row>
    <row r="218" spans="1:13" ht="38.25" x14ac:dyDescent="0.25">
      <c r="A218" s="13" t="str">
        <f t="shared" si="30"/>
        <v>1</v>
      </c>
      <c r="B218" s="13" t="str">
        <f t="shared" si="31"/>
        <v>2</v>
      </c>
      <c r="C218" s="13" t="str">
        <f t="shared" si="32"/>
        <v>1</v>
      </c>
      <c r="D218" s="13" t="str">
        <f t="shared" si="33"/>
        <v>0</v>
      </c>
      <c r="E218" s="13" t="str">
        <f t="shared" si="34"/>
        <v>37</v>
      </c>
      <c r="F218" s="13" t="str">
        <f t="shared" si="35"/>
        <v>02</v>
      </c>
      <c r="G218" s="13" t="s">
        <v>246</v>
      </c>
      <c r="H218" s="13" t="s">
        <v>1703</v>
      </c>
      <c r="I218" s="16" t="s">
        <v>1842</v>
      </c>
      <c r="J218" s="13"/>
      <c r="K218" s="13"/>
      <c r="L218" s="13"/>
      <c r="M218" s="16"/>
    </row>
    <row r="219" spans="1:13" ht="25.5" x14ac:dyDescent="0.25">
      <c r="A219" s="21" t="str">
        <f t="shared" si="30"/>
        <v>1</v>
      </c>
      <c r="B219" s="21" t="str">
        <f t="shared" si="31"/>
        <v>2</v>
      </c>
      <c r="C219" s="21" t="str">
        <f t="shared" si="32"/>
        <v>1</v>
      </c>
      <c r="D219" s="21" t="str">
        <f t="shared" si="33"/>
        <v>0</v>
      </c>
      <c r="E219" s="21" t="str">
        <f t="shared" si="34"/>
        <v>38</v>
      </c>
      <c r="F219" s="21" t="str">
        <f t="shared" si="35"/>
        <v>00</v>
      </c>
      <c r="G219" s="21" t="s">
        <v>247</v>
      </c>
      <c r="H219" s="21" t="s">
        <v>1704</v>
      </c>
      <c r="I219" s="22" t="s">
        <v>1843</v>
      </c>
      <c r="J219" s="21"/>
      <c r="K219" s="21"/>
      <c r="L219" s="21"/>
      <c r="M219" s="21"/>
    </row>
    <row r="220" spans="1:13" ht="25.5" x14ac:dyDescent="0.25">
      <c r="A220" s="13" t="str">
        <f t="shared" si="30"/>
        <v>1</v>
      </c>
      <c r="B220" s="13" t="str">
        <f t="shared" si="31"/>
        <v>2</v>
      </c>
      <c r="C220" s="13" t="str">
        <f t="shared" si="32"/>
        <v>1</v>
      </c>
      <c r="D220" s="13" t="str">
        <f t="shared" si="33"/>
        <v>0</v>
      </c>
      <c r="E220" s="13" t="str">
        <f t="shared" si="34"/>
        <v>38</v>
      </c>
      <c r="F220" s="13" t="str">
        <f t="shared" si="35"/>
        <v>01</v>
      </c>
      <c r="G220" s="13" t="s">
        <v>248</v>
      </c>
      <c r="H220" s="13" t="s">
        <v>1705</v>
      </c>
      <c r="I220" s="16" t="s">
        <v>1844</v>
      </c>
      <c r="J220" s="13"/>
      <c r="K220" s="13"/>
      <c r="L220" s="13"/>
      <c r="M220" s="16"/>
    </row>
    <row r="221" spans="1:13" ht="25.5" x14ac:dyDescent="0.25">
      <c r="A221" s="13" t="str">
        <f t="shared" si="30"/>
        <v>1</v>
      </c>
      <c r="B221" s="13" t="str">
        <f t="shared" si="31"/>
        <v>2</v>
      </c>
      <c r="C221" s="13" t="str">
        <f t="shared" si="32"/>
        <v>1</v>
      </c>
      <c r="D221" s="13" t="str">
        <f t="shared" si="33"/>
        <v>0</v>
      </c>
      <c r="E221" s="13" t="str">
        <f t="shared" si="34"/>
        <v>38</v>
      </c>
      <c r="F221" s="13" t="str">
        <f t="shared" si="35"/>
        <v>02</v>
      </c>
      <c r="G221" s="13" t="s">
        <v>249</v>
      </c>
      <c r="H221" s="13" t="s">
        <v>1706</v>
      </c>
      <c r="I221" s="16" t="s">
        <v>1845</v>
      </c>
      <c r="J221" s="13"/>
      <c r="K221" s="13"/>
      <c r="L221" s="13"/>
      <c r="M221" s="16"/>
    </row>
    <row r="222" spans="1:13" ht="51" x14ac:dyDescent="0.25">
      <c r="A222" s="21" t="str">
        <f t="shared" si="30"/>
        <v>1</v>
      </c>
      <c r="B222" s="21" t="str">
        <f t="shared" si="31"/>
        <v>2</v>
      </c>
      <c r="C222" s="21" t="str">
        <f t="shared" si="32"/>
        <v>1</v>
      </c>
      <c r="D222" s="21" t="str">
        <f t="shared" si="33"/>
        <v>0</v>
      </c>
      <c r="E222" s="21" t="str">
        <f t="shared" si="34"/>
        <v>39</v>
      </c>
      <c r="F222" s="21" t="str">
        <f t="shared" si="35"/>
        <v>00</v>
      </c>
      <c r="G222" s="21" t="s">
        <v>250</v>
      </c>
      <c r="H222" s="21" t="s">
        <v>1707</v>
      </c>
      <c r="I222" s="22" t="s">
        <v>1846</v>
      </c>
      <c r="J222" s="21"/>
      <c r="K222" s="21"/>
      <c r="L222" s="21"/>
      <c r="M222" s="21"/>
    </row>
    <row r="223" spans="1:13" ht="51" x14ac:dyDescent="0.25">
      <c r="A223" s="21" t="str">
        <f t="shared" ref="A223:A287" si="36">MID(G223,1,1)</f>
        <v>1</v>
      </c>
      <c r="B223" s="21" t="str">
        <f t="shared" ref="B223:B287" si="37">MID(G223,2,1)</f>
        <v>2</v>
      </c>
      <c r="C223" s="21" t="str">
        <f t="shared" ref="C223:C287" si="38">MID(G223,3,1)</f>
        <v>1</v>
      </c>
      <c r="D223" s="21" t="str">
        <f t="shared" ref="D223:D287" si="39">MID(G223,4,1)</f>
        <v>0</v>
      </c>
      <c r="E223" s="21" t="str">
        <f t="shared" ref="E223:E287" si="40">MID(G223,6,2)</f>
        <v>41</v>
      </c>
      <c r="F223" s="21" t="str">
        <f t="shared" ref="F223:F287" si="41">MID(G223,9,2)</f>
        <v>00</v>
      </c>
      <c r="G223" s="21" t="s">
        <v>251</v>
      </c>
      <c r="H223" s="21" t="s">
        <v>1708</v>
      </c>
      <c r="I223" s="22" t="s">
        <v>1847</v>
      </c>
      <c r="J223" s="21"/>
      <c r="K223" s="21"/>
      <c r="L223" s="21"/>
      <c r="M223" s="21"/>
    </row>
    <row r="224" spans="1:13" ht="51" x14ac:dyDescent="0.25">
      <c r="A224" s="21" t="str">
        <f t="shared" si="36"/>
        <v>1</v>
      </c>
      <c r="B224" s="21" t="str">
        <f t="shared" si="37"/>
        <v>2</v>
      </c>
      <c r="C224" s="21" t="str">
        <f t="shared" si="38"/>
        <v>1</v>
      </c>
      <c r="D224" s="21" t="str">
        <f t="shared" si="39"/>
        <v>0</v>
      </c>
      <c r="E224" s="21" t="str">
        <f t="shared" si="40"/>
        <v>42</v>
      </c>
      <c r="F224" s="21" t="str">
        <f t="shared" si="41"/>
        <v>00</v>
      </c>
      <c r="G224" s="21" t="s">
        <v>252</v>
      </c>
      <c r="H224" s="21" t="s">
        <v>1709</v>
      </c>
      <c r="I224" s="22" t="s">
        <v>1848</v>
      </c>
      <c r="J224" s="21"/>
      <c r="K224" s="21"/>
      <c r="L224" s="21"/>
      <c r="M224" s="21"/>
    </row>
    <row r="225" spans="1:13" ht="51" x14ac:dyDescent="0.25">
      <c r="A225" s="21" t="str">
        <f t="shared" si="36"/>
        <v>1</v>
      </c>
      <c r="B225" s="21" t="str">
        <f t="shared" si="37"/>
        <v>2</v>
      </c>
      <c r="C225" s="21" t="str">
        <f t="shared" si="38"/>
        <v>1</v>
      </c>
      <c r="D225" s="21" t="str">
        <f t="shared" si="39"/>
        <v>0</v>
      </c>
      <c r="E225" s="21" t="str">
        <f t="shared" si="40"/>
        <v>43</v>
      </c>
      <c r="F225" s="21" t="str">
        <f t="shared" si="41"/>
        <v>00</v>
      </c>
      <c r="G225" s="21" t="s">
        <v>253</v>
      </c>
      <c r="H225" s="21" t="s">
        <v>1710</v>
      </c>
      <c r="I225" s="22" t="s">
        <v>1849</v>
      </c>
      <c r="J225" s="21"/>
      <c r="K225" s="21"/>
      <c r="L225" s="21"/>
      <c r="M225" s="21"/>
    </row>
    <row r="226" spans="1:13" ht="38.25" x14ac:dyDescent="0.25">
      <c r="A226" s="21" t="str">
        <f t="shared" si="36"/>
        <v>1</v>
      </c>
      <c r="B226" s="21" t="str">
        <f t="shared" si="37"/>
        <v>2</v>
      </c>
      <c r="C226" s="21" t="str">
        <f t="shared" si="38"/>
        <v>1</v>
      </c>
      <c r="D226" s="21" t="str">
        <f t="shared" si="39"/>
        <v>0</v>
      </c>
      <c r="E226" s="21" t="str">
        <f t="shared" si="40"/>
        <v>44</v>
      </c>
      <c r="F226" s="21" t="str">
        <f t="shared" si="41"/>
        <v>00</v>
      </c>
      <c r="G226" s="21" t="s">
        <v>254</v>
      </c>
      <c r="H226" s="21" t="s">
        <v>1711</v>
      </c>
      <c r="I226" s="22" t="s">
        <v>1850</v>
      </c>
      <c r="J226" s="21"/>
      <c r="K226" s="21"/>
      <c r="L226" s="21"/>
      <c r="M226" s="21"/>
    </row>
    <row r="227" spans="1:13" x14ac:dyDescent="0.25">
      <c r="A227" s="21" t="str">
        <f t="shared" si="36"/>
        <v>1</v>
      </c>
      <c r="B227" s="21" t="str">
        <f t="shared" si="37"/>
        <v>2</v>
      </c>
      <c r="C227" s="21" t="str">
        <f t="shared" si="38"/>
        <v>1</v>
      </c>
      <c r="D227" s="21" t="str">
        <f t="shared" si="39"/>
        <v>0</v>
      </c>
      <c r="E227" s="21" t="str">
        <f t="shared" si="40"/>
        <v>45</v>
      </c>
      <c r="F227" s="21" t="str">
        <f t="shared" si="41"/>
        <v>00</v>
      </c>
      <c r="G227" s="21" t="s">
        <v>255</v>
      </c>
      <c r="H227" s="21" t="s">
        <v>1712</v>
      </c>
      <c r="I227" s="22" t="s">
        <v>1851</v>
      </c>
      <c r="J227" s="21"/>
      <c r="K227" s="21"/>
      <c r="L227" s="21"/>
      <c r="M227" s="21"/>
    </row>
    <row r="228" spans="1:13" ht="25.5" x14ac:dyDescent="0.25">
      <c r="A228" s="21" t="str">
        <f t="shared" si="36"/>
        <v>1</v>
      </c>
      <c r="B228" s="21" t="str">
        <f t="shared" si="37"/>
        <v>2</v>
      </c>
      <c r="C228" s="21" t="str">
        <f t="shared" si="38"/>
        <v>1</v>
      </c>
      <c r="D228" s="21" t="str">
        <f t="shared" si="39"/>
        <v>0</v>
      </c>
      <c r="E228" s="21" t="str">
        <f t="shared" si="40"/>
        <v>47</v>
      </c>
      <c r="F228" s="21" t="str">
        <f t="shared" si="41"/>
        <v>00</v>
      </c>
      <c r="G228" s="21" t="s">
        <v>256</v>
      </c>
      <c r="H228" s="21" t="s">
        <v>1713</v>
      </c>
      <c r="I228" s="22" t="s">
        <v>1852</v>
      </c>
      <c r="J228" s="21"/>
      <c r="K228" s="21"/>
      <c r="L228" s="21"/>
      <c r="M228" s="21"/>
    </row>
    <row r="229" spans="1:13" ht="25.5" x14ac:dyDescent="0.25">
      <c r="A229" s="21" t="str">
        <f t="shared" si="36"/>
        <v>1</v>
      </c>
      <c r="B229" s="21" t="str">
        <f t="shared" si="37"/>
        <v>2</v>
      </c>
      <c r="C229" s="21" t="str">
        <f t="shared" si="38"/>
        <v>1</v>
      </c>
      <c r="D229" s="21" t="str">
        <f t="shared" si="39"/>
        <v>0</v>
      </c>
      <c r="E229" s="21" t="str">
        <f t="shared" si="40"/>
        <v>48</v>
      </c>
      <c r="F229" s="21" t="str">
        <f t="shared" si="41"/>
        <v>00</v>
      </c>
      <c r="G229" s="21" t="s">
        <v>257</v>
      </c>
      <c r="H229" s="21" t="s">
        <v>1714</v>
      </c>
      <c r="I229" s="22" t="s">
        <v>1853</v>
      </c>
      <c r="J229" s="21"/>
      <c r="K229" s="21"/>
      <c r="L229" s="21"/>
      <c r="M229" s="21"/>
    </row>
    <row r="230" spans="1:13" x14ac:dyDescent="0.25">
      <c r="A230" s="21" t="str">
        <f t="shared" si="36"/>
        <v>1</v>
      </c>
      <c r="B230" s="21" t="str">
        <f t="shared" si="37"/>
        <v>2</v>
      </c>
      <c r="C230" s="21" t="str">
        <f t="shared" si="38"/>
        <v>1</v>
      </c>
      <c r="D230" s="21" t="str">
        <f t="shared" si="39"/>
        <v>0</v>
      </c>
      <c r="E230" s="21" t="str">
        <f t="shared" si="40"/>
        <v>99</v>
      </c>
      <c r="F230" s="21" t="str">
        <f t="shared" si="41"/>
        <v>00</v>
      </c>
      <c r="G230" s="21" t="s">
        <v>258</v>
      </c>
      <c r="H230" s="21" t="s">
        <v>1715</v>
      </c>
      <c r="I230" s="22" t="s">
        <v>1854</v>
      </c>
      <c r="J230" s="21"/>
      <c r="K230" s="21"/>
      <c r="L230" s="21"/>
      <c r="M230" s="21"/>
    </row>
    <row r="231" spans="1:13" ht="25.5" x14ac:dyDescent="0.25">
      <c r="A231" s="12" t="str">
        <f t="shared" si="36"/>
        <v>1</v>
      </c>
      <c r="B231" s="12" t="str">
        <f t="shared" si="37"/>
        <v>2</v>
      </c>
      <c r="C231" s="12" t="str">
        <f t="shared" si="38"/>
        <v>2</v>
      </c>
      <c r="D231" s="12" t="str">
        <f t="shared" si="39"/>
        <v>0</v>
      </c>
      <c r="E231" s="12" t="str">
        <f t="shared" si="40"/>
        <v>00</v>
      </c>
      <c r="F231" s="12" t="str">
        <f t="shared" si="41"/>
        <v>00</v>
      </c>
      <c r="G231" s="12" t="s">
        <v>259</v>
      </c>
      <c r="H231" s="12" t="s">
        <v>1716</v>
      </c>
      <c r="I231" s="15" t="s">
        <v>4200</v>
      </c>
      <c r="J231" s="12"/>
      <c r="K231" s="12"/>
      <c r="L231" s="12"/>
      <c r="M231" s="15"/>
    </row>
    <row r="232" spans="1:13" ht="63.75" x14ac:dyDescent="0.25">
      <c r="A232" s="21" t="str">
        <f t="shared" si="36"/>
        <v>1</v>
      </c>
      <c r="B232" s="21" t="str">
        <f t="shared" si="37"/>
        <v>2</v>
      </c>
      <c r="C232" s="21" t="str">
        <f t="shared" si="38"/>
        <v>2</v>
      </c>
      <c r="D232" s="21" t="str">
        <f t="shared" si="39"/>
        <v>0</v>
      </c>
      <c r="E232" s="21" t="str">
        <f t="shared" si="40"/>
        <v>01</v>
      </c>
      <c r="F232" s="21" t="str">
        <f t="shared" si="41"/>
        <v>00</v>
      </c>
      <c r="G232" s="21" t="s">
        <v>260</v>
      </c>
      <c r="H232" s="21" t="s">
        <v>1717</v>
      </c>
      <c r="I232" s="22" t="s">
        <v>1855</v>
      </c>
      <c r="J232" s="21"/>
      <c r="K232" s="21"/>
      <c r="L232" s="21"/>
      <c r="M232" s="21"/>
    </row>
    <row r="233" spans="1:13" ht="63.75" x14ac:dyDescent="0.25">
      <c r="A233" s="21" t="str">
        <f t="shared" si="36"/>
        <v>1</v>
      </c>
      <c r="B233" s="21" t="str">
        <f t="shared" si="37"/>
        <v>2</v>
      </c>
      <c r="C233" s="21" t="str">
        <f t="shared" si="38"/>
        <v>2</v>
      </c>
      <c r="D233" s="21" t="str">
        <f t="shared" si="39"/>
        <v>0</v>
      </c>
      <c r="E233" s="21" t="str">
        <f t="shared" si="40"/>
        <v>02</v>
      </c>
      <c r="F233" s="21" t="str">
        <f t="shared" si="41"/>
        <v>00</v>
      </c>
      <c r="G233" s="21" t="s">
        <v>261</v>
      </c>
      <c r="H233" s="21" t="s">
        <v>1718</v>
      </c>
      <c r="I233" s="22" t="s">
        <v>1856</v>
      </c>
      <c r="J233" s="21"/>
      <c r="K233" s="21"/>
      <c r="L233" s="21"/>
      <c r="M233" s="21"/>
    </row>
    <row r="234" spans="1:13" ht="38.25" x14ac:dyDescent="0.25">
      <c r="A234" s="21" t="str">
        <f t="shared" si="36"/>
        <v>1</v>
      </c>
      <c r="B234" s="21" t="str">
        <f t="shared" si="37"/>
        <v>2</v>
      </c>
      <c r="C234" s="21" t="str">
        <f t="shared" si="38"/>
        <v>2</v>
      </c>
      <c r="D234" s="21" t="str">
        <f t="shared" si="39"/>
        <v>0</v>
      </c>
      <c r="E234" s="21" t="str">
        <f t="shared" si="40"/>
        <v>03</v>
      </c>
      <c r="F234" s="21" t="str">
        <f t="shared" si="41"/>
        <v>00</v>
      </c>
      <c r="G234" s="21" t="s">
        <v>262</v>
      </c>
      <c r="H234" s="21" t="s">
        <v>1719</v>
      </c>
      <c r="I234" s="22" t="s">
        <v>1857</v>
      </c>
      <c r="J234" s="21"/>
      <c r="K234" s="21"/>
      <c r="L234" s="21"/>
      <c r="M234" s="21"/>
    </row>
    <row r="235" spans="1:13" ht="25.5" x14ac:dyDescent="0.25">
      <c r="A235" s="45" t="str">
        <f t="shared" si="36"/>
        <v>1</v>
      </c>
      <c r="B235" s="45" t="str">
        <f t="shared" si="37"/>
        <v>2</v>
      </c>
      <c r="C235" s="45" t="str">
        <f t="shared" si="38"/>
        <v>2</v>
      </c>
      <c r="D235" s="45" t="str">
        <f t="shared" si="39"/>
        <v>0</v>
      </c>
      <c r="E235" s="45" t="str">
        <f t="shared" si="40"/>
        <v>03</v>
      </c>
      <c r="F235" s="45" t="str">
        <f t="shared" si="41"/>
        <v>01</v>
      </c>
      <c r="G235" s="45" t="s">
        <v>263</v>
      </c>
      <c r="H235" s="45" t="s">
        <v>1720</v>
      </c>
      <c r="I235" s="46" t="s">
        <v>1858</v>
      </c>
      <c r="J235" s="13"/>
      <c r="K235" s="13" t="s">
        <v>3947</v>
      </c>
      <c r="L235" s="13" t="s">
        <v>4273</v>
      </c>
      <c r="M235" s="16" t="s">
        <v>4271</v>
      </c>
    </row>
    <row r="236" spans="1:13" ht="51" x14ac:dyDescent="0.25">
      <c r="A236" s="13" t="str">
        <f t="shared" si="36"/>
        <v>1</v>
      </c>
      <c r="B236" s="13" t="str">
        <f t="shared" si="37"/>
        <v>2</v>
      </c>
      <c r="C236" s="13" t="str">
        <f t="shared" si="38"/>
        <v>2</v>
      </c>
      <c r="D236" s="13" t="str">
        <f t="shared" si="39"/>
        <v>0</v>
      </c>
      <c r="E236" s="13" t="str">
        <f t="shared" si="40"/>
        <v>03</v>
      </c>
      <c r="F236" s="13" t="str">
        <f t="shared" si="41"/>
        <v>02</v>
      </c>
      <c r="G236" s="13" t="s">
        <v>264</v>
      </c>
      <c r="H236" s="13" t="s">
        <v>1721</v>
      </c>
      <c r="I236" s="16" t="s">
        <v>1859</v>
      </c>
      <c r="J236" s="13"/>
      <c r="K236" s="13"/>
      <c r="L236" s="13"/>
      <c r="M236" s="16"/>
    </row>
    <row r="237" spans="1:13" ht="38.25" x14ac:dyDescent="0.25">
      <c r="A237" s="13" t="str">
        <f t="shared" si="36"/>
        <v>1</v>
      </c>
      <c r="B237" s="13" t="str">
        <f t="shared" si="37"/>
        <v>2</v>
      </c>
      <c r="C237" s="13" t="str">
        <f t="shared" si="38"/>
        <v>2</v>
      </c>
      <c r="D237" s="13" t="str">
        <f t="shared" si="39"/>
        <v>0</v>
      </c>
      <c r="E237" s="13" t="str">
        <f t="shared" si="40"/>
        <v>03</v>
      </c>
      <c r="F237" s="13" t="str">
        <f t="shared" si="41"/>
        <v>99</v>
      </c>
      <c r="G237" s="13" t="s">
        <v>265</v>
      </c>
      <c r="H237" s="13" t="s">
        <v>1722</v>
      </c>
      <c r="I237" s="16" t="s">
        <v>1860</v>
      </c>
      <c r="J237" s="13"/>
      <c r="K237" s="13"/>
      <c r="L237" s="13"/>
      <c r="M237" s="16"/>
    </row>
    <row r="238" spans="1:13" ht="25.5" x14ac:dyDescent="0.25">
      <c r="A238" s="21" t="str">
        <f t="shared" si="36"/>
        <v>1</v>
      </c>
      <c r="B238" s="21" t="str">
        <f t="shared" si="37"/>
        <v>2</v>
      </c>
      <c r="C238" s="21" t="str">
        <f t="shared" si="38"/>
        <v>2</v>
      </c>
      <c r="D238" s="21" t="str">
        <f t="shared" si="39"/>
        <v>0</v>
      </c>
      <c r="E238" s="21" t="str">
        <f t="shared" si="40"/>
        <v>05</v>
      </c>
      <c r="F238" s="21" t="str">
        <f t="shared" si="41"/>
        <v>00</v>
      </c>
      <c r="G238" s="21" t="s">
        <v>266</v>
      </c>
      <c r="H238" s="21" t="s">
        <v>1723</v>
      </c>
      <c r="I238" s="22" t="s">
        <v>1861</v>
      </c>
      <c r="J238" s="21"/>
      <c r="K238" s="21"/>
      <c r="L238" s="21"/>
      <c r="M238" s="21"/>
    </row>
    <row r="239" spans="1:13" ht="38.25" x14ac:dyDescent="0.25">
      <c r="A239" s="21" t="str">
        <f t="shared" si="36"/>
        <v>1</v>
      </c>
      <c r="B239" s="21" t="str">
        <f t="shared" si="37"/>
        <v>2</v>
      </c>
      <c r="C239" s="21" t="str">
        <f t="shared" si="38"/>
        <v>2</v>
      </c>
      <c r="D239" s="21" t="str">
        <f t="shared" si="39"/>
        <v>0</v>
      </c>
      <c r="E239" s="21" t="str">
        <f t="shared" si="40"/>
        <v>06</v>
      </c>
      <c r="F239" s="21" t="str">
        <f t="shared" si="41"/>
        <v>00</v>
      </c>
      <c r="G239" s="21" t="s">
        <v>267</v>
      </c>
      <c r="H239" s="21" t="s">
        <v>1724</v>
      </c>
      <c r="I239" s="22" t="s">
        <v>1862</v>
      </c>
      <c r="J239" s="21"/>
      <c r="K239" s="21"/>
      <c r="L239" s="21"/>
      <c r="M239" s="21"/>
    </row>
    <row r="240" spans="1:13" ht="38.25" x14ac:dyDescent="0.25">
      <c r="A240" s="13" t="str">
        <f t="shared" si="36"/>
        <v>1</v>
      </c>
      <c r="B240" s="13" t="str">
        <f t="shared" si="37"/>
        <v>2</v>
      </c>
      <c r="C240" s="13" t="str">
        <f t="shared" si="38"/>
        <v>2</v>
      </c>
      <c r="D240" s="13" t="str">
        <f t="shared" si="39"/>
        <v>0</v>
      </c>
      <c r="E240" s="13" t="str">
        <f t="shared" si="40"/>
        <v>06</v>
      </c>
      <c r="F240" s="13" t="str">
        <f t="shared" si="41"/>
        <v>01</v>
      </c>
      <c r="G240" s="13" t="s">
        <v>268</v>
      </c>
      <c r="H240" s="13" t="s">
        <v>1725</v>
      </c>
      <c r="I240" s="16" t="s">
        <v>1863</v>
      </c>
      <c r="J240" s="13"/>
      <c r="K240" s="13"/>
      <c r="L240" s="13"/>
      <c r="M240" s="16"/>
    </row>
    <row r="241" spans="1:13" ht="38.25" x14ac:dyDescent="0.25">
      <c r="A241" s="13" t="str">
        <f t="shared" si="36"/>
        <v>1</v>
      </c>
      <c r="B241" s="13" t="str">
        <f t="shared" si="37"/>
        <v>2</v>
      </c>
      <c r="C241" s="13" t="str">
        <f t="shared" si="38"/>
        <v>2</v>
      </c>
      <c r="D241" s="13" t="str">
        <f t="shared" si="39"/>
        <v>0</v>
      </c>
      <c r="E241" s="13" t="str">
        <f t="shared" si="40"/>
        <v>06</v>
      </c>
      <c r="F241" s="13" t="str">
        <f t="shared" si="41"/>
        <v>02</v>
      </c>
      <c r="G241" s="13" t="s">
        <v>269</v>
      </c>
      <c r="H241" s="13" t="s">
        <v>1726</v>
      </c>
      <c r="I241" s="16" t="s">
        <v>1864</v>
      </c>
      <c r="J241" s="13"/>
      <c r="K241" s="13"/>
      <c r="L241" s="13"/>
      <c r="M241" s="16"/>
    </row>
    <row r="242" spans="1:13" ht="38.25" x14ac:dyDescent="0.25">
      <c r="A242" s="13" t="str">
        <f t="shared" si="36"/>
        <v>1</v>
      </c>
      <c r="B242" s="13" t="str">
        <f t="shared" si="37"/>
        <v>2</v>
      </c>
      <c r="C242" s="13" t="str">
        <f t="shared" si="38"/>
        <v>2</v>
      </c>
      <c r="D242" s="13" t="str">
        <f t="shared" si="39"/>
        <v>0</v>
      </c>
      <c r="E242" s="13" t="str">
        <f t="shared" si="40"/>
        <v>06</v>
      </c>
      <c r="F242" s="13" t="str">
        <f t="shared" si="41"/>
        <v>03</v>
      </c>
      <c r="G242" s="13" t="s">
        <v>270</v>
      </c>
      <c r="H242" s="13" t="s">
        <v>1727</v>
      </c>
      <c r="I242" s="16" t="s">
        <v>1865</v>
      </c>
      <c r="J242" s="13"/>
      <c r="K242" s="13"/>
      <c r="L242" s="13"/>
      <c r="M242" s="16"/>
    </row>
    <row r="243" spans="1:13" ht="25.5" x14ac:dyDescent="0.25">
      <c r="A243" s="21" t="str">
        <f t="shared" si="36"/>
        <v>1</v>
      </c>
      <c r="B243" s="21" t="str">
        <f t="shared" si="37"/>
        <v>2</v>
      </c>
      <c r="C243" s="21" t="str">
        <f t="shared" si="38"/>
        <v>2</v>
      </c>
      <c r="D243" s="21" t="str">
        <f t="shared" si="39"/>
        <v>0</v>
      </c>
      <c r="E243" s="21" t="str">
        <f t="shared" si="40"/>
        <v>16</v>
      </c>
      <c r="F243" s="21" t="str">
        <f t="shared" si="41"/>
        <v>00</v>
      </c>
      <c r="G243" s="21" t="s">
        <v>271</v>
      </c>
      <c r="H243" s="21" t="s">
        <v>1728</v>
      </c>
      <c r="I243" s="22" t="s">
        <v>1866</v>
      </c>
      <c r="J243" s="21"/>
      <c r="K243" s="21"/>
      <c r="L243" s="21"/>
      <c r="M243" s="21"/>
    </row>
    <row r="244" spans="1:13" ht="76.5" x14ac:dyDescent="0.25">
      <c r="A244" s="21" t="str">
        <f t="shared" si="36"/>
        <v>1</v>
      </c>
      <c r="B244" s="21" t="str">
        <f t="shared" si="37"/>
        <v>2</v>
      </c>
      <c r="C244" s="21" t="str">
        <f t="shared" si="38"/>
        <v>2</v>
      </c>
      <c r="D244" s="21" t="str">
        <f t="shared" si="39"/>
        <v>0</v>
      </c>
      <c r="E244" s="21" t="str">
        <f t="shared" si="40"/>
        <v>18</v>
      </c>
      <c r="F244" s="21" t="str">
        <f t="shared" si="41"/>
        <v>00</v>
      </c>
      <c r="G244" s="21" t="s">
        <v>272</v>
      </c>
      <c r="H244" s="21" t="s">
        <v>1729</v>
      </c>
      <c r="I244" s="22" t="s">
        <v>1867</v>
      </c>
      <c r="J244" s="21"/>
      <c r="K244" s="21"/>
      <c r="L244" s="21"/>
      <c r="M244" s="21"/>
    </row>
    <row r="245" spans="1:13" ht="63.75" x14ac:dyDescent="0.25">
      <c r="A245" s="21" t="str">
        <f t="shared" si="36"/>
        <v>1</v>
      </c>
      <c r="B245" s="21" t="str">
        <f t="shared" si="37"/>
        <v>2</v>
      </c>
      <c r="C245" s="21" t="str">
        <f t="shared" si="38"/>
        <v>2</v>
      </c>
      <c r="D245" s="21" t="str">
        <f t="shared" si="39"/>
        <v>0</v>
      </c>
      <c r="E245" s="21" t="str">
        <f t="shared" si="40"/>
        <v>24</v>
      </c>
      <c r="F245" s="21" t="str">
        <f t="shared" si="41"/>
        <v>00</v>
      </c>
      <c r="G245" s="21" t="s">
        <v>273</v>
      </c>
      <c r="H245" s="21" t="s">
        <v>1730</v>
      </c>
      <c r="I245" s="22" t="s">
        <v>1868</v>
      </c>
      <c r="J245" s="21"/>
      <c r="K245" s="21"/>
      <c r="L245" s="21"/>
      <c r="M245" s="21"/>
    </row>
    <row r="246" spans="1:13" ht="38.25" x14ac:dyDescent="0.25">
      <c r="A246" s="21" t="str">
        <f t="shared" si="36"/>
        <v>1</v>
      </c>
      <c r="B246" s="21" t="str">
        <f t="shared" si="37"/>
        <v>2</v>
      </c>
      <c r="C246" s="21" t="str">
        <f t="shared" si="38"/>
        <v>2</v>
      </c>
      <c r="D246" s="21" t="str">
        <f t="shared" si="39"/>
        <v>0</v>
      </c>
      <c r="E246" s="21" t="str">
        <f t="shared" si="40"/>
        <v>25</v>
      </c>
      <c r="F246" s="21" t="str">
        <f t="shared" si="41"/>
        <v>00</v>
      </c>
      <c r="G246" s="21" t="s">
        <v>274</v>
      </c>
      <c r="H246" s="21" t="s">
        <v>1731</v>
      </c>
      <c r="I246" s="22" t="s">
        <v>1869</v>
      </c>
      <c r="J246" s="21"/>
      <c r="K246" s="21"/>
      <c r="L246" s="21"/>
      <c r="M246" s="21"/>
    </row>
    <row r="247" spans="1:13" ht="38.25" x14ac:dyDescent="0.25">
      <c r="A247" s="21" t="str">
        <f t="shared" si="36"/>
        <v>1</v>
      </c>
      <c r="B247" s="21" t="str">
        <f t="shared" si="37"/>
        <v>2</v>
      </c>
      <c r="C247" s="21" t="str">
        <f t="shared" si="38"/>
        <v>2</v>
      </c>
      <c r="D247" s="21" t="str">
        <f t="shared" si="39"/>
        <v>0</v>
      </c>
      <c r="E247" s="21" t="str">
        <f t="shared" si="40"/>
        <v>26</v>
      </c>
      <c r="F247" s="21" t="str">
        <f t="shared" si="41"/>
        <v>00</v>
      </c>
      <c r="G247" s="21" t="s">
        <v>275</v>
      </c>
      <c r="H247" s="21" t="s">
        <v>1732</v>
      </c>
      <c r="I247" s="22" t="s">
        <v>1870</v>
      </c>
      <c r="J247" s="21"/>
      <c r="K247" s="21"/>
      <c r="L247" s="21"/>
      <c r="M247" s="21"/>
    </row>
    <row r="248" spans="1:13" ht="89.25" x14ac:dyDescent="0.25">
      <c r="A248" s="13" t="str">
        <f t="shared" si="36"/>
        <v>1</v>
      </c>
      <c r="B248" s="13" t="str">
        <f t="shared" si="37"/>
        <v>2</v>
      </c>
      <c r="C248" s="13" t="str">
        <f t="shared" si="38"/>
        <v>2</v>
      </c>
      <c r="D248" s="13" t="str">
        <f t="shared" si="39"/>
        <v>0</v>
      </c>
      <c r="E248" s="13" t="str">
        <f t="shared" si="40"/>
        <v>26</v>
      </c>
      <c r="F248" s="13" t="str">
        <f t="shared" si="41"/>
        <v>01</v>
      </c>
      <c r="G248" s="13" t="s">
        <v>276</v>
      </c>
      <c r="H248" s="13" t="s">
        <v>1733</v>
      </c>
      <c r="I248" s="16" t="s">
        <v>1871</v>
      </c>
      <c r="J248" s="13"/>
      <c r="K248" s="13"/>
      <c r="L248" s="13"/>
      <c r="M248" s="16"/>
    </row>
    <row r="249" spans="1:13" ht="63.75" x14ac:dyDescent="0.25">
      <c r="A249" s="13" t="str">
        <f t="shared" si="36"/>
        <v>1</v>
      </c>
      <c r="B249" s="13" t="str">
        <f t="shared" si="37"/>
        <v>2</v>
      </c>
      <c r="C249" s="13" t="str">
        <f t="shared" si="38"/>
        <v>2</v>
      </c>
      <c r="D249" s="13" t="str">
        <f t="shared" si="39"/>
        <v>0</v>
      </c>
      <c r="E249" s="13" t="str">
        <f t="shared" si="40"/>
        <v>26</v>
      </c>
      <c r="F249" s="13" t="str">
        <f t="shared" si="41"/>
        <v>02</v>
      </c>
      <c r="G249" s="13" t="s">
        <v>277</v>
      </c>
      <c r="H249" s="13" t="s">
        <v>1734</v>
      </c>
      <c r="I249" s="16" t="s">
        <v>1872</v>
      </c>
      <c r="J249" s="13"/>
      <c r="K249" s="13"/>
      <c r="L249" s="13"/>
      <c r="M249" s="16"/>
    </row>
    <row r="250" spans="1:13" ht="51" x14ac:dyDescent="0.25">
      <c r="A250" s="21" t="str">
        <f t="shared" si="36"/>
        <v>1</v>
      </c>
      <c r="B250" s="21" t="str">
        <f t="shared" si="37"/>
        <v>2</v>
      </c>
      <c r="C250" s="21" t="str">
        <f t="shared" si="38"/>
        <v>2</v>
      </c>
      <c r="D250" s="21" t="str">
        <f t="shared" si="39"/>
        <v>0</v>
      </c>
      <c r="E250" s="21" t="str">
        <f t="shared" si="40"/>
        <v>28</v>
      </c>
      <c r="F250" s="21" t="str">
        <f t="shared" si="41"/>
        <v>00</v>
      </c>
      <c r="G250" s="21" t="s">
        <v>278</v>
      </c>
      <c r="H250" s="21" t="s">
        <v>1735</v>
      </c>
      <c r="I250" s="22" t="s">
        <v>1873</v>
      </c>
      <c r="J250" s="21"/>
      <c r="K250" s="21"/>
      <c r="L250" s="21"/>
      <c r="M250" s="21"/>
    </row>
    <row r="251" spans="1:13" ht="51" x14ac:dyDescent="0.25">
      <c r="A251" s="13" t="str">
        <f t="shared" si="36"/>
        <v>1</v>
      </c>
      <c r="B251" s="13" t="str">
        <f t="shared" si="37"/>
        <v>2</v>
      </c>
      <c r="C251" s="13" t="str">
        <f t="shared" si="38"/>
        <v>2</v>
      </c>
      <c r="D251" s="13" t="str">
        <f t="shared" si="39"/>
        <v>0</v>
      </c>
      <c r="E251" s="13" t="str">
        <f t="shared" si="40"/>
        <v>28</v>
      </c>
      <c r="F251" s="13" t="str">
        <f t="shared" si="41"/>
        <v>01</v>
      </c>
      <c r="G251" s="13" t="s">
        <v>279</v>
      </c>
      <c r="H251" s="13" t="s">
        <v>1736</v>
      </c>
      <c r="I251" s="16" t="s">
        <v>1874</v>
      </c>
      <c r="J251" s="13"/>
      <c r="K251" s="13"/>
      <c r="L251" s="13"/>
      <c r="M251" s="16"/>
    </row>
    <row r="252" spans="1:13" ht="51" x14ac:dyDescent="0.25">
      <c r="A252" s="13" t="str">
        <f t="shared" si="36"/>
        <v>1</v>
      </c>
      <c r="B252" s="13" t="str">
        <f t="shared" si="37"/>
        <v>2</v>
      </c>
      <c r="C252" s="13" t="str">
        <f t="shared" si="38"/>
        <v>2</v>
      </c>
      <c r="D252" s="13" t="str">
        <f t="shared" si="39"/>
        <v>0</v>
      </c>
      <c r="E252" s="13" t="str">
        <f t="shared" si="40"/>
        <v>28</v>
      </c>
      <c r="F252" s="13" t="str">
        <f t="shared" si="41"/>
        <v>02</v>
      </c>
      <c r="G252" s="13" t="s">
        <v>280</v>
      </c>
      <c r="H252" s="13" t="s">
        <v>1737</v>
      </c>
      <c r="I252" s="16" t="s">
        <v>1875</v>
      </c>
      <c r="J252" s="13"/>
      <c r="K252" s="13"/>
      <c r="L252" s="13"/>
      <c r="M252" s="16"/>
    </row>
    <row r="253" spans="1:13" ht="51" x14ac:dyDescent="0.25">
      <c r="A253" s="13" t="str">
        <f t="shared" si="36"/>
        <v>1</v>
      </c>
      <c r="B253" s="13" t="str">
        <f t="shared" si="37"/>
        <v>2</v>
      </c>
      <c r="C253" s="13" t="str">
        <f t="shared" si="38"/>
        <v>2</v>
      </c>
      <c r="D253" s="13" t="str">
        <f t="shared" si="39"/>
        <v>0</v>
      </c>
      <c r="E253" s="13" t="str">
        <f t="shared" si="40"/>
        <v>28</v>
      </c>
      <c r="F253" s="13" t="str">
        <f t="shared" si="41"/>
        <v>03</v>
      </c>
      <c r="G253" s="13" t="s">
        <v>281</v>
      </c>
      <c r="H253" s="13" t="s">
        <v>1738</v>
      </c>
      <c r="I253" s="16" t="s">
        <v>1876</v>
      </c>
      <c r="J253" s="13"/>
      <c r="K253" s="13"/>
      <c r="L253" s="13"/>
      <c r="M253" s="16"/>
    </row>
    <row r="254" spans="1:13" ht="25.5" x14ac:dyDescent="0.25">
      <c r="A254" s="21" t="str">
        <f t="shared" si="36"/>
        <v>1</v>
      </c>
      <c r="B254" s="21" t="str">
        <f t="shared" si="37"/>
        <v>2</v>
      </c>
      <c r="C254" s="21" t="str">
        <f t="shared" si="38"/>
        <v>2</v>
      </c>
      <c r="D254" s="21" t="str">
        <f t="shared" si="39"/>
        <v>0</v>
      </c>
      <c r="E254" s="21" t="str">
        <f t="shared" si="40"/>
        <v>30</v>
      </c>
      <c r="F254" s="21" t="str">
        <f t="shared" si="41"/>
        <v>00</v>
      </c>
      <c r="G254" s="21" t="s">
        <v>282</v>
      </c>
      <c r="H254" s="21" t="s">
        <v>1739</v>
      </c>
      <c r="I254" s="22" t="s">
        <v>1877</v>
      </c>
      <c r="J254" s="21"/>
      <c r="K254" s="21"/>
      <c r="L254" s="21"/>
      <c r="M254" s="21"/>
    </row>
    <row r="255" spans="1:13" ht="25.5" x14ac:dyDescent="0.25">
      <c r="A255" s="21" t="str">
        <f t="shared" si="36"/>
        <v>1</v>
      </c>
      <c r="B255" s="21" t="str">
        <f t="shared" si="37"/>
        <v>2</v>
      </c>
      <c r="C255" s="21" t="str">
        <f t="shared" si="38"/>
        <v>2</v>
      </c>
      <c r="D255" s="21" t="str">
        <f t="shared" si="39"/>
        <v>0</v>
      </c>
      <c r="E255" s="21" t="str">
        <f t="shared" si="40"/>
        <v>40</v>
      </c>
      <c r="F255" s="21" t="str">
        <f t="shared" si="41"/>
        <v>00</v>
      </c>
      <c r="G255" s="21" t="s">
        <v>283</v>
      </c>
      <c r="H255" s="21" t="s">
        <v>1740</v>
      </c>
      <c r="I255" s="22" t="s">
        <v>1878</v>
      </c>
      <c r="J255" s="21"/>
      <c r="K255" s="21"/>
      <c r="L255" s="21"/>
      <c r="M255" s="21"/>
    </row>
    <row r="256" spans="1:13" ht="38.25" x14ac:dyDescent="0.25">
      <c r="A256" s="21" t="str">
        <f t="shared" si="36"/>
        <v>1</v>
      </c>
      <c r="B256" s="21" t="str">
        <f t="shared" si="37"/>
        <v>2</v>
      </c>
      <c r="C256" s="21" t="str">
        <f t="shared" si="38"/>
        <v>2</v>
      </c>
      <c r="D256" s="21" t="str">
        <f t="shared" si="39"/>
        <v>0</v>
      </c>
      <c r="E256" s="21" t="str">
        <f t="shared" si="40"/>
        <v>41</v>
      </c>
      <c r="F256" s="21" t="str">
        <f t="shared" si="41"/>
        <v>00</v>
      </c>
      <c r="G256" s="21" t="s">
        <v>284</v>
      </c>
      <c r="H256" s="21" t="s">
        <v>1741</v>
      </c>
      <c r="I256" s="22" t="s">
        <v>1879</v>
      </c>
      <c r="J256" s="21"/>
      <c r="K256" s="21"/>
      <c r="L256" s="21"/>
      <c r="M256" s="21"/>
    </row>
    <row r="257" spans="1:13" ht="38.25" x14ac:dyDescent="0.25">
      <c r="A257" s="13" t="str">
        <f t="shared" si="36"/>
        <v>1</v>
      </c>
      <c r="B257" s="13" t="str">
        <f t="shared" si="37"/>
        <v>2</v>
      </c>
      <c r="C257" s="13" t="str">
        <f t="shared" si="38"/>
        <v>2</v>
      </c>
      <c r="D257" s="13" t="str">
        <f t="shared" si="39"/>
        <v>0</v>
      </c>
      <c r="E257" s="13" t="str">
        <f t="shared" si="40"/>
        <v>41</v>
      </c>
      <c r="F257" s="13" t="str">
        <f t="shared" si="41"/>
        <v>01</v>
      </c>
      <c r="G257" s="13" t="s">
        <v>285</v>
      </c>
      <c r="H257" s="13" t="s">
        <v>1742</v>
      </c>
      <c r="I257" s="16" t="s">
        <v>1880</v>
      </c>
      <c r="J257" s="13"/>
      <c r="K257" s="13"/>
      <c r="L257" s="13"/>
      <c r="M257" s="16"/>
    </row>
    <row r="258" spans="1:13" ht="38.25" x14ac:dyDescent="0.25">
      <c r="A258" s="13" t="str">
        <f t="shared" si="36"/>
        <v>1</v>
      </c>
      <c r="B258" s="13" t="str">
        <f t="shared" si="37"/>
        <v>2</v>
      </c>
      <c r="C258" s="13" t="str">
        <f t="shared" si="38"/>
        <v>2</v>
      </c>
      <c r="D258" s="13" t="str">
        <f t="shared" si="39"/>
        <v>0</v>
      </c>
      <c r="E258" s="13" t="str">
        <f t="shared" si="40"/>
        <v>41</v>
      </c>
      <c r="F258" s="13" t="str">
        <f t="shared" si="41"/>
        <v>02</v>
      </c>
      <c r="G258" s="13" t="s">
        <v>286</v>
      </c>
      <c r="H258" s="13" t="s">
        <v>1743</v>
      </c>
      <c r="I258" s="16" t="s">
        <v>1881</v>
      </c>
      <c r="J258" s="13"/>
      <c r="K258" s="13"/>
      <c r="L258" s="13"/>
      <c r="M258" s="16"/>
    </row>
    <row r="259" spans="1:13" ht="38.25" x14ac:dyDescent="0.25">
      <c r="A259" s="13" t="str">
        <f t="shared" si="36"/>
        <v>1</v>
      </c>
      <c r="B259" s="13" t="str">
        <f t="shared" si="37"/>
        <v>2</v>
      </c>
      <c r="C259" s="13" t="str">
        <f t="shared" si="38"/>
        <v>2</v>
      </c>
      <c r="D259" s="13" t="str">
        <f t="shared" si="39"/>
        <v>0</v>
      </c>
      <c r="E259" s="13" t="str">
        <f t="shared" si="40"/>
        <v>41</v>
      </c>
      <c r="F259" s="13" t="str">
        <f t="shared" si="41"/>
        <v>03</v>
      </c>
      <c r="G259" s="13" t="s">
        <v>287</v>
      </c>
      <c r="H259" s="13" t="s">
        <v>1744</v>
      </c>
      <c r="I259" s="16" t="s">
        <v>1882</v>
      </c>
      <c r="J259" s="13"/>
      <c r="K259" s="13"/>
      <c r="L259" s="13"/>
      <c r="M259" s="16"/>
    </row>
    <row r="260" spans="1:13" ht="38.25" x14ac:dyDescent="0.25">
      <c r="A260" s="13" t="str">
        <f t="shared" si="36"/>
        <v>1</v>
      </c>
      <c r="B260" s="13" t="str">
        <f t="shared" si="37"/>
        <v>2</v>
      </c>
      <c r="C260" s="13" t="str">
        <f t="shared" si="38"/>
        <v>2</v>
      </c>
      <c r="D260" s="13" t="str">
        <f t="shared" si="39"/>
        <v>0</v>
      </c>
      <c r="E260" s="13" t="str">
        <f t="shared" si="40"/>
        <v>41</v>
      </c>
      <c r="F260" s="13" t="str">
        <f t="shared" si="41"/>
        <v>04</v>
      </c>
      <c r="G260" s="13" t="s">
        <v>288</v>
      </c>
      <c r="H260" s="13" t="s">
        <v>1745</v>
      </c>
      <c r="I260" s="16" t="s">
        <v>1883</v>
      </c>
      <c r="J260" s="13"/>
      <c r="K260" s="13"/>
      <c r="L260" s="13"/>
      <c r="M260" s="16"/>
    </row>
    <row r="261" spans="1:13" ht="38.25" x14ac:dyDescent="0.25">
      <c r="A261" s="21" t="str">
        <f t="shared" si="36"/>
        <v>1</v>
      </c>
      <c r="B261" s="21" t="str">
        <f t="shared" si="37"/>
        <v>2</v>
      </c>
      <c r="C261" s="21" t="str">
        <f t="shared" si="38"/>
        <v>2</v>
      </c>
      <c r="D261" s="21" t="str">
        <f t="shared" si="39"/>
        <v>0</v>
      </c>
      <c r="E261" s="21" t="str">
        <f t="shared" si="40"/>
        <v>42</v>
      </c>
      <c r="F261" s="21" t="str">
        <f t="shared" si="41"/>
        <v>00</v>
      </c>
      <c r="G261" s="21" t="s">
        <v>289</v>
      </c>
      <c r="H261" s="21" t="s">
        <v>1746</v>
      </c>
      <c r="I261" s="22" t="s">
        <v>1884</v>
      </c>
      <c r="J261" s="21"/>
      <c r="K261" s="21"/>
      <c r="L261" s="21"/>
      <c r="M261" s="21"/>
    </row>
    <row r="262" spans="1:13" ht="38.25" x14ac:dyDescent="0.25">
      <c r="A262" s="13" t="str">
        <f t="shared" si="36"/>
        <v>1</v>
      </c>
      <c r="B262" s="13" t="str">
        <f t="shared" si="37"/>
        <v>2</v>
      </c>
      <c r="C262" s="13" t="str">
        <f t="shared" si="38"/>
        <v>2</v>
      </c>
      <c r="D262" s="13" t="str">
        <f t="shared" si="39"/>
        <v>0</v>
      </c>
      <c r="E262" s="13" t="str">
        <f t="shared" si="40"/>
        <v>42</v>
      </c>
      <c r="F262" s="13" t="str">
        <f t="shared" si="41"/>
        <v>01</v>
      </c>
      <c r="G262" s="13" t="s">
        <v>290</v>
      </c>
      <c r="H262" s="13" t="s">
        <v>1747</v>
      </c>
      <c r="I262" s="16" t="s">
        <v>1885</v>
      </c>
      <c r="J262" s="13"/>
      <c r="K262" s="13"/>
      <c r="L262" s="13"/>
      <c r="M262" s="16"/>
    </row>
    <row r="263" spans="1:13" ht="38.25" x14ac:dyDescent="0.25">
      <c r="A263" s="13" t="str">
        <f t="shared" si="36"/>
        <v>1</v>
      </c>
      <c r="B263" s="13" t="str">
        <f t="shared" si="37"/>
        <v>2</v>
      </c>
      <c r="C263" s="13" t="str">
        <f t="shared" si="38"/>
        <v>2</v>
      </c>
      <c r="D263" s="13" t="str">
        <f t="shared" si="39"/>
        <v>0</v>
      </c>
      <c r="E263" s="13" t="str">
        <f t="shared" si="40"/>
        <v>42</v>
      </c>
      <c r="F263" s="13" t="str">
        <f t="shared" si="41"/>
        <v>02</v>
      </c>
      <c r="G263" s="13" t="s">
        <v>291</v>
      </c>
      <c r="H263" s="13" t="s">
        <v>1748</v>
      </c>
      <c r="I263" s="16" t="s">
        <v>1886</v>
      </c>
      <c r="J263" s="13"/>
      <c r="K263" s="13"/>
      <c r="L263" s="13"/>
      <c r="M263" s="16"/>
    </row>
    <row r="264" spans="1:13" ht="38.25" x14ac:dyDescent="0.25">
      <c r="A264" s="13" t="str">
        <f t="shared" si="36"/>
        <v>1</v>
      </c>
      <c r="B264" s="13" t="str">
        <f t="shared" si="37"/>
        <v>2</v>
      </c>
      <c r="C264" s="13" t="str">
        <f t="shared" si="38"/>
        <v>2</v>
      </c>
      <c r="D264" s="13" t="str">
        <f t="shared" si="39"/>
        <v>0</v>
      </c>
      <c r="E264" s="13" t="str">
        <f t="shared" si="40"/>
        <v>42</v>
      </c>
      <c r="F264" s="13" t="str">
        <f t="shared" si="41"/>
        <v>03</v>
      </c>
      <c r="G264" s="13" t="s">
        <v>292</v>
      </c>
      <c r="H264" s="13" t="s">
        <v>1749</v>
      </c>
      <c r="I264" s="16" t="s">
        <v>1887</v>
      </c>
      <c r="J264" s="13"/>
      <c r="K264" s="13"/>
      <c r="L264" s="13"/>
      <c r="M264" s="16"/>
    </row>
    <row r="265" spans="1:13" ht="38.25" x14ac:dyDescent="0.25">
      <c r="A265" s="13" t="str">
        <f t="shared" si="36"/>
        <v>1</v>
      </c>
      <c r="B265" s="13" t="str">
        <f t="shared" si="37"/>
        <v>2</v>
      </c>
      <c r="C265" s="13" t="str">
        <f t="shared" si="38"/>
        <v>2</v>
      </c>
      <c r="D265" s="13" t="str">
        <f t="shared" si="39"/>
        <v>0</v>
      </c>
      <c r="E265" s="13" t="str">
        <f t="shared" si="40"/>
        <v>42</v>
      </c>
      <c r="F265" s="13" t="str">
        <f t="shared" si="41"/>
        <v>04</v>
      </c>
      <c r="G265" s="13" t="s">
        <v>293</v>
      </c>
      <c r="H265" s="13" t="s">
        <v>1750</v>
      </c>
      <c r="I265" s="16" t="s">
        <v>1888</v>
      </c>
      <c r="J265" s="13"/>
      <c r="K265" s="13"/>
      <c r="L265" s="13"/>
      <c r="M265" s="16"/>
    </row>
    <row r="266" spans="1:13" x14ac:dyDescent="0.25">
      <c r="A266" s="21" t="str">
        <f t="shared" si="36"/>
        <v>1</v>
      </c>
      <c r="B266" s="21" t="str">
        <f t="shared" si="37"/>
        <v>2</v>
      </c>
      <c r="C266" s="21" t="str">
        <f t="shared" si="38"/>
        <v>2</v>
      </c>
      <c r="D266" s="21" t="str">
        <f t="shared" si="39"/>
        <v>0</v>
      </c>
      <c r="E266" s="21" t="str">
        <f t="shared" si="40"/>
        <v>99</v>
      </c>
      <c r="F266" s="21" t="str">
        <f t="shared" si="41"/>
        <v>00</v>
      </c>
      <c r="G266" s="21" t="s">
        <v>294</v>
      </c>
      <c r="H266" s="21" t="s">
        <v>1751</v>
      </c>
      <c r="I266" s="22" t="s">
        <v>1889</v>
      </c>
      <c r="J266" s="21"/>
      <c r="K266" s="21"/>
      <c r="L266" s="21"/>
      <c r="M266" s="21"/>
    </row>
    <row r="267" spans="1:13" ht="25.5" x14ac:dyDescent="0.25">
      <c r="A267" s="13" t="str">
        <f t="shared" si="36"/>
        <v>1</v>
      </c>
      <c r="B267" s="13" t="str">
        <f t="shared" si="37"/>
        <v>2</v>
      </c>
      <c r="C267" s="13" t="str">
        <f t="shared" si="38"/>
        <v>2</v>
      </c>
      <c r="D267" s="13" t="str">
        <f t="shared" si="39"/>
        <v>0</v>
      </c>
      <c r="E267" s="13" t="str">
        <f t="shared" si="40"/>
        <v>99</v>
      </c>
      <c r="F267" s="13" t="str">
        <f t="shared" si="41"/>
        <v>01</v>
      </c>
      <c r="G267" s="13" t="s">
        <v>295</v>
      </c>
      <c r="H267" s="13" t="s">
        <v>1752</v>
      </c>
      <c r="I267" s="16" t="s">
        <v>1890</v>
      </c>
      <c r="J267" s="13"/>
      <c r="K267" s="13"/>
      <c r="L267" s="13"/>
      <c r="M267" s="16"/>
    </row>
    <row r="268" spans="1:13" ht="25.5" x14ac:dyDescent="0.25">
      <c r="A268" s="13" t="str">
        <f t="shared" si="36"/>
        <v>1</v>
      </c>
      <c r="B268" s="13" t="str">
        <f t="shared" si="37"/>
        <v>2</v>
      </c>
      <c r="C268" s="13" t="str">
        <f t="shared" si="38"/>
        <v>2</v>
      </c>
      <c r="D268" s="13" t="str">
        <f t="shared" si="39"/>
        <v>0</v>
      </c>
      <c r="E268" s="13" t="str">
        <f t="shared" si="40"/>
        <v>99</v>
      </c>
      <c r="F268" s="13" t="str">
        <f t="shared" si="41"/>
        <v>02</v>
      </c>
      <c r="G268" s="13" t="s">
        <v>296</v>
      </c>
      <c r="H268" s="13" t="s">
        <v>1753</v>
      </c>
      <c r="I268" s="16" t="s">
        <v>1891</v>
      </c>
      <c r="J268" s="13"/>
      <c r="K268" s="13"/>
      <c r="L268" s="13"/>
      <c r="M268" s="16"/>
    </row>
    <row r="269" spans="1:13" ht="25.5" x14ac:dyDescent="0.25">
      <c r="A269" s="12" t="str">
        <f t="shared" si="36"/>
        <v>1</v>
      </c>
      <c r="B269" s="12" t="str">
        <f t="shared" si="37"/>
        <v>2</v>
      </c>
      <c r="C269" s="12" t="str">
        <f t="shared" si="38"/>
        <v>3</v>
      </c>
      <c r="D269" s="12" t="str">
        <f t="shared" si="39"/>
        <v>0</v>
      </c>
      <c r="E269" s="12" t="str">
        <f t="shared" si="40"/>
        <v>00</v>
      </c>
      <c r="F269" s="12" t="str">
        <f t="shared" si="41"/>
        <v>00</v>
      </c>
      <c r="G269" s="12" t="s">
        <v>297</v>
      </c>
      <c r="H269" s="12" t="s">
        <v>1754</v>
      </c>
      <c r="I269" s="15" t="s">
        <v>1892</v>
      </c>
      <c r="J269" s="12"/>
      <c r="K269" s="12"/>
      <c r="L269" s="12"/>
      <c r="M269" s="15"/>
    </row>
    <row r="270" spans="1:13" ht="25.5" x14ac:dyDescent="0.25">
      <c r="A270" s="10" t="str">
        <f t="shared" si="36"/>
        <v>1</v>
      </c>
      <c r="B270" s="10" t="str">
        <f t="shared" si="37"/>
        <v>3</v>
      </c>
      <c r="C270" s="10" t="str">
        <f t="shared" si="38"/>
        <v>0</v>
      </c>
      <c r="D270" s="10" t="str">
        <f t="shared" si="39"/>
        <v>0</v>
      </c>
      <c r="E270" s="10" t="str">
        <f t="shared" si="40"/>
        <v>00</v>
      </c>
      <c r="F270" s="10" t="str">
        <f t="shared" si="41"/>
        <v>00</v>
      </c>
      <c r="G270" s="10" t="s">
        <v>298</v>
      </c>
      <c r="H270" s="10" t="s">
        <v>1893</v>
      </c>
      <c r="I270" s="14" t="s">
        <v>2068</v>
      </c>
      <c r="J270" s="10"/>
      <c r="K270" s="10"/>
      <c r="L270" s="10"/>
      <c r="M270" s="14"/>
    </row>
    <row r="271" spans="1:13" x14ac:dyDescent="0.25">
      <c r="A271" s="12" t="str">
        <f t="shared" si="36"/>
        <v>1</v>
      </c>
      <c r="B271" s="12" t="str">
        <f t="shared" si="37"/>
        <v>3</v>
      </c>
      <c r="C271" s="12" t="str">
        <f t="shared" si="38"/>
        <v>1</v>
      </c>
      <c r="D271" s="12" t="str">
        <f t="shared" si="39"/>
        <v>0</v>
      </c>
      <c r="E271" s="12" t="str">
        <f t="shared" si="40"/>
        <v>00</v>
      </c>
      <c r="F271" s="12" t="str">
        <f t="shared" si="41"/>
        <v>00</v>
      </c>
      <c r="G271" s="12" t="s">
        <v>299</v>
      </c>
      <c r="H271" s="12" t="s">
        <v>1894</v>
      </c>
      <c r="I271" s="15" t="s">
        <v>2069</v>
      </c>
      <c r="J271" s="12"/>
      <c r="K271" s="12"/>
      <c r="L271" s="12"/>
      <c r="M271" s="15"/>
    </row>
    <row r="272" spans="1:13" x14ac:dyDescent="0.25">
      <c r="A272" s="19" t="str">
        <f t="shared" si="36"/>
        <v>1</v>
      </c>
      <c r="B272" s="19" t="str">
        <f t="shared" si="37"/>
        <v>3</v>
      </c>
      <c r="C272" s="19" t="str">
        <f t="shared" si="38"/>
        <v>1</v>
      </c>
      <c r="D272" s="19" t="str">
        <f t="shared" si="39"/>
        <v>1</v>
      </c>
      <c r="E272" s="19" t="str">
        <f t="shared" si="40"/>
        <v>00</v>
      </c>
      <c r="F272" s="19" t="str">
        <f t="shared" si="41"/>
        <v>00</v>
      </c>
      <c r="G272" s="19" t="s">
        <v>300</v>
      </c>
      <c r="H272" s="19" t="s">
        <v>1895</v>
      </c>
      <c r="I272" s="20" t="s">
        <v>2070</v>
      </c>
      <c r="J272" s="19"/>
      <c r="K272" s="19"/>
      <c r="L272" s="19"/>
      <c r="M272" s="20"/>
    </row>
    <row r="273" spans="1:14" x14ac:dyDescent="0.25">
      <c r="A273" s="19" t="str">
        <f t="shared" si="36"/>
        <v>1</v>
      </c>
      <c r="B273" s="19" t="str">
        <f t="shared" si="37"/>
        <v>3</v>
      </c>
      <c r="C273" s="19" t="str">
        <f t="shared" si="38"/>
        <v>1</v>
      </c>
      <c r="D273" s="19" t="str">
        <f t="shared" si="39"/>
        <v>2</v>
      </c>
      <c r="E273" s="19" t="str">
        <f t="shared" si="40"/>
        <v>00</v>
      </c>
      <c r="F273" s="19" t="str">
        <f t="shared" si="41"/>
        <v>00</v>
      </c>
      <c r="G273" s="19" t="s">
        <v>301</v>
      </c>
      <c r="H273" s="19" t="s">
        <v>1896</v>
      </c>
      <c r="I273" s="20" t="s">
        <v>2071</v>
      </c>
      <c r="J273" s="19"/>
      <c r="K273" s="19"/>
      <c r="L273" s="19"/>
      <c r="M273" s="20"/>
    </row>
    <row r="274" spans="1:14" x14ac:dyDescent="0.25">
      <c r="A274" s="19" t="str">
        <f t="shared" si="36"/>
        <v>1</v>
      </c>
      <c r="B274" s="19" t="str">
        <f t="shared" si="37"/>
        <v>3</v>
      </c>
      <c r="C274" s="19" t="str">
        <f t="shared" si="38"/>
        <v>1</v>
      </c>
      <c r="D274" s="19" t="str">
        <f t="shared" si="39"/>
        <v>3</v>
      </c>
      <c r="E274" s="19" t="str">
        <f t="shared" si="40"/>
        <v>00</v>
      </c>
      <c r="F274" s="19" t="str">
        <f t="shared" si="41"/>
        <v>00</v>
      </c>
      <c r="G274" s="19" t="s">
        <v>302</v>
      </c>
      <c r="H274" s="19" t="s">
        <v>1897</v>
      </c>
      <c r="I274" s="20" t="s">
        <v>2072</v>
      </c>
      <c r="J274" s="19"/>
      <c r="K274" s="19"/>
      <c r="L274" s="19"/>
      <c r="M274" s="20"/>
    </row>
    <row r="275" spans="1:14" ht="25.5" x14ac:dyDescent="0.25">
      <c r="A275" s="19" t="str">
        <f t="shared" si="36"/>
        <v>1</v>
      </c>
      <c r="B275" s="19" t="str">
        <f t="shared" si="37"/>
        <v>3</v>
      </c>
      <c r="C275" s="19" t="str">
        <f t="shared" si="38"/>
        <v>1</v>
      </c>
      <c r="D275" s="19" t="str">
        <f t="shared" si="39"/>
        <v>4</v>
      </c>
      <c r="E275" s="19" t="str">
        <f t="shared" si="40"/>
        <v>00</v>
      </c>
      <c r="F275" s="19" t="str">
        <f t="shared" si="41"/>
        <v>00</v>
      </c>
      <c r="G275" s="19" t="s">
        <v>303</v>
      </c>
      <c r="H275" s="19" t="s">
        <v>1898</v>
      </c>
      <c r="I275" s="20" t="s">
        <v>2073</v>
      </c>
      <c r="J275" s="19"/>
      <c r="K275" s="19"/>
      <c r="L275" s="19"/>
      <c r="M275" s="20"/>
    </row>
    <row r="276" spans="1:14" x14ac:dyDescent="0.25">
      <c r="A276" s="19" t="str">
        <f t="shared" si="36"/>
        <v>1</v>
      </c>
      <c r="B276" s="19" t="str">
        <f t="shared" si="37"/>
        <v>3</v>
      </c>
      <c r="C276" s="19" t="str">
        <f t="shared" si="38"/>
        <v>1</v>
      </c>
      <c r="D276" s="19" t="str">
        <f t="shared" si="39"/>
        <v>5</v>
      </c>
      <c r="E276" s="19" t="str">
        <f t="shared" si="40"/>
        <v>00</v>
      </c>
      <c r="F276" s="19" t="str">
        <f t="shared" si="41"/>
        <v>00</v>
      </c>
      <c r="G276" s="19" t="s">
        <v>304</v>
      </c>
      <c r="H276" s="19" t="s">
        <v>1899</v>
      </c>
      <c r="I276" s="20" t="s">
        <v>2074</v>
      </c>
      <c r="J276" s="19"/>
      <c r="K276" s="19"/>
      <c r="L276" s="19"/>
      <c r="M276" s="20"/>
    </row>
    <row r="277" spans="1:14" ht="25.5" x14ac:dyDescent="0.25">
      <c r="A277" s="21" t="str">
        <f t="shared" si="36"/>
        <v>1</v>
      </c>
      <c r="B277" s="21" t="str">
        <f t="shared" si="37"/>
        <v>3</v>
      </c>
      <c r="C277" s="21" t="str">
        <f t="shared" si="38"/>
        <v>1</v>
      </c>
      <c r="D277" s="21" t="str">
        <f t="shared" si="39"/>
        <v>5</v>
      </c>
      <c r="E277" s="21" t="str">
        <f t="shared" si="40"/>
        <v>10</v>
      </c>
      <c r="F277" s="21" t="str">
        <f t="shared" si="41"/>
        <v>00</v>
      </c>
      <c r="G277" s="21" t="s">
        <v>305</v>
      </c>
      <c r="H277" s="21" t="s">
        <v>1900</v>
      </c>
      <c r="I277" s="22" t="s">
        <v>2075</v>
      </c>
      <c r="J277" s="21"/>
      <c r="K277" s="21"/>
      <c r="L277" s="21"/>
      <c r="M277" s="21"/>
    </row>
    <row r="278" spans="1:14" ht="25.5" x14ac:dyDescent="0.25">
      <c r="A278" s="21" t="str">
        <f t="shared" si="36"/>
        <v>1</v>
      </c>
      <c r="B278" s="21" t="str">
        <f t="shared" si="37"/>
        <v>3</v>
      </c>
      <c r="C278" s="21" t="str">
        <f t="shared" si="38"/>
        <v>1</v>
      </c>
      <c r="D278" s="21" t="str">
        <f t="shared" si="39"/>
        <v>5</v>
      </c>
      <c r="E278" s="21" t="str">
        <f t="shared" si="40"/>
        <v>20</v>
      </c>
      <c r="F278" s="21" t="str">
        <f t="shared" si="41"/>
        <v>00</v>
      </c>
      <c r="G278" s="21" t="s">
        <v>306</v>
      </c>
      <c r="H278" s="21" t="s">
        <v>1901</v>
      </c>
      <c r="I278" s="22" t="s">
        <v>2076</v>
      </c>
      <c r="J278" s="21"/>
      <c r="K278" s="21"/>
      <c r="L278" s="21"/>
      <c r="M278" s="21"/>
    </row>
    <row r="279" spans="1:14" x14ac:dyDescent="0.25">
      <c r="A279" s="21" t="str">
        <f t="shared" si="36"/>
        <v>1</v>
      </c>
      <c r="B279" s="21" t="str">
        <f t="shared" si="37"/>
        <v>3</v>
      </c>
      <c r="C279" s="21" t="str">
        <f t="shared" si="38"/>
        <v>1</v>
      </c>
      <c r="D279" s="21" t="str">
        <f t="shared" si="39"/>
        <v>5</v>
      </c>
      <c r="E279" s="21" t="str">
        <f t="shared" si="40"/>
        <v>30</v>
      </c>
      <c r="F279" s="21" t="str">
        <f t="shared" si="41"/>
        <v>00</v>
      </c>
      <c r="G279" s="21" t="s">
        <v>307</v>
      </c>
      <c r="H279" s="21" t="s">
        <v>1902</v>
      </c>
      <c r="I279" s="22" t="s">
        <v>2077</v>
      </c>
      <c r="J279" s="21"/>
      <c r="K279" s="21"/>
      <c r="L279" s="21"/>
      <c r="M279" s="21"/>
    </row>
    <row r="280" spans="1:14" x14ac:dyDescent="0.25">
      <c r="A280" s="19" t="str">
        <f t="shared" si="36"/>
        <v>1</v>
      </c>
      <c r="B280" s="19" t="str">
        <f t="shared" si="37"/>
        <v>3</v>
      </c>
      <c r="C280" s="19" t="str">
        <f t="shared" si="38"/>
        <v>1</v>
      </c>
      <c r="D280" s="19" t="str">
        <f t="shared" si="39"/>
        <v>9</v>
      </c>
      <c r="E280" s="19" t="str">
        <f t="shared" si="40"/>
        <v>00</v>
      </c>
      <c r="F280" s="19" t="str">
        <f t="shared" si="41"/>
        <v>00</v>
      </c>
      <c r="G280" s="19" t="s">
        <v>308</v>
      </c>
      <c r="H280" s="19" t="s">
        <v>1903</v>
      </c>
      <c r="I280" s="20" t="s">
        <v>2078</v>
      </c>
      <c r="J280" s="19"/>
      <c r="K280" s="19"/>
      <c r="L280" s="19"/>
      <c r="M280" s="20"/>
    </row>
    <row r="281" spans="1:14" x14ac:dyDescent="0.25">
      <c r="A281" s="12" t="str">
        <f t="shared" si="36"/>
        <v>1</v>
      </c>
      <c r="B281" s="12" t="str">
        <f t="shared" si="37"/>
        <v>3</v>
      </c>
      <c r="C281" s="12" t="str">
        <f t="shared" si="38"/>
        <v>2</v>
      </c>
      <c r="D281" s="12" t="str">
        <f t="shared" si="39"/>
        <v>0</v>
      </c>
      <c r="E281" s="12" t="str">
        <f t="shared" si="40"/>
        <v>00</v>
      </c>
      <c r="F281" s="12" t="str">
        <f t="shared" si="41"/>
        <v>00</v>
      </c>
      <c r="G281" s="12" t="s">
        <v>309</v>
      </c>
      <c r="H281" s="12" t="s">
        <v>1904</v>
      </c>
      <c r="I281" s="15" t="s">
        <v>2079</v>
      </c>
      <c r="J281" s="12"/>
      <c r="K281" s="12"/>
      <c r="L281" s="12"/>
      <c r="M281" s="15"/>
    </row>
    <row r="282" spans="1:14" ht="25.5" x14ac:dyDescent="0.25">
      <c r="A282" s="19" t="str">
        <f t="shared" si="36"/>
        <v>1</v>
      </c>
      <c r="B282" s="19" t="str">
        <f t="shared" si="37"/>
        <v>3</v>
      </c>
      <c r="C282" s="19" t="str">
        <f t="shared" si="38"/>
        <v>2</v>
      </c>
      <c r="D282" s="19" t="str">
        <f t="shared" si="39"/>
        <v>1</v>
      </c>
      <c r="E282" s="19" t="str">
        <f t="shared" si="40"/>
        <v>00</v>
      </c>
      <c r="F282" s="19" t="str">
        <f t="shared" si="41"/>
        <v>00</v>
      </c>
      <c r="G282" s="19" t="s">
        <v>310</v>
      </c>
      <c r="H282" s="19" t="s">
        <v>1905</v>
      </c>
      <c r="I282" s="20" t="s">
        <v>2080</v>
      </c>
      <c r="J282" s="19"/>
      <c r="K282" s="19"/>
      <c r="L282" s="19"/>
      <c r="M282" s="20"/>
    </row>
    <row r="283" spans="1:14" ht="25.5" x14ac:dyDescent="0.25">
      <c r="A283" s="19" t="str">
        <f t="shared" si="36"/>
        <v>1</v>
      </c>
      <c r="B283" s="19" t="str">
        <f t="shared" si="37"/>
        <v>3</v>
      </c>
      <c r="C283" s="19" t="str">
        <f t="shared" si="38"/>
        <v>2</v>
      </c>
      <c r="D283" s="19" t="str">
        <f t="shared" si="39"/>
        <v>2</v>
      </c>
      <c r="E283" s="19" t="str">
        <f t="shared" si="40"/>
        <v>00</v>
      </c>
      <c r="F283" s="19" t="str">
        <f t="shared" si="41"/>
        <v>00</v>
      </c>
      <c r="G283" s="19" t="s">
        <v>311</v>
      </c>
      <c r="H283" s="19" t="s">
        <v>1906</v>
      </c>
      <c r="I283" s="20" t="s">
        <v>4019</v>
      </c>
      <c r="J283" s="19"/>
      <c r="K283" s="19" t="s">
        <v>4018</v>
      </c>
      <c r="L283" s="19" t="s">
        <v>4205</v>
      </c>
      <c r="M283" s="20"/>
      <c r="N283" t="s">
        <v>4177</v>
      </c>
    </row>
    <row r="284" spans="1:14" ht="25.5" x14ac:dyDescent="0.25">
      <c r="A284" s="13" t="str">
        <f t="shared" si="36"/>
        <v>1</v>
      </c>
      <c r="B284" s="13" t="str">
        <f t="shared" si="37"/>
        <v>3</v>
      </c>
      <c r="C284" s="13" t="str">
        <f t="shared" si="38"/>
        <v>2</v>
      </c>
      <c r="D284" s="13" t="str">
        <f t="shared" si="39"/>
        <v>2</v>
      </c>
      <c r="E284" s="13" t="str">
        <f t="shared" si="40"/>
        <v>00</v>
      </c>
      <c r="F284" s="13" t="str">
        <f t="shared" si="41"/>
        <v>01</v>
      </c>
      <c r="G284" s="13" t="s">
        <v>312</v>
      </c>
      <c r="H284" s="13" t="s">
        <v>1907</v>
      </c>
      <c r="I284" s="16" t="s">
        <v>3944</v>
      </c>
      <c r="J284" s="13"/>
      <c r="K284" s="13" t="s">
        <v>46</v>
      </c>
      <c r="L284" s="13" t="s">
        <v>4206</v>
      </c>
      <c r="M284" s="16"/>
      <c r="N284" t="s">
        <v>4177</v>
      </c>
    </row>
    <row r="285" spans="1:14" x14ac:dyDescent="0.25">
      <c r="A285" s="13" t="str">
        <f t="shared" si="36"/>
        <v>1</v>
      </c>
      <c r="B285" s="13" t="str">
        <f t="shared" si="37"/>
        <v>3</v>
      </c>
      <c r="C285" s="13" t="str">
        <f t="shared" si="38"/>
        <v>2</v>
      </c>
      <c r="D285" s="13" t="str">
        <f t="shared" si="39"/>
        <v>2</v>
      </c>
      <c r="E285" s="13" t="str">
        <f t="shared" si="40"/>
        <v>00</v>
      </c>
      <c r="F285" s="13" t="str">
        <f t="shared" si="41"/>
        <v>02</v>
      </c>
      <c r="G285" s="13" t="s">
        <v>313</v>
      </c>
      <c r="H285" s="13" t="s">
        <v>1908</v>
      </c>
      <c r="I285" s="16" t="s">
        <v>3945</v>
      </c>
      <c r="J285" s="13"/>
      <c r="K285" s="13" t="s">
        <v>46</v>
      </c>
      <c r="L285" s="13" t="s">
        <v>4206</v>
      </c>
      <c r="M285" s="16"/>
      <c r="N285" t="s">
        <v>4177</v>
      </c>
    </row>
    <row r="286" spans="1:14" ht="25.5" x14ac:dyDescent="0.25">
      <c r="A286" s="13" t="str">
        <f t="shared" si="36"/>
        <v>1</v>
      </c>
      <c r="B286" s="13" t="str">
        <f t="shared" si="37"/>
        <v>3</v>
      </c>
      <c r="C286" s="13" t="str">
        <f t="shared" si="38"/>
        <v>2</v>
      </c>
      <c r="D286" s="13" t="str">
        <f t="shared" si="39"/>
        <v>2</v>
      </c>
      <c r="E286" s="13" t="str">
        <f t="shared" si="40"/>
        <v>00</v>
      </c>
      <c r="F286" s="13" t="str">
        <f t="shared" si="41"/>
        <v>03</v>
      </c>
      <c r="G286" s="13" t="s">
        <v>314</v>
      </c>
      <c r="H286" s="13" t="s">
        <v>1909</v>
      </c>
      <c r="I286" s="16" t="s">
        <v>3946</v>
      </c>
      <c r="J286" s="13"/>
      <c r="K286" s="13" t="s">
        <v>46</v>
      </c>
      <c r="L286" s="13" t="s">
        <v>4206</v>
      </c>
      <c r="M286" s="16"/>
      <c r="N286" t="s">
        <v>4177</v>
      </c>
    </row>
    <row r="287" spans="1:14" s="24" customFormat="1" ht="25.5" x14ac:dyDescent="0.2">
      <c r="A287" s="29" t="str">
        <f t="shared" si="36"/>
        <v>1</v>
      </c>
      <c r="B287" s="29" t="str">
        <f t="shared" si="37"/>
        <v>3</v>
      </c>
      <c r="C287" s="29" t="str">
        <f t="shared" si="38"/>
        <v>2</v>
      </c>
      <c r="D287" s="29" t="str">
        <f t="shared" si="39"/>
        <v>3</v>
      </c>
      <c r="E287" s="29" t="str">
        <f t="shared" si="40"/>
        <v>00</v>
      </c>
      <c r="F287" s="29" t="str">
        <f t="shared" si="41"/>
        <v>00</v>
      </c>
      <c r="G287" s="29" t="s">
        <v>2047</v>
      </c>
      <c r="H287" s="29" t="s">
        <v>1908</v>
      </c>
      <c r="I287" s="30" t="s">
        <v>2081</v>
      </c>
      <c r="J287" s="33"/>
      <c r="K287" s="33" t="s">
        <v>3947</v>
      </c>
      <c r="L287" s="33" t="s">
        <v>4207</v>
      </c>
      <c r="M287" s="34"/>
    </row>
    <row r="288" spans="1:14" ht="25.5" x14ac:dyDescent="0.25">
      <c r="A288" s="19" t="str">
        <f t="shared" ref="A288:A371" si="42">MID(G288,1,1)</f>
        <v>1</v>
      </c>
      <c r="B288" s="19" t="str">
        <f t="shared" ref="B288:B371" si="43">MID(G288,2,1)</f>
        <v>3</v>
      </c>
      <c r="C288" s="19" t="str">
        <f t="shared" ref="C288:C371" si="44">MID(G288,3,1)</f>
        <v>2</v>
      </c>
      <c r="D288" s="19" t="str">
        <f t="shared" ref="D288:D371" si="45">MID(G288,4,1)</f>
        <v>5</v>
      </c>
      <c r="E288" s="19" t="str">
        <f t="shared" ref="E288:E371" si="46">MID(G288,6,2)</f>
        <v>00</v>
      </c>
      <c r="F288" s="19" t="str">
        <f t="shared" ref="F288:F371" si="47">MID(G288,9,2)</f>
        <v>00</v>
      </c>
      <c r="G288" s="19" t="s">
        <v>315</v>
      </c>
      <c r="H288" s="19" t="s">
        <v>1910</v>
      </c>
      <c r="I288" s="20" t="s">
        <v>2082</v>
      </c>
      <c r="J288" s="19"/>
      <c r="K288" s="19"/>
      <c r="L288" s="19"/>
      <c r="M288" s="20"/>
    </row>
    <row r="289" spans="1:13" ht="25.5" x14ac:dyDescent="0.25">
      <c r="A289" s="19" t="str">
        <f t="shared" si="42"/>
        <v>1</v>
      </c>
      <c r="B289" s="19" t="str">
        <f t="shared" si="43"/>
        <v>3</v>
      </c>
      <c r="C289" s="19" t="str">
        <f t="shared" si="44"/>
        <v>2</v>
      </c>
      <c r="D289" s="19" t="str">
        <f t="shared" si="45"/>
        <v>6</v>
      </c>
      <c r="E289" s="19" t="str">
        <f t="shared" si="46"/>
        <v>00</v>
      </c>
      <c r="F289" s="19" t="str">
        <f t="shared" si="47"/>
        <v>00</v>
      </c>
      <c r="G289" s="19" t="s">
        <v>316</v>
      </c>
      <c r="H289" s="19" t="s">
        <v>1911</v>
      </c>
      <c r="I289" s="20" t="s">
        <v>2083</v>
      </c>
      <c r="J289" s="19"/>
      <c r="K289" s="19"/>
      <c r="L289" s="19"/>
      <c r="M289" s="20"/>
    </row>
    <row r="290" spans="1:13" ht="25.5" x14ac:dyDescent="0.25">
      <c r="A290" s="19" t="str">
        <f t="shared" si="42"/>
        <v>1</v>
      </c>
      <c r="B290" s="19" t="str">
        <f t="shared" si="43"/>
        <v>3</v>
      </c>
      <c r="C290" s="19" t="str">
        <f t="shared" si="44"/>
        <v>2</v>
      </c>
      <c r="D290" s="19" t="str">
        <f t="shared" si="45"/>
        <v>7</v>
      </c>
      <c r="E290" s="19" t="str">
        <f t="shared" si="46"/>
        <v>00</v>
      </c>
      <c r="F290" s="19" t="str">
        <f t="shared" si="47"/>
        <v>00</v>
      </c>
      <c r="G290" s="19" t="s">
        <v>317</v>
      </c>
      <c r="H290" s="19" t="s">
        <v>1912</v>
      </c>
      <c r="I290" s="20" t="s">
        <v>2084</v>
      </c>
      <c r="J290" s="19"/>
      <c r="K290" s="19"/>
      <c r="L290" s="19"/>
      <c r="M290" s="20"/>
    </row>
    <row r="291" spans="1:13" ht="25.5" x14ac:dyDescent="0.25">
      <c r="A291" s="19" t="str">
        <f t="shared" si="42"/>
        <v>1</v>
      </c>
      <c r="B291" s="19" t="str">
        <f t="shared" si="43"/>
        <v>3</v>
      </c>
      <c r="C291" s="19" t="str">
        <f t="shared" si="44"/>
        <v>2</v>
      </c>
      <c r="D291" s="19" t="str">
        <f t="shared" si="45"/>
        <v>8</v>
      </c>
      <c r="E291" s="19" t="str">
        <f t="shared" si="46"/>
        <v>00</v>
      </c>
      <c r="F291" s="19" t="str">
        <f t="shared" si="47"/>
        <v>00</v>
      </c>
      <c r="G291" s="19" t="s">
        <v>318</v>
      </c>
      <c r="H291" s="19" t="s">
        <v>1913</v>
      </c>
      <c r="I291" s="20" t="s">
        <v>2085</v>
      </c>
      <c r="J291" s="19"/>
      <c r="K291" s="19"/>
      <c r="L291" s="19"/>
      <c r="M291" s="20"/>
    </row>
    <row r="292" spans="1:13" ht="38.25" x14ac:dyDescent="0.25">
      <c r="A292" s="21" t="str">
        <f t="shared" si="42"/>
        <v>1</v>
      </c>
      <c r="B292" s="21" t="str">
        <f t="shared" si="43"/>
        <v>3</v>
      </c>
      <c r="C292" s="21" t="str">
        <f t="shared" si="44"/>
        <v>2</v>
      </c>
      <c r="D292" s="21" t="str">
        <f t="shared" si="45"/>
        <v>8</v>
      </c>
      <c r="E292" s="21" t="str">
        <f t="shared" si="46"/>
        <v>10</v>
      </c>
      <c r="F292" s="21" t="str">
        <f t="shared" si="47"/>
        <v>00</v>
      </c>
      <c r="G292" s="21" t="s">
        <v>319</v>
      </c>
      <c r="H292" s="21" t="s">
        <v>1914</v>
      </c>
      <c r="I292" s="22" t="s">
        <v>2086</v>
      </c>
      <c r="J292" s="21"/>
      <c r="K292" s="21"/>
      <c r="L292" s="21"/>
      <c r="M292" s="21"/>
    </row>
    <row r="293" spans="1:13" ht="38.25" x14ac:dyDescent="0.25">
      <c r="A293" s="21" t="str">
        <f t="shared" si="42"/>
        <v>1</v>
      </c>
      <c r="B293" s="21" t="str">
        <f t="shared" si="43"/>
        <v>3</v>
      </c>
      <c r="C293" s="21" t="str">
        <f t="shared" si="44"/>
        <v>2</v>
      </c>
      <c r="D293" s="21" t="str">
        <f t="shared" si="45"/>
        <v>8</v>
      </c>
      <c r="E293" s="21" t="str">
        <f t="shared" si="46"/>
        <v>20</v>
      </c>
      <c r="F293" s="21" t="str">
        <f t="shared" si="47"/>
        <v>00</v>
      </c>
      <c r="G293" s="21" t="s">
        <v>320</v>
      </c>
      <c r="H293" s="21" t="s">
        <v>1915</v>
      </c>
      <c r="I293" s="22" t="s">
        <v>2087</v>
      </c>
      <c r="J293" s="21"/>
      <c r="K293" s="21"/>
      <c r="L293" s="21"/>
      <c r="M293" s="21"/>
    </row>
    <row r="294" spans="1:13" ht="38.25" x14ac:dyDescent="0.25">
      <c r="A294" s="21" t="str">
        <f t="shared" si="42"/>
        <v>1</v>
      </c>
      <c r="B294" s="21" t="str">
        <f t="shared" si="43"/>
        <v>3</v>
      </c>
      <c r="C294" s="21" t="str">
        <f t="shared" si="44"/>
        <v>2</v>
      </c>
      <c r="D294" s="21" t="str">
        <f t="shared" si="45"/>
        <v>8</v>
      </c>
      <c r="E294" s="21" t="str">
        <f t="shared" si="46"/>
        <v>30</v>
      </c>
      <c r="F294" s="21" t="str">
        <f t="shared" si="47"/>
        <v>00</v>
      </c>
      <c r="G294" s="21" t="s">
        <v>321</v>
      </c>
      <c r="H294" s="21" t="s">
        <v>1916</v>
      </c>
      <c r="I294" s="22" t="s">
        <v>2088</v>
      </c>
      <c r="J294" s="21"/>
      <c r="K294" s="21"/>
      <c r="L294" s="21"/>
      <c r="M294" s="21"/>
    </row>
    <row r="295" spans="1:13" x14ac:dyDescent="0.25">
      <c r="A295" s="19" t="str">
        <f t="shared" si="42"/>
        <v>1</v>
      </c>
      <c r="B295" s="19" t="str">
        <f t="shared" si="43"/>
        <v>3</v>
      </c>
      <c r="C295" s="19" t="str">
        <f t="shared" si="44"/>
        <v>2</v>
      </c>
      <c r="D295" s="19" t="str">
        <f t="shared" si="45"/>
        <v>9</v>
      </c>
      <c r="E295" s="19" t="str">
        <f t="shared" si="46"/>
        <v>00</v>
      </c>
      <c r="F295" s="19" t="str">
        <f t="shared" si="47"/>
        <v>00</v>
      </c>
      <c r="G295" s="19" t="s">
        <v>322</v>
      </c>
      <c r="H295" s="19" t="s">
        <v>1917</v>
      </c>
      <c r="I295" s="20" t="s">
        <v>2089</v>
      </c>
      <c r="J295" s="19"/>
      <c r="K295" s="19"/>
      <c r="L295" s="19"/>
      <c r="M295" s="20"/>
    </row>
    <row r="296" spans="1:13" ht="25.5" x14ac:dyDescent="0.25">
      <c r="A296" s="12" t="str">
        <f t="shared" si="42"/>
        <v>1</v>
      </c>
      <c r="B296" s="12" t="str">
        <f t="shared" si="43"/>
        <v>3</v>
      </c>
      <c r="C296" s="12" t="str">
        <f t="shared" si="44"/>
        <v>3</v>
      </c>
      <c r="D296" s="12" t="str">
        <f t="shared" si="45"/>
        <v>0</v>
      </c>
      <c r="E296" s="12" t="str">
        <f t="shared" si="46"/>
        <v>00</v>
      </c>
      <c r="F296" s="12" t="str">
        <f t="shared" si="47"/>
        <v>00</v>
      </c>
      <c r="G296" s="12" t="s">
        <v>323</v>
      </c>
      <c r="H296" s="12" t="s">
        <v>1918</v>
      </c>
      <c r="I296" s="15" t="s">
        <v>2090</v>
      </c>
      <c r="J296" s="12"/>
      <c r="K296" s="12"/>
      <c r="L296" s="12"/>
      <c r="M296" s="15"/>
    </row>
    <row r="297" spans="1:13" ht="25.5" x14ac:dyDescent="0.25">
      <c r="A297" s="19" t="str">
        <f t="shared" si="42"/>
        <v>1</v>
      </c>
      <c r="B297" s="19" t="str">
        <f t="shared" si="43"/>
        <v>3</v>
      </c>
      <c r="C297" s="19" t="str">
        <f t="shared" si="44"/>
        <v>3</v>
      </c>
      <c r="D297" s="19" t="str">
        <f t="shared" si="45"/>
        <v>1</v>
      </c>
      <c r="E297" s="19" t="str">
        <f t="shared" si="46"/>
        <v>00</v>
      </c>
      <c r="F297" s="19" t="str">
        <f t="shared" si="47"/>
        <v>00</v>
      </c>
      <c r="G297" s="19" t="s">
        <v>324</v>
      </c>
      <c r="H297" s="19" t="s">
        <v>1919</v>
      </c>
      <c r="I297" s="20" t="s">
        <v>2091</v>
      </c>
      <c r="J297" s="19"/>
      <c r="K297" s="19"/>
      <c r="L297" s="19"/>
      <c r="M297" s="20"/>
    </row>
    <row r="298" spans="1:13" ht="25.5" x14ac:dyDescent="0.25">
      <c r="A298" s="21" t="str">
        <f t="shared" si="42"/>
        <v>1</v>
      </c>
      <c r="B298" s="21" t="str">
        <f t="shared" si="43"/>
        <v>3</v>
      </c>
      <c r="C298" s="21" t="str">
        <f t="shared" si="44"/>
        <v>3</v>
      </c>
      <c r="D298" s="21" t="str">
        <f t="shared" si="45"/>
        <v>1</v>
      </c>
      <c r="E298" s="21" t="str">
        <f t="shared" si="46"/>
        <v>01</v>
      </c>
      <c r="F298" s="21" t="str">
        <f t="shared" si="47"/>
        <v>00</v>
      </c>
      <c r="G298" s="21" t="s">
        <v>325</v>
      </c>
      <c r="H298" s="21" t="s">
        <v>1920</v>
      </c>
      <c r="I298" s="22" t="s">
        <v>2092</v>
      </c>
      <c r="J298" s="21"/>
      <c r="K298" s="21"/>
      <c r="L298" s="21"/>
      <c r="M298" s="21"/>
    </row>
    <row r="299" spans="1:13" ht="25.5" x14ac:dyDescent="0.25">
      <c r="A299" s="13" t="str">
        <f t="shared" si="42"/>
        <v>1</v>
      </c>
      <c r="B299" s="13" t="str">
        <f t="shared" si="43"/>
        <v>3</v>
      </c>
      <c r="C299" s="13" t="str">
        <f t="shared" si="44"/>
        <v>3</v>
      </c>
      <c r="D299" s="13" t="str">
        <f t="shared" si="45"/>
        <v>1</v>
      </c>
      <c r="E299" s="13" t="str">
        <f t="shared" si="46"/>
        <v>01</v>
      </c>
      <c r="F299" s="13" t="str">
        <f t="shared" si="47"/>
        <v>01</v>
      </c>
      <c r="G299" s="13" t="s">
        <v>326</v>
      </c>
      <c r="H299" s="13" t="s">
        <v>1921</v>
      </c>
      <c r="I299" s="16" t="s">
        <v>2093</v>
      </c>
      <c r="J299" s="13"/>
      <c r="K299" s="13"/>
      <c r="L299" s="13"/>
      <c r="M299" s="16"/>
    </row>
    <row r="300" spans="1:13" ht="38.25" x14ac:dyDescent="0.25">
      <c r="A300" s="13" t="str">
        <f t="shared" si="42"/>
        <v>1</v>
      </c>
      <c r="B300" s="13" t="str">
        <f t="shared" si="43"/>
        <v>3</v>
      </c>
      <c r="C300" s="13" t="str">
        <f t="shared" si="44"/>
        <v>3</v>
      </c>
      <c r="D300" s="13" t="str">
        <f t="shared" si="45"/>
        <v>1</v>
      </c>
      <c r="E300" s="13" t="str">
        <f t="shared" si="46"/>
        <v>01</v>
      </c>
      <c r="F300" s="13" t="str">
        <f t="shared" si="47"/>
        <v>02</v>
      </c>
      <c r="G300" s="13" t="s">
        <v>327</v>
      </c>
      <c r="H300" s="13" t="s">
        <v>1922</v>
      </c>
      <c r="I300" s="16" t="s">
        <v>2094</v>
      </c>
      <c r="J300" s="13"/>
      <c r="K300" s="13"/>
      <c r="L300" s="13"/>
      <c r="M300" s="16"/>
    </row>
    <row r="301" spans="1:13" ht="25.5" x14ac:dyDescent="0.25">
      <c r="A301" s="13" t="str">
        <f t="shared" si="42"/>
        <v>1</v>
      </c>
      <c r="B301" s="13" t="str">
        <f t="shared" si="43"/>
        <v>3</v>
      </c>
      <c r="C301" s="13" t="str">
        <f t="shared" si="44"/>
        <v>3</v>
      </c>
      <c r="D301" s="13" t="str">
        <f t="shared" si="45"/>
        <v>1</v>
      </c>
      <c r="E301" s="13" t="str">
        <f t="shared" si="46"/>
        <v>01</v>
      </c>
      <c r="F301" s="13" t="str">
        <f t="shared" si="47"/>
        <v>03</v>
      </c>
      <c r="G301" s="13" t="s">
        <v>328</v>
      </c>
      <c r="H301" s="13" t="s">
        <v>1923</v>
      </c>
      <c r="I301" s="16" t="s">
        <v>2095</v>
      </c>
      <c r="J301" s="13"/>
      <c r="K301" s="13"/>
      <c r="L301" s="13"/>
      <c r="M301" s="16"/>
    </row>
    <row r="302" spans="1:13" ht="25.5" x14ac:dyDescent="0.25">
      <c r="A302" s="13" t="str">
        <f t="shared" si="42"/>
        <v>1</v>
      </c>
      <c r="B302" s="13" t="str">
        <f t="shared" si="43"/>
        <v>3</v>
      </c>
      <c r="C302" s="13" t="str">
        <f t="shared" si="44"/>
        <v>3</v>
      </c>
      <c r="D302" s="13" t="str">
        <f t="shared" si="45"/>
        <v>1</v>
      </c>
      <c r="E302" s="13" t="str">
        <f t="shared" si="46"/>
        <v>01</v>
      </c>
      <c r="F302" s="13" t="str">
        <f t="shared" si="47"/>
        <v>04</v>
      </c>
      <c r="G302" s="13" t="s">
        <v>329</v>
      </c>
      <c r="H302" s="13" t="s">
        <v>1924</v>
      </c>
      <c r="I302" s="16" t="s">
        <v>2096</v>
      </c>
      <c r="J302" s="13"/>
      <c r="K302" s="13"/>
      <c r="L302" s="13"/>
      <c r="M302" s="16"/>
    </row>
    <row r="303" spans="1:13" ht="25.5" x14ac:dyDescent="0.25">
      <c r="A303" s="13" t="str">
        <f t="shared" si="42"/>
        <v>1</v>
      </c>
      <c r="B303" s="13" t="str">
        <f t="shared" si="43"/>
        <v>3</v>
      </c>
      <c r="C303" s="13" t="str">
        <f t="shared" si="44"/>
        <v>3</v>
      </c>
      <c r="D303" s="13" t="str">
        <f t="shared" si="45"/>
        <v>1</v>
      </c>
      <c r="E303" s="13" t="str">
        <f t="shared" si="46"/>
        <v>01</v>
      </c>
      <c r="F303" s="13" t="str">
        <f t="shared" si="47"/>
        <v>05</v>
      </c>
      <c r="G303" s="13" t="s">
        <v>330</v>
      </c>
      <c r="H303" s="13" t="s">
        <v>1925</v>
      </c>
      <c r="I303" s="16" t="s">
        <v>2097</v>
      </c>
      <c r="J303" s="13"/>
      <c r="K303" s="13"/>
      <c r="L303" s="13"/>
      <c r="M303" s="16"/>
    </row>
    <row r="304" spans="1:13" ht="25.5" x14ac:dyDescent="0.25">
      <c r="A304" s="13" t="str">
        <f t="shared" si="42"/>
        <v>1</v>
      </c>
      <c r="B304" s="13" t="str">
        <f t="shared" si="43"/>
        <v>3</v>
      </c>
      <c r="C304" s="13" t="str">
        <f t="shared" si="44"/>
        <v>3</v>
      </c>
      <c r="D304" s="13" t="str">
        <f t="shared" si="45"/>
        <v>1</v>
      </c>
      <c r="E304" s="13" t="str">
        <f t="shared" si="46"/>
        <v>01</v>
      </c>
      <c r="F304" s="13" t="str">
        <f t="shared" si="47"/>
        <v>06</v>
      </c>
      <c r="G304" s="13" t="s">
        <v>331</v>
      </c>
      <c r="H304" s="13" t="s">
        <v>1926</v>
      </c>
      <c r="I304" s="16" t="s">
        <v>2098</v>
      </c>
      <c r="J304" s="13"/>
      <c r="K304" s="13"/>
      <c r="L304" s="13"/>
      <c r="M304" s="16"/>
    </row>
    <row r="305" spans="1:13" ht="25.5" x14ac:dyDescent="0.25">
      <c r="A305" s="13" t="str">
        <f t="shared" si="42"/>
        <v>1</v>
      </c>
      <c r="B305" s="13" t="str">
        <f t="shared" si="43"/>
        <v>3</v>
      </c>
      <c r="C305" s="13" t="str">
        <f t="shared" si="44"/>
        <v>3</v>
      </c>
      <c r="D305" s="13" t="str">
        <f t="shared" si="45"/>
        <v>1</v>
      </c>
      <c r="E305" s="13" t="str">
        <f t="shared" si="46"/>
        <v>01</v>
      </c>
      <c r="F305" s="13" t="str">
        <f t="shared" si="47"/>
        <v>07</v>
      </c>
      <c r="G305" s="13" t="s">
        <v>332</v>
      </c>
      <c r="H305" s="13" t="s">
        <v>1927</v>
      </c>
      <c r="I305" s="16" t="s">
        <v>3948</v>
      </c>
      <c r="J305" s="13"/>
      <c r="K305" s="13" t="s">
        <v>46</v>
      </c>
      <c r="L305" s="13" t="s">
        <v>4208</v>
      </c>
      <c r="M305" s="16"/>
    </row>
    <row r="306" spans="1:13" ht="25.5" x14ac:dyDescent="0.25">
      <c r="A306" s="13" t="str">
        <f t="shared" si="42"/>
        <v>1</v>
      </c>
      <c r="B306" s="13" t="str">
        <f t="shared" si="43"/>
        <v>3</v>
      </c>
      <c r="C306" s="13" t="str">
        <f t="shared" si="44"/>
        <v>3</v>
      </c>
      <c r="D306" s="13" t="str">
        <f t="shared" si="45"/>
        <v>1</v>
      </c>
      <c r="E306" s="13" t="str">
        <f t="shared" si="46"/>
        <v>01</v>
      </c>
      <c r="F306" s="13" t="str">
        <f t="shared" si="47"/>
        <v>99</v>
      </c>
      <c r="G306" s="13" t="s">
        <v>333</v>
      </c>
      <c r="H306" s="13" t="s">
        <v>1928</v>
      </c>
      <c r="I306" s="16" t="s">
        <v>2099</v>
      </c>
      <c r="J306" s="13"/>
      <c r="K306" s="13"/>
      <c r="L306" s="13"/>
      <c r="M306" s="16"/>
    </row>
    <row r="307" spans="1:13" ht="25.5" x14ac:dyDescent="0.25">
      <c r="A307" s="21" t="str">
        <f t="shared" si="42"/>
        <v>1</v>
      </c>
      <c r="B307" s="21" t="str">
        <f t="shared" si="43"/>
        <v>3</v>
      </c>
      <c r="C307" s="21" t="str">
        <f t="shared" si="44"/>
        <v>3</v>
      </c>
      <c r="D307" s="21" t="str">
        <f t="shared" si="45"/>
        <v>1</v>
      </c>
      <c r="E307" s="21" t="str">
        <f t="shared" si="46"/>
        <v>02</v>
      </c>
      <c r="F307" s="21" t="str">
        <f t="shared" si="47"/>
        <v>00</v>
      </c>
      <c r="G307" s="21" t="s">
        <v>334</v>
      </c>
      <c r="H307" s="21" t="s">
        <v>1929</v>
      </c>
      <c r="I307" s="22" t="s">
        <v>2100</v>
      </c>
      <c r="J307" s="21"/>
      <c r="K307" s="21"/>
      <c r="L307" s="21"/>
      <c r="M307" s="21"/>
    </row>
    <row r="308" spans="1:13" ht="25.5" x14ac:dyDescent="0.25">
      <c r="A308" s="13" t="str">
        <f t="shared" si="42"/>
        <v>1</v>
      </c>
      <c r="B308" s="13" t="str">
        <f t="shared" si="43"/>
        <v>3</v>
      </c>
      <c r="C308" s="13" t="str">
        <f t="shared" si="44"/>
        <v>3</v>
      </c>
      <c r="D308" s="13" t="str">
        <f t="shared" si="45"/>
        <v>1</v>
      </c>
      <c r="E308" s="13" t="str">
        <f t="shared" si="46"/>
        <v>02</v>
      </c>
      <c r="F308" s="13" t="str">
        <f t="shared" si="47"/>
        <v>01</v>
      </c>
      <c r="G308" s="13" t="s">
        <v>335</v>
      </c>
      <c r="H308" s="13" t="s">
        <v>1930</v>
      </c>
      <c r="I308" s="16" t="s">
        <v>2101</v>
      </c>
      <c r="J308" s="13"/>
      <c r="K308" s="13"/>
      <c r="L308" s="13"/>
      <c r="M308" s="16"/>
    </row>
    <row r="309" spans="1:13" ht="25.5" x14ac:dyDescent="0.25">
      <c r="A309" s="13" t="str">
        <f t="shared" si="42"/>
        <v>1</v>
      </c>
      <c r="B309" s="13" t="str">
        <f t="shared" si="43"/>
        <v>3</v>
      </c>
      <c r="C309" s="13" t="str">
        <f t="shared" si="44"/>
        <v>3</v>
      </c>
      <c r="D309" s="13" t="str">
        <f t="shared" si="45"/>
        <v>1</v>
      </c>
      <c r="E309" s="13" t="str">
        <f t="shared" si="46"/>
        <v>02</v>
      </c>
      <c r="F309" s="13" t="str">
        <f t="shared" si="47"/>
        <v>02</v>
      </c>
      <c r="G309" s="13" t="s">
        <v>336</v>
      </c>
      <c r="H309" s="13" t="s">
        <v>1931</v>
      </c>
      <c r="I309" s="16" t="s">
        <v>2102</v>
      </c>
      <c r="J309" s="13"/>
      <c r="K309" s="13"/>
      <c r="L309" s="13"/>
      <c r="M309" s="16"/>
    </row>
    <row r="310" spans="1:13" ht="25.5" x14ac:dyDescent="0.25">
      <c r="A310" s="13" t="str">
        <f t="shared" si="42"/>
        <v>1</v>
      </c>
      <c r="B310" s="13" t="str">
        <f t="shared" si="43"/>
        <v>3</v>
      </c>
      <c r="C310" s="13" t="str">
        <f t="shared" si="44"/>
        <v>3</v>
      </c>
      <c r="D310" s="13" t="str">
        <f t="shared" si="45"/>
        <v>1</v>
      </c>
      <c r="E310" s="13" t="str">
        <f t="shared" si="46"/>
        <v>02</v>
      </c>
      <c r="F310" s="13" t="str">
        <f t="shared" si="47"/>
        <v>03</v>
      </c>
      <c r="G310" s="13" t="s">
        <v>337</v>
      </c>
      <c r="H310" s="13" t="s">
        <v>1932</v>
      </c>
      <c r="I310" s="16" t="s">
        <v>2103</v>
      </c>
      <c r="J310" s="13"/>
      <c r="K310" s="13"/>
      <c r="L310" s="13"/>
      <c r="M310" s="16"/>
    </row>
    <row r="311" spans="1:13" ht="51" x14ac:dyDescent="0.25">
      <c r="A311" s="13" t="str">
        <f t="shared" si="42"/>
        <v>1</v>
      </c>
      <c r="B311" s="13" t="str">
        <f t="shared" si="43"/>
        <v>3</v>
      </c>
      <c r="C311" s="13" t="str">
        <f t="shared" si="44"/>
        <v>3</v>
      </c>
      <c r="D311" s="13" t="str">
        <f t="shared" si="45"/>
        <v>1</v>
      </c>
      <c r="E311" s="13" t="str">
        <f t="shared" si="46"/>
        <v>02</v>
      </c>
      <c r="F311" s="13" t="str">
        <f t="shared" si="47"/>
        <v>04</v>
      </c>
      <c r="G311" s="13" t="s">
        <v>338</v>
      </c>
      <c r="H311" s="13" t="s">
        <v>1933</v>
      </c>
      <c r="I311" s="16" t="s">
        <v>2104</v>
      </c>
      <c r="J311" s="13"/>
      <c r="K311" s="13"/>
      <c r="L311" s="13"/>
      <c r="M311" s="16"/>
    </row>
    <row r="312" spans="1:13" ht="51" x14ac:dyDescent="0.25">
      <c r="A312" s="13" t="str">
        <f t="shared" si="42"/>
        <v>1</v>
      </c>
      <c r="B312" s="13" t="str">
        <f t="shared" si="43"/>
        <v>3</v>
      </c>
      <c r="C312" s="13" t="str">
        <f t="shared" si="44"/>
        <v>3</v>
      </c>
      <c r="D312" s="13" t="str">
        <f t="shared" si="45"/>
        <v>1</v>
      </c>
      <c r="E312" s="13" t="str">
        <f t="shared" si="46"/>
        <v>02</v>
      </c>
      <c r="F312" s="13" t="str">
        <f t="shared" si="47"/>
        <v>05</v>
      </c>
      <c r="G312" s="13" t="s">
        <v>339</v>
      </c>
      <c r="H312" s="13" t="s">
        <v>1405</v>
      </c>
      <c r="I312" s="16" t="s">
        <v>2105</v>
      </c>
      <c r="J312" s="13"/>
      <c r="K312" s="13"/>
      <c r="L312" s="13"/>
      <c r="M312" s="16"/>
    </row>
    <row r="313" spans="1:13" ht="25.5" x14ac:dyDescent="0.25">
      <c r="A313" s="13" t="str">
        <f t="shared" si="42"/>
        <v>1</v>
      </c>
      <c r="B313" s="13" t="str">
        <f t="shared" si="43"/>
        <v>3</v>
      </c>
      <c r="C313" s="13" t="str">
        <f t="shared" si="44"/>
        <v>3</v>
      </c>
      <c r="D313" s="13" t="str">
        <f t="shared" si="45"/>
        <v>1</v>
      </c>
      <c r="E313" s="13" t="str">
        <f t="shared" si="46"/>
        <v>02</v>
      </c>
      <c r="F313" s="13" t="str">
        <f t="shared" si="47"/>
        <v>06</v>
      </c>
      <c r="G313" s="13" t="s">
        <v>340</v>
      </c>
      <c r="H313" s="13" t="s">
        <v>1934</v>
      </c>
      <c r="I313" s="16" t="s">
        <v>4020</v>
      </c>
      <c r="J313" s="13"/>
      <c r="K313" s="13" t="s">
        <v>4021</v>
      </c>
      <c r="L313" s="13" t="s">
        <v>4209</v>
      </c>
      <c r="M313" s="16"/>
    </row>
    <row r="314" spans="1:13" ht="38.25" x14ac:dyDescent="0.25">
      <c r="A314" s="13" t="str">
        <f t="shared" si="42"/>
        <v>1</v>
      </c>
      <c r="B314" s="13" t="str">
        <f t="shared" si="43"/>
        <v>3</v>
      </c>
      <c r="C314" s="13" t="str">
        <f t="shared" si="44"/>
        <v>3</v>
      </c>
      <c r="D314" s="13" t="str">
        <f t="shared" si="45"/>
        <v>1</v>
      </c>
      <c r="E314" s="13" t="str">
        <f t="shared" si="46"/>
        <v>02</v>
      </c>
      <c r="F314" s="13" t="str">
        <f t="shared" si="47"/>
        <v>07</v>
      </c>
      <c r="G314" s="13" t="s">
        <v>341</v>
      </c>
      <c r="H314" s="13" t="s">
        <v>1935</v>
      </c>
      <c r="I314" s="16" t="s">
        <v>2106</v>
      </c>
      <c r="J314" s="13"/>
      <c r="K314" s="13"/>
      <c r="L314" s="13"/>
      <c r="M314" s="16"/>
    </row>
    <row r="315" spans="1:13" ht="25.5" x14ac:dyDescent="0.25">
      <c r="A315" s="13" t="str">
        <f t="shared" si="42"/>
        <v>1</v>
      </c>
      <c r="B315" s="13" t="str">
        <f t="shared" si="43"/>
        <v>3</v>
      </c>
      <c r="C315" s="13" t="str">
        <f t="shared" si="44"/>
        <v>3</v>
      </c>
      <c r="D315" s="13" t="str">
        <f t="shared" si="45"/>
        <v>1</v>
      </c>
      <c r="E315" s="13" t="str">
        <f t="shared" si="46"/>
        <v>02</v>
      </c>
      <c r="F315" s="13" t="str">
        <f t="shared" si="47"/>
        <v>99</v>
      </c>
      <c r="G315" s="13" t="s">
        <v>342</v>
      </c>
      <c r="H315" s="13" t="s">
        <v>1936</v>
      </c>
      <c r="I315" s="16" t="s">
        <v>2107</v>
      </c>
      <c r="J315" s="13"/>
      <c r="K315" s="13"/>
      <c r="L315" s="13"/>
      <c r="M315" s="16"/>
    </row>
    <row r="316" spans="1:13" ht="25.5" x14ac:dyDescent="0.25">
      <c r="A316" s="21" t="str">
        <f t="shared" si="42"/>
        <v>1</v>
      </c>
      <c r="B316" s="21" t="str">
        <f t="shared" si="43"/>
        <v>3</v>
      </c>
      <c r="C316" s="21" t="str">
        <f t="shared" si="44"/>
        <v>3</v>
      </c>
      <c r="D316" s="21" t="str">
        <f t="shared" si="45"/>
        <v>1</v>
      </c>
      <c r="E316" s="21" t="str">
        <f t="shared" si="46"/>
        <v>03</v>
      </c>
      <c r="F316" s="21" t="str">
        <f t="shared" si="47"/>
        <v>00</v>
      </c>
      <c r="G316" s="21" t="s">
        <v>343</v>
      </c>
      <c r="H316" s="21" t="s">
        <v>1937</v>
      </c>
      <c r="I316" s="22" t="s">
        <v>2108</v>
      </c>
      <c r="J316" s="21"/>
      <c r="K316" s="21"/>
      <c r="L316" s="21"/>
      <c r="M316" s="21"/>
    </row>
    <row r="317" spans="1:13" ht="25.5" x14ac:dyDescent="0.25">
      <c r="A317" s="21" t="str">
        <f t="shared" si="42"/>
        <v>1</v>
      </c>
      <c r="B317" s="21" t="str">
        <f t="shared" si="43"/>
        <v>3</v>
      </c>
      <c r="C317" s="21" t="str">
        <f t="shared" si="44"/>
        <v>3</v>
      </c>
      <c r="D317" s="21" t="str">
        <f t="shared" si="45"/>
        <v>1</v>
      </c>
      <c r="E317" s="21" t="str">
        <f t="shared" si="46"/>
        <v>99</v>
      </c>
      <c r="F317" s="21" t="str">
        <f t="shared" si="47"/>
        <v>00</v>
      </c>
      <c r="G317" s="21" t="s">
        <v>344</v>
      </c>
      <c r="H317" s="21" t="s">
        <v>1938</v>
      </c>
      <c r="I317" s="22" t="s">
        <v>2109</v>
      </c>
      <c r="J317" s="21"/>
      <c r="K317" s="21"/>
      <c r="L317" s="21"/>
      <c r="M317" s="21"/>
    </row>
    <row r="318" spans="1:13" ht="25.5" x14ac:dyDescent="0.25">
      <c r="A318" s="19" t="str">
        <f t="shared" si="42"/>
        <v>1</v>
      </c>
      <c r="B318" s="19" t="str">
        <f t="shared" si="43"/>
        <v>3</v>
      </c>
      <c r="C318" s="19" t="str">
        <f t="shared" si="44"/>
        <v>3</v>
      </c>
      <c r="D318" s="19" t="str">
        <f t="shared" si="45"/>
        <v>2</v>
      </c>
      <c r="E318" s="19" t="str">
        <f t="shared" si="46"/>
        <v>00</v>
      </c>
      <c r="F318" s="19" t="str">
        <f t="shared" si="47"/>
        <v>00</v>
      </c>
      <c r="G318" s="19" t="s">
        <v>345</v>
      </c>
      <c r="H318" s="19" t="s">
        <v>1939</v>
      </c>
      <c r="I318" s="20" t="s">
        <v>2110</v>
      </c>
      <c r="J318" s="19"/>
      <c r="K318" s="19"/>
      <c r="L318" s="19"/>
      <c r="M318" s="20"/>
    </row>
    <row r="319" spans="1:13" ht="38.25" x14ac:dyDescent="0.25">
      <c r="A319" s="21" t="str">
        <f t="shared" si="42"/>
        <v>1</v>
      </c>
      <c r="B319" s="21" t="str">
        <f t="shared" si="43"/>
        <v>3</v>
      </c>
      <c r="C319" s="21" t="str">
        <f t="shared" si="44"/>
        <v>3</v>
      </c>
      <c r="D319" s="21" t="str">
        <f t="shared" si="45"/>
        <v>2</v>
      </c>
      <c r="E319" s="21" t="str">
        <f t="shared" si="46"/>
        <v>01</v>
      </c>
      <c r="F319" s="21" t="str">
        <f t="shared" si="47"/>
        <v>00</v>
      </c>
      <c r="G319" s="21" t="s">
        <v>346</v>
      </c>
      <c r="H319" s="21" t="s">
        <v>1940</v>
      </c>
      <c r="I319" s="22" t="s">
        <v>2111</v>
      </c>
      <c r="J319" s="21"/>
      <c r="K319" s="21"/>
      <c r="L319" s="21"/>
      <c r="M319" s="21"/>
    </row>
    <row r="320" spans="1:13" ht="25.5" x14ac:dyDescent="0.25">
      <c r="A320" s="13" t="str">
        <f t="shared" si="42"/>
        <v>1</v>
      </c>
      <c r="B320" s="13" t="str">
        <f t="shared" si="43"/>
        <v>3</v>
      </c>
      <c r="C320" s="13" t="str">
        <f t="shared" si="44"/>
        <v>3</v>
      </c>
      <c r="D320" s="13" t="str">
        <f t="shared" si="45"/>
        <v>2</v>
      </c>
      <c r="E320" s="13" t="str">
        <f t="shared" si="46"/>
        <v>01</v>
      </c>
      <c r="F320" s="13" t="str">
        <f t="shared" si="47"/>
        <v>01</v>
      </c>
      <c r="G320" s="13" t="s">
        <v>347</v>
      </c>
      <c r="H320" s="13" t="s">
        <v>1941</v>
      </c>
      <c r="I320" s="16" t="s">
        <v>2112</v>
      </c>
      <c r="J320" s="13"/>
      <c r="K320" s="13"/>
      <c r="L320" s="13"/>
      <c r="M320" s="16"/>
    </row>
    <row r="321" spans="1:13" s="37" customFormat="1" ht="25.5" x14ac:dyDescent="0.25">
      <c r="A321" s="32" t="str">
        <f t="shared" si="42"/>
        <v>1</v>
      </c>
      <c r="B321" s="32" t="str">
        <f t="shared" si="43"/>
        <v>3</v>
      </c>
      <c r="C321" s="32" t="str">
        <f t="shared" si="44"/>
        <v>3</v>
      </c>
      <c r="D321" s="32" t="str">
        <f t="shared" si="45"/>
        <v>2</v>
      </c>
      <c r="E321" s="32" t="str">
        <f t="shared" si="46"/>
        <v>01</v>
      </c>
      <c r="F321" s="32" t="str">
        <f t="shared" si="47"/>
        <v>02</v>
      </c>
      <c r="G321" s="32" t="s">
        <v>348</v>
      </c>
      <c r="H321" s="32" t="s">
        <v>1942</v>
      </c>
      <c r="I321" s="35" t="s">
        <v>2113</v>
      </c>
      <c r="J321" s="32"/>
      <c r="K321" s="32"/>
      <c r="L321" s="32"/>
      <c r="M321" s="35"/>
    </row>
    <row r="322" spans="1:13" ht="38.25" x14ac:dyDescent="0.25">
      <c r="A322" s="13" t="str">
        <f t="shared" si="42"/>
        <v>1</v>
      </c>
      <c r="B322" s="13" t="str">
        <f t="shared" si="43"/>
        <v>3</v>
      </c>
      <c r="C322" s="13" t="str">
        <f t="shared" si="44"/>
        <v>3</v>
      </c>
      <c r="D322" s="13" t="str">
        <f t="shared" si="45"/>
        <v>2</v>
      </c>
      <c r="E322" s="13" t="str">
        <f t="shared" si="46"/>
        <v>01</v>
      </c>
      <c r="F322" s="13" t="str">
        <f t="shared" si="47"/>
        <v>03</v>
      </c>
      <c r="G322" s="13" t="s">
        <v>349</v>
      </c>
      <c r="H322" s="13" t="s">
        <v>1943</v>
      </c>
      <c r="I322" s="16" t="s">
        <v>4109</v>
      </c>
      <c r="J322" s="13"/>
      <c r="K322" s="13" t="s">
        <v>4018</v>
      </c>
      <c r="L322" s="13" t="s">
        <v>4210</v>
      </c>
      <c r="M322" s="16"/>
    </row>
    <row r="323" spans="1:13" ht="38.25" x14ac:dyDescent="0.25">
      <c r="A323" s="21" t="str">
        <f t="shared" si="42"/>
        <v>1</v>
      </c>
      <c r="B323" s="21" t="str">
        <f t="shared" si="43"/>
        <v>3</v>
      </c>
      <c r="C323" s="21" t="str">
        <f t="shared" si="44"/>
        <v>3</v>
      </c>
      <c r="D323" s="21" t="str">
        <f t="shared" si="45"/>
        <v>2</v>
      </c>
      <c r="E323" s="21" t="str">
        <f t="shared" si="46"/>
        <v>02</v>
      </c>
      <c r="F323" s="21" t="str">
        <f t="shared" si="47"/>
        <v>00</v>
      </c>
      <c r="G323" s="21" t="s">
        <v>350</v>
      </c>
      <c r="H323" s="21" t="s">
        <v>1944</v>
      </c>
      <c r="I323" s="22" t="s">
        <v>2114</v>
      </c>
      <c r="J323" s="21"/>
      <c r="K323" s="21"/>
      <c r="L323" s="21"/>
      <c r="M323" s="21"/>
    </row>
    <row r="324" spans="1:13" ht="25.5" x14ac:dyDescent="0.25">
      <c r="A324" s="21" t="str">
        <f t="shared" si="42"/>
        <v>1</v>
      </c>
      <c r="B324" s="21" t="str">
        <f t="shared" si="43"/>
        <v>3</v>
      </c>
      <c r="C324" s="21" t="str">
        <f t="shared" si="44"/>
        <v>3</v>
      </c>
      <c r="D324" s="21" t="str">
        <f t="shared" si="45"/>
        <v>2</v>
      </c>
      <c r="E324" s="21" t="str">
        <f t="shared" si="46"/>
        <v>03</v>
      </c>
      <c r="F324" s="21" t="str">
        <f t="shared" si="47"/>
        <v>00</v>
      </c>
      <c r="G324" s="21" t="s">
        <v>351</v>
      </c>
      <c r="H324" s="21" t="s">
        <v>1945</v>
      </c>
      <c r="I324" s="22" t="s">
        <v>2115</v>
      </c>
      <c r="J324" s="21"/>
      <c r="K324" s="21"/>
      <c r="L324" s="21"/>
      <c r="M324" s="21"/>
    </row>
    <row r="325" spans="1:13" ht="38.25" x14ac:dyDescent="0.25">
      <c r="A325" s="21" t="str">
        <f t="shared" si="42"/>
        <v>1</v>
      </c>
      <c r="B325" s="21" t="str">
        <f t="shared" si="43"/>
        <v>3</v>
      </c>
      <c r="C325" s="21" t="str">
        <f t="shared" si="44"/>
        <v>3</v>
      </c>
      <c r="D325" s="21" t="str">
        <f t="shared" si="45"/>
        <v>2</v>
      </c>
      <c r="E325" s="21" t="str">
        <f t="shared" si="46"/>
        <v>04</v>
      </c>
      <c r="F325" s="21" t="str">
        <f t="shared" si="47"/>
        <v>00</v>
      </c>
      <c r="G325" s="21" t="s">
        <v>352</v>
      </c>
      <c r="H325" s="21" t="s">
        <v>1946</v>
      </c>
      <c r="I325" s="22" t="s">
        <v>2116</v>
      </c>
      <c r="J325" s="21"/>
      <c r="K325" s="21"/>
      <c r="L325" s="21"/>
      <c r="M325" s="21"/>
    </row>
    <row r="326" spans="1:13" ht="38.25" x14ac:dyDescent="0.25">
      <c r="A326" s="13" t="str">
        <f t="shared" si="42"/>
        <v>1</v>
      </c>
      <c r="B326" s="13" t="str">
        <f t="shared" si="43"/>
        <v>3</v>
      </c>
      <c r="C326" s="13" t="str">
        <f t="shared" si="44"/>
        <v>3</v>
      </c>
      <c r="D326" s="13" t="str">
        <f t="shared" si="45"/>
        <v>2</v>
      </c>
      <c r="E326" s="13" t="str">
        <f t="shared" si="46"/>
        <v>04</v>
      </c>
      <c r="F326" s="13" t="str">
        <f t="shared" si="47"/>
        <v>01</v>
      </c>
      <c r="G326" s="13" t="s">
        <v>353</v>
      </c>
      <c r="H326" s="13" t="s">
        <v>1947</v>
      </c>
      <c r="I326" s="16" t="s">
        <v>2117</v>
      </c>
      <c r="J326" s="13"/>
      <c r="K326" s="13"/>
      <c r="L326" s="13"/>
      <c r="M326" s="16"/>
    </row>
    <row r="327" spans="1:13" ht="38.25" x14ac:dyDescent="0.25">
      <c r="A327" s="13" t="str">
        <f t="shared" si="42"/>
        <v>1</v>
      </c>
      <c r="B327" s="13" t="str">
        <f t="shared" si="43"/>
        <v>3</v>
      </c>
      <c r="C327" s="13" t="str">
        <f t="shared" si="44"/>
        <v>3</v>
      </c>
      <c r="D327" s="13" t="str">
        <f t="shared" si="45"/>
        <v>2</v>
      </c>
      <c r="E327" s="13" t="str">
        <f t="shared" si="46"/>
        <v>04</v>
      </c>
      <c r="F327" s="13" t="str">
        <f t="shared" si="47"/>
        <v>02</v>
      </c>
      <c r="G327" s="13" t="s">
        <v>354</v>
      </c>
      <c r="H327" s="13" t="s">
        <v>1948</v>
      </c>
      <c r="I327" s="16" t="s">
        <v>2118</v>
      </c>
      <c r="J327" s="13"/>
      <c r="K327" s="13"/>
      <c r="L327" s="13"/>
      <c r="M327" s="16"/>
    </row>
    <row r="328" spans="1:13" ht="25.5" x14ac:dyDescent="0.25">
      <c r="A328" s="13" t="str">
        <f t="shared" si="42"/>
        <v>1</v>
      </c>
      <c r="B328" s="13" t="str">
        <f t="shared" si="43"/>
        <v>3</v>
      </c>
      <c r="C328" s="13" t="str">
        <f t="shared" si="44"/>
        <v>3</v>
      </c>
      <c r="D328" s="13" t="str">
        <f t="shared" si="45"/>
        <v>2</v>
      </c>
      <c r="E328" s="13" t="str">
        <f t="shared" si="46"/>
        <v>04</v>
      </c>
      <c r="F328" s="13" t="str">
        <f t="shared" si="47"/>
        <v>03</v>
      </c>
      <c r="G328" s="13" t="s">
        <v>355</v>
      </c>
      <c r="H328" s="13" t="s">
        <v>1949</v>
      </c>
      <c r="I328" s="16" t="s">
        <v>2119</v>
      </c>
      <c r="J328" s="13"/>
      <c r="K328" s="13"/>
      <c r="L328" s="13"/>
      <c r="M328" s="16"/>
    </row>
    <row r="329" spans="1:13" ht="38.25" x14ac:dyDescent="0.25">
      <c r="A329" s="13" t="str">
        <f t="shared" si="42"/>
        <v>1</v>
      </c>
      <c r="B329" s="13" t="str">
        <f t="shared" si="43"/>
        <v>3</v>
      </c>
      <c r="C329" s="13" t="str">
        <f t="shared" si="44"/>
        <v>3</v>
      </c>
      <c r="D329" s="13" t="str">
        <f t="shared" si="45"/>
        <v>2</v>
      </c>
      <c r="E329" s="13" t="str">
        <f t="shared" si="46"/>
        <v>04</v>
      </c>
      <c r="F329" s="13" t="str">
        <f t="shared" si="47"/>
        <v>04</v>
      </c>
      <c r="G329" s="13" t="s">
        <v>356</v>
      </c>
      <c r="H329" s="13" t="s">
        <v>1950</v>
      </c>
      <c r="I329" s="16" t="s">
        <v>2120</v>
      </c>
      <c r="J329" s="13"/>
      <c r="K329" s="13"/>
      <c r="L329" s="13"/>
      <c r="M329" s="16"/>
    </row>
    <row r="330" spans="1:13" ht="25.5" x14ac:dyDescent="0.25">
      <c r="A330" s="13" t="str">
        <f t="shared" si="42"/>
        <v>1</v>
      </c>
      <c r="B330" s="13" t="str">
        <f t="shared" si="43"/>
        <v>3</v>
      </c>
      <c r="C330" s="13" t="str">
        <f t="shared" si="44"/>
        <v>3</v>
      </c>
      <c r="D330" s="13" t="str">
        <f t="shared" si="45"/>
        <v>2</v>
      </c>
      <c r="E330" s="13" t="str">
        <f t="shared" si="46"/>
        <v>04</v>
      </c>
      <c r="F330" s="13" t="str">
        <f t="shared" si="47"/>
        <v>05</v>
      </c>
      <c r="G330" s="13" t="s">
        <v>357</v>
      </c>
      <c r="H330" s="13" t="s">
        <v>1951</v>
      </c>
      <c r="I330" s="16" t="s">
        <v>2121</v>
      </c>
      <c r="J330" s="13"/>
      <c r="K330" s="13"/>
      <c r="L330" s="13"/>
      <c r="M330" s="16"/>
    </row>
    <row r="331" spans="1:13" ht="25.5" x14ac:dyDescent="0.25">
      <c r="A331" s="13" t="str">
        <f t="shared" si="42"/>
        <v>1</v>
      </c>
      <c r="B331" s="13" t="str">
        <f t="shared" si="43"/>
        <v>3</v>
      </c>
      <c r="C331" s="13" t="str">
        <f t="shared" si="44"/>
        <v>3</v>
      </c>
      <c r="D331" s="13" t="str">
        <f t="shared" si="45"/>
        <v>2</v>
      </c>
      <c r="E331" s="13" t="str">
        <f t="shared" si="46"/>
        <v>04</v>
      </c>
      <c r="F331" s="13" t="str">
        <f t="shared" si="47"/>
        <v>06</v>
      </c>
      <c r="G331" s="13" t="s">
        <v>358</v>
      </c>
      <c r="H331" s="13" t="s">
        <v>1952</v>
      </c>
      <c r="I331" s="16" t="s">
        <v>2122</v>
      </c>
      <c r="J331" s="13"/>
      <c r="K331" s="13"/>
      <c r="L331" s="13"/>
      <c r="M331" s="16"/>
    </row>
    <row r="332" spans="1:13" ht="25.5" x14ac:dyDescent="0.25">
      <c r="A332" s="21" t="str">
        <f t="shared" si="42"/>
        <v>1</v>
      </c>
      <c r="B332" s="21" t="str">
        <f t="shared" si="43"/>
        <v>3</v>
      </c>
      <c r="C332" s="21" t="str">
        <f t="shared" si="44"/>
        <v>3</v>
      </c>
      <c r="D332" s="21" t="str">
        <f t="shared" si="45"/>
        <v>2</v>
      </c>
      <c r="E332" s="21" t="str">
        <f t="shared" si="46"/>
        <v>99</v>
      </c>
      <c r="F332" s="21" t="str">
        <f t="shared" si="47"/>
        <v>00</v>
      </c>
      <c r="G332" s="21" t="s">
        <v>359</v>
      </c>
      <c r="H332" s="21" t="s">
        <v>1953</v>
      </c>
      <c r="I332" s="22" t="s">
        <v>2123</v>
      </c>
      <c r="J332" s="21"/>
      <c r="K332" s="21"/>
      <c r="L332" s="21"/>
      <c r="M332" s="21"/>
    </row>
    <row r="333" spans="1:13" ht="25.5" x14ac:dyDescent="0.25">
      <c r="A333" s="19" t="str">
        <f t="shared" si="42"/>
        <v>1</v>
      </c>
      <c r="B333" s="19" t="str">
        <f t="shared" si="43"/>
        <v>3</v>
      </c>
      <c r="C333" s="19" t="str">
        <f t="shared" si="44"/>
        <v>3</v>
      </c>
      <c r="D333" s="19" t="str">
        <f t="shared" si="45"/>
        <v>3</v>
      </c>
      <c r="E333" s="19" t="str">
        <f t="shared" si="46"/>
        <v>00</v>
      </c>
      <c r="F333" s="19" t="str">
        <f t="shared" si="47"/>
        <v>00</v>
      </c>
      <c r="G333" s="19" t="s">
        <v>360</v>
      </c>
      <c r="H333" s="19" t="s">
        <v>1954</v>
      </c>
      <c r="I333" s="20" t="s">
        <v>2124</v>
      </c>
      <c r="J333" s="19"/>
      <c r="K333" s="19"/>
      <c r="L333" s="19"/>
      <c r="M333" s="20"/>
    </row>
    <row r="334" spans="1:13" ht="25.5" x14ac:dyDescent="0.25">
      <c r="A334" s="21" t="str">
        <f t="shared" si="42"/>
        <v>1</v>
      </c>
      <c r="B334" s="21" t="str">
        <f t="shared" si="43"/>
        <v>3</v>
      </c>
      <c r="C334" s="21" t="str">
        <f t="shared" si="44"/>
        <v>3</v>
      </c>
      <c r="D334" s="21" t="str">
        <f t="shared" si="45"/>
        <v>3</v>
      </c>
      <c r="E334" s="21" t="str">
        <f t="shared" si="46"/>
        <v>01</v>
      </c>
      <c r="F334" s="21" t="str">
        <f t="shared" si="47"/>
        <v>00</v>
      </c>
      <c r="G334" s="21" t="s">
        <v>361</v>
      </c>
      <c r="H334" s="21" t="s">
        <v>1955</v>
      </c>
      <c r="I334" s="22" t="s">
        <v>2125</v>
      </c>
      <c r="J334" s="21"/>
      <c r="K334" s="21"/>
      <c r="L334" s="21"/>
      <c r="M334" s="21"/>
    </row>
    <row r="335" spans="1:13" ht="38.25" x14ac:dyDescent="0.25">
      <c r="A335" s="21" t="str">
        <f t="shared" si="42"/>
        <v>1</v>
      </c>
      <c r="B335" s="21" t="str">
        <f t="shared" si="43"/>
        <v>3</v>
      </c>
      <c r="C335" s="21" t="str">
        <f t="shared" si="44"/>
        <v>3</v>
      </c>
      <c r="D335" s="21" t="str">
        <f t="shared" si="45"/>
        <v>3</v>
      </c>
      <c r="E335" s="21" t="str">
        <f t="shared" si="46"/>
        <v>02</v>
      </c>
      <c r="F335" s="21" t="str">
        <f t="shared" si="47"/>
        <v>00</v>
      </c>
      <c r="G335" s="21" t="s">
        <v>362</v>
      </c>
      <c r="H335" s="21" t="s">
        <v>1956</v>
      </c>
      <c r="I335" s="22" t="s">
        <v>2126</v>
      </c>
      <c r="J335" s="21"/>
      <c r="K335" s="21"/>
      <c r="L335" s="21"/>
      <c r="M335" s="21"/>
    </row>
    <row r="336" spans="1:13" ht="25.5" x14ac:dyDescent="0.25">
      <c r="A336" s="21" t="str">
        <f t="shared" si="42"/>
        <v>1</v>
      </c>
      <c r="B336" s="21" t="str">
        <f t="shared" si="43"/>
        <v>3</v>
      </c>
      <c r="C336" s="21" t="str">
        <f t="shared" si="44"/>
        <v>3</v>
      </c>
      <c r="D336" s="21" t="str">
        <f t="shared" si="45"/>
        <v>3</v>
      </c>
      <c r="E336" s="21" t="str">
        <f t="shared" si="46"/>
        <v>03</v>
      </c>
      <c r="F336" s="21" t="str">
        <f t="shared" si="47"/>
        <v>00</v>
      </c>
      <c r="G336" s="21" t="s">
        <v>363</v>
      </c>
      <c r="H336" s="21" t="s">
        <v>1957</v>
      </c>
      <c r="I336" s="22" t="s">
        <v>2127</v>
      </c>
      <c r="J336" s="21"/>
      <c r="K336" s="21"/>
      <c r="L336" s="21"/>
      <c r="M336" s="21"/>
    </row>
    <row r="337" spans="1:13" ht="25.5" x14ac:dyDescent="0.25">
      <c r="A337" s="21" t="str">
        <f t="shared" si="42"/>
        <v>1</v>
      </c>
      <c r="B337" s="21" t="str">
        <f t="shared" si="43"/>
        <v>3</v>
      </c>
      <c r="C337" s="21" t="str">
        <f t="shared" si="44"/>
        <v>3</v>
      </c>
      <c r="D337" s="21" t="str">
        <f t="shared" si="45"/>
        <v>3</v>
      </c>
      <c r="E337" s="21" t="str">
        <f t="shared" si="46"/>
        <v>04</v>
      </c>
      <c r="F337" s="21" t="str">
        <f t="shared" si="47"/>
        <v>00</v>
      </c>
      <c r="G337" s="21" t="s">
        <v>364</v>
      </c>
      <c r="H337" s="21" t="s">
        <v>1958</v>
      </c>
      <c r="I337" s="22" t="s">
        <v>2128</v>
      </c>
      <c r="J337" s="21"/>
      <c r="K337" s="21"/>
      <c r="L337" s="21"/>
      <c r="M337" s="21"/>
    </row>
    <row r="338" spans="1:13" ht="25.5" x14ac:dyDescent="0.25">
      <c r="A338" s="21" t="str">
        <f t="shared" si="42"/>
        <v>1</v>
      </c>
      <c r="B338" s="21" t="str">
        <f t="shared" si="43"/>
        <v>3</v>
      </c>
      <c r="C338" s="21" t="str">
        <f t="shared" si="44"/>
        <v>3</v>
      </c>
      <c r="D338" s="21" t="str">
        <f t="shared" si="45"/>
        <v>3</v>
      </c>
      <c r="E338" s="21" t="str">
        <f t="shared" si="46"/>
        <v>05</v>
      </c>
      <c r="F338" s="21" t="str">
        <f t="shared" si="47"/>
        <v>00</v>
      </c>
      <c r="G338" s="21" t="s">
        <v>365</v>
      </c>
      <c r="H338" s="21" t="s">
        <v>1959</v>
      </c>
      <c r="I338" s="22" t="s">
        <v>4022</v>
      </c>
      <c r="J338" s="21"/>
      <c r="K338" s="21" t="s">
        <v>4018</v>
      </c>
      <c r="L338" s="21" t="s">
        <v>4211</v>
      </c>
      <c r="M338" s="21"/>
    </row>
    <row r="339" spans="1:13" ht="38.25" x14ac:dyDescent="0.25">
      <c r="A339" s="21" t="str">
        <f t="shared" si="42"/>
        <v>1</v>
      </c>
      <c r="B339" s="21" t="str">
        <f t="shared" si="43"/>
        <v>3</v>
      </c>
      <c r="C339" s="21" t="str">
        <f t="shared" si="44"/>
        <v>3</v>
      </c>
      <c r="D339" s="21" t="str">
        <f t="shared" si="45"/>
        <v>3</v>
      </c>
      <c r="E339" s="21" t="str">
        <f t="shared" si="46"/>
        <v>06</v>
      </c>
      <c r="F339" s="21" t="str">
        <f t="shared" si="47"/>
        <v>00</v>
      </c>
      <c r="G339" s="21" t="s">
        <v>366</v>
      </c>
      <c r="H339" s="21" t="s">
        <v>1960</v>
      </c>
      <c r="I339" s="22" t="s">
        <v>3949</v>
      </c>
      <c r="J339" s="21"/>
      <c r="K339" s="21" t="s">
        <v>46</v>
      </c>
      <c r="L339" s="21" t="s">
        <v>4212</v>
      </c>
      <c r="M339" s="21"/>
    </row>
    <row r="340" spans="1:13" ht="38.25" x14ac:dyDescent="0.25">
      <c r="A340" s="21" t="str">
        <f t="shared" si="42"/>
        <v>1</v>
      </c>
      <c r="B340" s="21" t="str">
        <f t="shared" si="43"/>
        <v>3</v>
      </c>
      <c r="C340" s="21" t="str">
        <f t="shared" si="44"/>
        <v>3</v>
      </c>
      <c r="D340" s="21" t="str">
        <f t="shared" si="45"/>
        <v>3</v>
      </c>
      <c r="E340" s="21" t="str">
        <f t="shared" si="46"/>
        <v>07</v>
      </c>
      <c r="F340" s="21" t="str">
        <f t="shared" si="47"/>
        <v>00</v>
      </c>
      <c r="G340" s="21" t="s">
        <v>367</v>
      </c>
      <c r="H340" s="21" t="s">
        <v>1961</v>
      </c>
      <c r="I340" s="22" t="s">
        <v>3950</v>
      </c>
      <c r="J340" s="21"/>
      <c r="K340" s="21" t="s">
        <v>46</v>
      </c>
      <c r="L340" s="21" t="s">
        <v>4212</v>
      </c>
      <c r="M340" s="21"/>
    </row>
    <row r="341" spans="1:13" ht="38.25" x14ac:dyDescent="0.25">
      <c r="A341" s="21" t="str">
        <f t="shared" si="42"/>
        <v>1</v>
      </c>
      <c r="B341" s="21" t="str">
        <f t="shared" si="43"/>
        <v>3</v>
      </c>
      <c r="C341" s="21" t="str">
        <f t="shared" si="44"/>
        <v>3</v>
      </c>
      <c r="D341" s="21" t="str">
        <f t="shared" si="45"/>
        <v>3</v>
      </c>
      <c r="E341" s="21" t="str">
        <f t="shared" si="46"/>
        <v>99</v>
      </c>
      <c r="F341" s="21" t="str">
        <f t="shared" si="47"/>
        <v>00</v>
      </c>
      <c r="G341" s="21" t="s">
        <v>368</v>
      </c>
      <c r="H341" s="21" t="s">
        <v>1962</v>
      </c>
      <c r="I341" s="22" t="s">
        <v>2129</v>
      </c>
      <c r="J341" s="21"/>
      <c r="K341" s="21"/>
      <c r="L341" s="21"/>
      <c r="M341" s="21"/>
    </row>
    <row r="342" spans="1:13" ht="25.5" x14ac:dyDescent="0.25">
      <c r="A342" s="19" t="str">
        <f t="shared" si="42"/>
        <v>1</v>
      </c>
      <c r="B342" s="19" t="str">
        <f t="shared" si="43"/>
        <v>3</v>
      </c>
      <c r="C342" s="19" t="str">
        <f t="shared" si="44"/>
        <v>3</v>
      </c>
      <c r="D342" s="19" t="str">
        <f t="shared" si="45"/>
        <v>9</v>
      </c>
      <c r="E342" s="19" t="str">
        <f t="shared" si="46"/>
        <v>00</v>
      </c>
      <c r="F342" s="19" t="str">
        <f t="shared" si="47"/>
        <v>00</v>
      </c>
      <c r="G342" s="19" t="s">
        <v>369</v>
      </c>
      <c r="H342" s="19" t="s">
        <v>1963</v>
      </c>
      <c r="I342" s="20" t="s">
        <v>2130</v>
      </c>
      <c r="J342" s="19"/>
      <c r="K342" s="19"/>
      <c r="L342" s="19"/>
      <c r="M342" s="20"/>
    </row>
    <row r="343" spans="1:13" ht="25.5" x14ac:dyDescent="0.25">
      <c r="A343" s="12" t="str">
        <f t="shared" si="42"/>
        <v>1</v>
      </c>
      <c r="B343" s="12" t="str">
        <f t="shared" si="43"/>
        <v>3</v>
      </c>
      <c r="C343" s="12" t="str">
        <f t="shared" si="44"/>
        <v>4</v>
      </c>
      <c r="D343" s="12" t="str">
        <f t="shared" si="45"/>
        <v>0</v>
      </c>
      <c r="E343" s="12" t="str">
        <f t="shared" si="46"/>
        <v>00</v>
      </c>
      <c r="F343" s="12" t="str">
        <f t="shared" si="47"/>
        <v>00</v>
      </c>
      <c r="G343" s="12" t="s">
        <v>370</v>
      </c>
      <c r="H343" s="12" t="s">
        <v>1964</v>
      </c>
      <c r="I343" s="15" t="s">
        <v>2131</v>
      </c>
      <c r="J343" s="12"/>
      <c r="K343" s="12"/>
      <c r="L343" s="12"/>
      <c r="M343" s="15"/>
    </row>
    <row r="344" spans="1:13" x14ac:dyDescent="0.25">
      <c r="A344" s="21" t="str">
        <f t="shared" si="42"/>
        <v>1</v>
      </c>
      <c r="B344" s="21" t="str">
        <f t="shared" si="43"/>
        <v>3</v>
      </c>
      <c r="C344" s="21" t="str">
        <f t="shared" si="44"/>
        <v>4</v>
      </c>
      <c r="D344" s="21" t="str">
        <f t="shared" si="45"/>
        <v>0</v>
      </c>
      <c r="E344" s="21" t="str">
        <f t="shared" si="46"/>
        <v>01</v>
      </c>
      <c r="F344" s="21" t="str">
        <f t="shared" si="47"/>
        <v>00</v>
      </c>
      <c r="G344" s="21" t="s">
        <v>371</v>
      </c>
      <c r="H344" s="21" t="s">
        <v>1965</v>
      </c>
      <c r="I344" s="22" t="s">
        <v>2132</v>
      </c>
      <c r="J344" s="21"/>
      <c r="K344" s="21"/>
      <c r="L344" s="21"/>
      <c r="M344" s="21"/>
    </row>
    <row r="345" spans="1:13" ht="25.5" x14ac:dyDescent="0.25">
      <c r="A345" s="21" t="str">
        <f t="shared" si="42"/>
        <v>1</v>
      </c>
      <c r="B345" s="21" t="str">
        <f t="shared" si="43"/>
        <v>3</v>
      </c>
      <c r="C345" s="21" t="str">
        <f t="shared" si="44"/>
        <v>4</v>
      </c>
      <c r="D345" s="21" t="str">
        <f t="shared" si="45"/>
        <v>0</v>
      </c>
      <c r="E345" s="21" t="str">
        <f t="shared" si="46"/>
        <v>02</v>
      </c>
      <c r="F345" s="21" t="str">
        <f t="shared" si="47"/>
        <v>00</v>
      </c>
      <c r="G345" s="21" t="s">
        <v>372</v>
      </c>
      <c r="H345" s="21" t="s">
        <v>1966</v>
      </c>
      <c r="I345" s="22" t="s">
        <v>2133</v>
      </c>
      <c r="J345" s="21"/>
      <c r="K345" s="21"/>
      <c r="L345" s="21"/>
      <c r="M345" s="21"/>
    </row>
    <row r="346" spans="1:13" x14ac:dyDescent="0.25">
      <c r="A346" s="21" t="str">
        <f t="shared" si="42"/>
        <v>1</v>
      </c>
      <c r="B346" s="21" t="str">
        <f t="shared" si="43"/>
        <v>3</v>
      </c>
      <c r="C346" s="21" t="str">
        <f t="shared" si="44"/>
        <v>4</v>
      </c>
      <c r="D346" s="21" t="str">
        <f t="shared" si="45"/>
        <v>0</v>
      </c>
      <c r="E346" s="21" t="str">
        <f t="shared" si="46"/>
        <v>03</v>
      </c>
      <c r="F346" s="21" t="str">
        <f t="shared" si="47"/>
        <v>00</v>
      </c>
      <c r="G346" s="21" t="s">
        <v>373</v>
      </c>
      <c r="H346" s="21" t="s">
        <v>1967</v>
      </c>
      <c r="I346" s="22" t="s">
        <v>2134</v>
      </c>
      <c r="J346" s="21"/>
      <c r="K346" s="21"/>
      <c r="L346" s="21"/>
      <c r="M346" s="21"/>
    </row>
    <row r="347" spans="1:13" s="24" customFormat="1" ht="25.5" x14ac:dyDescent="0.2">
      <c r="A347" s="25" t="str">
        <f t="shared" ref="A347:A367" si="48">MID(G347,1,1)</f>
        <v>1</v>
      </c>
      <c r="B347" s="25" t="str">
        <f t="shared" ref="B347:B367" si="49">MID(G347,2,1)</f>
        <v>3</v>
      </c>
      <c r="C347" s="25" t="str">
        <f t="shared" ref="C347:C367" si="50">MID(G347,3,1)</f>
        <v>4</v>
      </c>
      <c r="D347" s="25" t="str">
        <f t="shared" ref="D347:D367" si="51">MID(G347,4,1)</f>
        <v>0</v>
      </c>
      <c r="E347" s="25" t="str">
        <f t="shared" ref="E347:E367" si="52">MID(G347,6,2)</f>
        <v>04</v>
      </c>
      <c r="F347" s="25" t="str">
        <f t="shared" ref="F347:F367" si="53">MID(G347,9,2)</f>
        <v>00</v>
      </c>
      <c r="G347" s="25" t="s">
        <v>2048</v>
      </c>
      <c r="H347" s="25" t="s">
        <v>1968</v>
      </c>
      <c r="I347" s="26" t="s">
        <v>4034</v>
      </c>
      <c r="J347" s="31"/>
      <c r="K347" s="31" t="s">
        <v>3947</v>
      </c>
      <c r="L347" s="31" t="s">
        <v>4213</v>
      </c>
      <c r="M347" s="31"/>
    </row>
    <row r="348" spans="1:13" s="24" customFormat="1" ht="38.25" x14ac:dyDescent="0.2">
      <c r="A348" s="25" t="str">
        <f t="shared" si="48"/>
        <v>1</v>
      </c>
      <c r="B348" s="25" t="str">
        <f t="shared" si="49"/>
        <v>3</v>
      </c>
      <c r="C348" s="25" t="str">
        <f t="shared" si="50"/>
        <v>4</v>
      </c>
      <c r="D348" s="25" t="str">
        <f t="shared" si="51"/>
        <v>0</v>
      </c>
      <c r="E348" s="25" t="str">
        <f t="shared" si="52"/>
        <v>05</v>
      </c>
      <c r="F348" s="25" t="str">
        <f t="shared" si="53"/>
        <v>00</v>
      </c>
      <c r="G348" s="25" t="s">
        <v>2049</v>
      </c>
      <c r="H348" s="25" t="s">
        <v>1969</v>
      </c>
      <c r="I348" s="26" t="s">
        <v>4033</v>
      </c>
      <c r="J348" s="31"/>
      <c r="K348" s="31" t="s">
        <v>3947</v>
      </c>
      <c r="L348" s="31" t="s">
        <v>4213</v>
      </c>
      <c r="M348" s="31"/>
    </row>
    <row r="349" spans="1:13" s="24" customFormat="1" ht="63.75" x14ac:dyDescent="0.2">
      <c r="A349" s="27" t="str">
        <f t="shared" si="48"/>
        <v>1</v>
      </c>
      <c r="B349" s="27" t="str">
        <f t="shared" si="49"/>
        <v>3</v>
      </c>
      <c r="C349" s="27" t="str">
        <f t="shared" si="50"/>
        <v>4</v>
      </c>
      <c r="D349" s="27" t="str">
        <f t="shared" si="51"/>
        <v>0</v>
      </c>
      <c r="E349" s="27" t="str">
        <f t="shared" si="52"/>
        <v>05</v>
      </c>
      <c r="F349" s="27" t="str">
        <f t="shared" si="53"/>
        <v>01</v>
      </c>
      <c r="G349" s="27" t="s">
        <v>2050</v>
      </c>
      <c r="H349" s="27" t="s">
        <v>1970</v>
      </c>
      <c r="I349" s="28" t="s">
        <v>4045</v>
      </c>
      <c r="J349" s="32"/>
      <c r="K349" s="32" t="s">
        <v>3947</v>
      </c>
      <c r="L349" s="32" t="s">
        <v>4213</v>
      </c>
      <c r="M349" s="35"/>
    </row>
    <row r="350" spans="1:13" s="24" customFormat="1" ht="63.75" x14ac:dyDescent="0.2">
      <c r="A350" s="27" t="str">
        <f t="shared" si="48"/>
        <v>1</v>
      </c>
      <c r="B350" s="27" t="str">
        <f t="shared" si="49"/>
        <v>3</v>
      </c>
      <c r="C350" s="27" t="str">
        <f t="shared" si="50"/>
        <v>4</v>
      </c>
      <c r="D350" s="27" t="str">
        <f t="shared" si="51"/>
        <v>0</v>
      </c>
      <c r="E350" s="27" t="str">
        <f t="shared" si="52"/>
        <v>05</v>
      </c>
      <c r="F350" s="27" t="str">
        <f t="shared" si="53"/>
        <v>02</v>
      </c>
      <c r="G350" s="27" t="s">
        <v>2051</v>
      </c>
      <c r="H350" s="27" t="s">
        <v>1971</v>
      </c>
      <c r="I350" s="28" t="s">
        <v>4110</v>
      </c>
      <c r="J350" s="32"/>
      <c r="K350" s="32" t="s">
        <v>3947</v>
      </c>
      <c r="L350" s="32" t="s">
        <v>4213</v>
      </c>
      <c r="M350" s="35"/>
    </row>
    <row r="351" spans="1:13" s="24" customFormat="1" ht="38.25" x14ac:dyDescent="0.2">
      <c r="A351" s="27" t="str">
        <f t="shared" si="48"/>
        <v>1</v>
      </c>
      <c r="B351" s="27" t="str">
        <f t="shared" si="49"/>
        <v>3</v>
      </c>
      <c r="C351" s="27" t="str">
        <f t="shared" si="50"/>
        <v>4</v>
      </c>
      <c r="D351" s="27" t="str">
        <f t="shared" si="51"/>
        <v>0</v>
      </c>
      <c r="E351" s="27" t="str">
        <f t="shared" si="52"/>
        <v>05</v>
      </c>
      <c r="F351" s="27" t="str">
        <f t="shared" si="53"/>
        <v>03</v>
      </c>
      <c r="G351" s="27" t="s">
        <v>2052</v>
      </c>
      <c r="H351" s="27" t="s">
        <v>1972</v>
      </c>
      <c r="I351" s="28" t="s">
        <v>4044</v>
      </c>
      <c r="J351" s="32"/>
      <c r="K351" s="32" t="s">
        <v>3947</v>
      </c>
      <c r="L351" s="32" t="s">
        <v>4213</v>
      </c>
      <c r="M351" s="35"/>
    </row>
    <row r="352" spans="1:13" s="24" customFormat="1" ht="38.25" x14ac:dyDescent="0.2">
      <c r="A352" s="25" t="str">
        <f t="shared" si="48"/>
        <v>1</v>
      </c>
      <c r="B352" s="25" t="str">
        <f t="shared" si="49"/>
        <v>3</v>
      </c>
      <c r="C352" s="25" t="str">
        <f t="shared" si="50"/>
        <v>4</v>
      </c>
      <c r="D352" s="25" t="str">
        <f t="shared" si="51"/>
        <v>0</v>
      </c>
      <c r="E352" s="25" t="str">
        <f t="shared" si="52"/>
        <v>06</v>
      </c>
      <c r="F352" s="25" t="str">
        <f t="shared" si="53"/>
        <v>00</v>
      </c>
      <c r="G352" s="25" t="s">
        <v>2053</v>
      </c>
      <c r="H352" s="25" t="s">
        <v>1973</v>
      </c>
      <c r="I352" s="26" t="s">
        <v>4043</v>
      </c>
      <c r="J352" s="31"/>
      <c r="K352" s="31" t="s">
        <v>3947</v>
      </c>
      <c r="L352" s="31" t="s">
        <v>4213</v>
      </c>
      <c r="M352" s="31"/>
    </row>
    <row r="353" spans="1:13" s="24" customFormat="1" ht="38.25" x14ac:dyDescent="0.2">
      <c r="A353" s="25" t="str">
        <f t="shared" si="48"/>
        <v>1</v>
      </c>
      <c r="B353" s="25" t="str">
        <f t="shared" si="49"/>
        <v>3</v>
      </c>
      <c r="C353" s="25" t="str">
        <f t="shared" si="50"/>
        <v>4</v>
      </c>
      <c r="D353" s="25" t="str">
        <f t="shared" si="51"/>
        <v>0</v>
      </c>
      <c r="E353" s="25" t="str">
        <f t="shared" si="52"/>
        <v>07</v>
      </c>
      <c r="F353" s="25" t="str">
        <f t="shared" si="53"/>
        <v>00</v>
      </c>
      <c r="G353" s="25" t="s">
        <v>2054</v>
      </c>
      <c r="H353" s="25" t="s">
        <v>1974</v>
      </c>
      <c r="I353" s="26" t="s">
        <v>4042</v>
      </c>
      <c r="J353" s="31"/>
      <c r="K353" s="31" t="s">
        <v>3947</v>
      </c>
      <c r="L353" s="31" t="s">
        <v>4213</v>
      </c>
      <c r="M353" s="31"/>
    </row>
    <row r="354" spans="1:13" s="24" customFormat="1" ht="63.75" x14ac:dyDescent="0.2">
      <c r="A354" s="27" t="str">
        <f t="shared" si="48"/>
        <v>1</v>
      </c>
      <c r="B354" s="27" t="str">
        <f t="shared" si="49"/>
        <v>3</v>
      </c>
      <c r="C354" s="27" t="str">
        <f t="shared" si="50"/>
        <v>4</v>
      </c>
      <c r="D354" s="27" t="str">
        <f t="shared" si="51"/>
        <v>0</v>
      </c>
      <c r="E354" s="27" t="str">
        <f t="shared" si="52"/>
        <v>07</v>
      </c>
      <c r="F354" s="27" t="str">
        <f t="shared" si="53"/>
        <v>01</v>
      </c>
      <c r="G354" s="27" t="s">
        <v>2055</v>
      </c>
      <c r="H354" s="27" t="s">
        <v>1975</v>
      </c>
      <c r="I354" s="28" t="s">
        <v>4041</v>
      </c>
      <c r="J354" s="32"/>
      <c r="K354" s="32" t="s">
        <v>3947</v>
      </c>
      <c r="L354" s="32" t="s">
        <v>4213</v>
      </c>
      <c r="M354" s="35"/>
    </row>
    <row r="355" spans="1:13" s="24" customFormat="1" ht="63.75" x14ac:dyDescent="0.2">
      <c r="A355" s="27" t="str">
        <f t="shared" si="48"/>
        <v>1</v>
      </c>
      <c r="B355" s="27" t="str">
        <f t="shared" si="49"/>
        <v>3</v>
      </c>
      <c r="C355" s="27" t="str">
        <f t="shared" si="50"/>
        <v>4</v>
      </c>
      <c r="D355" s="27" t="str">
        <f t="shared" si="51"/>
        <v>0</v>
      </c>
      <c r="E355" s="27" t="str">
        <f t="shared" si="52"/>
        <v>07</v>
      </c>
      <c r="F355" s="27" t="str">
        <f t="shared" si="53"/>
        <v>02</v>
      </c>
      <c r="G355" s="27" t="s">
        <v>2056</v>
      </c>
      <c r="H355" s="27" t="s">
        <v>1976</v>
      </c>
      <c r="I355" s="28" t="s">
        <v>4040</v>
      </c>
      <c r="J355" s="32"/>
      <c r="K355" s="32" t="s">
        <v>3947</v>
      </c>
      <c r="L355" s="32" t="s">
        <v>4213</v>
      </c>
      <c r="M355" s="35"/>
    </row>
    <row r="356" spans="1:13" s="24" customFormat="1" ht="38.25" x14ac:dyDescent="0.2">
      <c r="A356" s="27" t="str">
        <f t="shared" si="48"/>
        <v>1</v>
      </c>
      <c r="B356" s="27" t="str">
        <f t="shared" si="49"/>
        <v>3</v>
      </c>
      <c r="C356" s="27" t="str">
        <f t="shared" si="50"/>
        <v>4</v>
      </c>
      <c r="D356" s="27" t="str">
        <f t="shared" si="51"/>
        <v>0</v>
      </c>
      <c r="E356" s="27" t="str">
        <f t="shared" si="52"/>
        <v>07</v>
      </c>
      <c r="F356" s="27" t="str">
        <f t="shared" si="53"/>
        <v>03</v>
      </c>
      <c r="G356" s="27" t="s">
        <v>2057</v>
      </c>
      <c r="H356" s="27" t="s">
        <v>1977</v>
      </c>
      <c r="I356" s="28" t="s">
        <v>4039</v>
      </c>
      <c r="J356" s="32"/>
      <c r="K356" s="32" t="s">
        <v>3947</v>
      </c>
      <c r="L356" s="32" t="s">
        <v>4213</v>
      </c>
      <c r="M356" s="35"/>
    </row>
    <row r="357" spans="1:13" s="24" customFormat="1" ht="25.5" x14ac:dyDescent="0.2">
      <c r="A357" s="25" t="str">
        <f t="shared" si="48"/>
        <v>1</v>
      </c>
      <c r="B357" s="25" t="str">
        <f t="shared" si="49"/>
        <v>3</v>
      </c>
      <c r="C357" s="25" t="str">
        <f t="shared" si="50"/>
        <v>4</v>
      </c>
      <c r="D357" s="25" t="str">
        <f t="shared" si="51"/>
        <v>0</v>
      </c>
      <c r="E357" s="25" t="str">
        <f t="shared" si="52"/>
        <v>08</v>
      </c>
      <c r="F357" s="25" t="str">
        <f t="shared" si="53"/>
        <v>00</v>
      </c>
      <c r="G357" s="25" t="s">
        <v>2058</v>
      </c>
      <c r="H357" s="25" t="s">
        <v>1978</v>
      </c>
      <c r="I357" s="26" t="s">
        <v>4038</v>
      </c>
      <c r="J357" s="31"/>
      <c r="K357" s="31" t="s">
        <v>3947</v>
      </c>
      <c r="L357" s="31" t="s">
        <v>4213</v>
      </c>
      <c r="M357" s="31"/>
    </row>
    <row r="358" spans="1:13" s="24" customFormat="1" ht="51" x14ac:dyDescent="0.2">
      <c r="A358" s="27" t="str">
        <f t="shared" si="48"/>
        <v>1</v>
      </c>
      <c r="B358" s="27" t="str">
        <f t="shared" si="49"/>
        <v>3</v>
      </c>
      <c r="C358" s="27" t="str">
        <f t="shared" si="50"/>
        <v>4</v>
      </c>
      <c r="D358" s="27" t="str">
        <f t="shared" si="51"/>
        <v>0</v>
      </c>
      <c r="E358" s="27" t="str">
        <f t="shared" si="52"/>
        <v>08</v>
      </c>
      <c r="F358" s="27" t="str">
        <f t="shared" si="53"/>
        <v>01</v>
      </c>
      <c r="G358" s="27" t="s">
        <v>2059</v>
      </c>
      <c r="H358" s="27" t="s">
        <v>1979</v>
      </c>
      <c r="I358" s="28" t="s">
        <v>4037</v>
      </c>
      <c r="J358" s="32"/>
      <c r="K358" s="32" t="s">
        <v>3947</v>
      </c>
      <c r="L358" s="32" t="s">
        <v>4213</v>
      </c>
      <c r="M358" s="35"/>
    </row>
    <row r="359" spans="1:13" s="24" customFormat="1" ht="63.75" x14ac:dyDescent="0.2">
      <c r="A359" s="27" t="str">
        <f t="shared" si="48"/>
        <v>1</v>
      </c>
      <c r="B359" s="27" t="str">
        <f t="shared" si="49"/>
        <v>3</v>
      </c>
      <c r="C359" s="27" t="str">
        <f t="shared" si="50"/>
        <v>4</v>
      </c>
      <c r="D359" s="27" t="str">
        <f t="shared" si="51"/>
        <v>0</v>
      </c>
      <c r="E359" s="27" t="str">
        <f t="shared" si="52"/>
        <v>08</v>
      </c>
      <c r="F359" s="27" t="str">
        <f t="shared" si="53"/>
        <v>02</v>
      </c>
      <c r="G359" s="27" t="s">
        <v>2060</v>
      </c>
      <c r="H359" s="27" t="s">
        <v>1980</v>
      </c>
      <c r="I359" s="28" t="s">
        <v>4036</v>
      </c>
      <c r="J359" s="32"/>
      <c r="K359" s="32" t="s">
        <v>3947</v>
      </c>
      <c r="L359" s="32" t="s">
        <v>4213</v>
      </c>
      <c r="M359" s="35"/>
    </row>
    <row r="360" spans="1:13" s="24" customFormat="1" ht="38.25" x14ac:dyDescent="0.2">
      <c r="A360" s="27" t="str">
        <f t="shared" si="48"/>
        <v>1</v>
      </c>
      <c r="B360" s="27" t="str">
        <f t="shared" si="49"/>
        <v>3</v>
      </c>
      <c r="C360" s="27" t="str">
        <f t="shared" si="50"/>
        <v>4</v>
      </c>
      <c r="D360" s="27" t="str">
        <f t="shared" si="51"/>
        <v>0</v>
      </c>
      <c r="E360" s="27" t="str">
        <f t="shared" si="52"/>
        <v>08</v>
      </c>
      <c r="F360" s="27" t="str">
        <f t="shared" si="53"/>
        <v>03</v>
      </c>
      <c r="G360" s="27" t="s">
        <v>2061</v>
      </c>
      <c r="H360" s="27" t="s">
        <v>1981</v>
      </c>
      <c r="I360" s="28" t="s">
        <v>4035</v>
      </c>
      <c r="J360" s="32"/>
      <c r="K360" s="32" t="s">
        <v>3947</v>
      </c>
      <c r="L360" s="32" t="s">
        <v>4213</v>
      </c>
      <c r="M360" s="35"/>
    </row>
    <row r="361" spans="1:13" s="24" customFormat="1" ht="51" x14ac:dyDescent="0.2">
      <c r="A361" s="21" t="str">
        <f t="shared" si="48"/>
        <v>1</v>
      </c>
      <c r="B361" s="21" t="str">
        <f t="shared" si="49"/>
        <v>3</v>
      </c>
      <c r="C361" s="21" t="str">
        <f t="shared" si="50"/>
        <v>4</v>
      </c>
      <c r="D361" s="21" t="str">
        <f t="shared" si="51"/>
        <v>0</v>
      </c>
      <c r="E361" s="21" t="str">
        <f t="shared" si="52"/>
        <v>09</v>
      </c>
      <c r="F361" s="21" t="str">
        <f t="shared" si="53"/>
        <v>00</v>
      </c>
      <c r="G361" s="21" t="s">
        <v>374</v>
      </c>
      <c r="H361" s="21" t="s">
        <v>1982</v>
      </c>
      <c r="I361" s="22" t="s">
        <v>2135</v>
      </c>
      <c r="J361" s="21"/>
      <c r="K361" s="21"/>
      <c r="L361" s="21"/>
      <c r="M361" s="21"/>
    </row>
    <row r="362" spans="1:13" s="24" customFormat="1" ht="25.5" x14ac:dyDescent="0.2">
      <c r="A362" s="25" t="str">
        <f t="shared" si="48"/>
        <v>1</v>
      </c>
      <c r="B362" s="25" t="str">
        <f t="shared" si="49"/>
        <v>3</v>
      </c>
      <c r="C362" s="25" t="str">
        <f t="shared" si="50"/>
        <v>4</v>
      </c>
      <c r="D362" s="25" t="str">
        <f t="shared" si="51"/>
        <v>0</v>
      </c>
      <c r="E362" s="25" t="str">
        <f t="shared" si="52"/>
        <v>10</v>
      </c>
      <c r="F362" s="25" t="str">
        <f t="shared" si="53"/>
        <v>00</v>
      </c>
      <c r="G362" s="25" t="s">
        <v>2062</v>
      </c>
      <c r="H362" s="25" t="s">
        <v>1983</v>
      </c>
      <c r="I362" s="26" t="s">
        <v>4047</v>
      </c>
      <c r="J362" s="31"/>
      <c r="K362" s="31" t="s">
        <v>3947</v>
      </c>
      <c r="L362" s="31" t="s">
        <v>4213</v>
      </c>
      <c r="M362" s="31"/>
    </row>
    <row r="363" spans="1:13" s="24" customFormat="1" ht="38.25" x14ac:dyDescent="0.2">
      <c r="A363" s="27" t="str">
        <f t="shared" si="48"/>
        <v>1</v>
      </c>
      <c r="B363" s="27" t="str">
        <f t="shared" si="49"/>
        <v>3</v>
      </c>
      <c r="C363" s="27" t="str">
        <f t="shared" si="50"/>
        <v>4</v>
      </c>
      <c r="D363" s="27" t="str">
        <f t="shared" si="51"/>
        <v>0</v>
      </c>
      <c r="E363" s="27" t="str">
        <f t="shared" si="52"/>
        <v>10</v>
      </c>
      <c r="F363" s="27" t="str">
        <f t="shared" si="53"/>
        <v>01</v>
      </c>
      <c r="G363" s="27" t="s">
        <v>2063</v>
      </c>
      <c r="H363" s="27" t="s">
        <v>1984</v>
      </c>
      <c r="I363" s="28" t="s">
        <v>4048</v>
      </c>
      <c r="J363" s="32"/>
      <c r="K363" s="32" t="s">
        <v>3947</v>
      </c>
      <c r="L363" s="32" t="s">
        <v>4213</v>
      </c>
      <c r="M363" s="35"/>
    </row>
    <row r="364" spans="1:13" s="24" customFormat="1" ht="38.25" x14ac:dyDescent="0.2">
      <c r="A364" s="27" t="str">
        <f t="shared" si="48"/>
        <v>1</v>
      </c>
      <c r="B364" s="27" t="str">
        <f t="shared" si="49"/>
        <v>3</v>
      </c>
      <c r="C364" s="27" t="str">
        <f t="shared" si="50"/>
        <v>4</v>
      </c>
      <c r="D364" s="27" t="str">
        <f t="shared" si="51"/>
        <v>0</v>
      </c>
      <c r="E364" s="27" t="str">
        <f t="shared" si="52"/>
        <v>10</v>
      </c>
      <c r="F364" s="27" t="str">
        <f t="shared" si="53"/>
        <v>02</v>
      </c>
      <c r="G364" s="27" t="s">
        <v>2064</v>
      </c>
      <c r="H364" s="27" t="s">
        <v>1985</v>
      </c>
      <c r="I364" s="28" t="s">
        <v>4049</v>
      </c>
      <c r="J364" s="32"/>
      <c r="K364" s="32" t="s">
        <v>3947</v>
      </c>
      <c r="L364" s="32" t="s">
        <v>4213</v>
      </c>
      <c r="M364" s="35"/>
    </row>
    <row r="365" spans="1:13" s="24" customFormat="1" ht="51" x14ac:dyDescent="0.2">
      <c r="A365" s="27" t="str">
        <f t="shared" si="48"/>
        <v>1</v>
      </c>
      <c r="B365" s="27" t="str">
        <f t="shared" si="49"/>
        <v>3</v>
      </c>
      <c r="C365" s="27" t="str">
        <f t="shared" si="50"/>
        <v>4</v>
      </c>
      <c r="D365" s="27" t="str">
        <f t="shared" si="51"/>
        <v>0</v>
      </c>
      <c r="E365" s="27" t="str">
        <f t="shared" si="52"/>
        <v>10</v>
      </c>
      <c r="F365" s="27" t="str">
        <f t="shared" si="53"/>
        <v>03</v>
      </c>
      <c r="G365" s="27" t="s">
        <v>2065</v>
      </c>
      <c r="H365" s="27" t="s">
        <v>1986</v>
      </c>
      <c r="I365" s="28" t="s">
        <v>4050</v>
      </c>
      <c r="J365" s="32"/>
      <c r="K365" s="32" t="s">
        <v>3947</v>
      </c>
      <c r="L365" s="32" t="s">
        <v>4213</v>
      </c>
      <c r="M365" s="35"/>
    </row>
    <row r="366" spans="1:13" s="24" customFormat="1" ht="51" x14ac:dyDescent="0.2">
      <c r="A366" s="27" t="str">
        <f t="shared" si="48"/>
        <v>1</v>
      </c>
      <c r="B366" s="27" t="str">
        <f t="shared" si="49"/>
        <v>3</v>
      </c>
      <c r="C366" s="27" t="str">
        <f t="shared" si="50"/>
        <v>4</v>
      </c>
      <c r="D366" s="27" t="str">
        <f t="shared" si="51"/>
        <v>0</v>
      </c>
      <c r="E366" s="27" t="str">
        <f t="shared" si="52"/>
        <v>10</v>
      </c>
      <c r="F366" s="27" t="str">
        <f t="shared" si="53"/>
        <v>04</v>
      </c>
      <c r="G366" s="27" t="s">
        <v>2066</v>
      </c>
      <c r="H366" s="27" t="s">
        <v>1987</v>
      </c>
      <c r="I366" s="28" t="s">
        <v>4051</v>
      </c>
      <c r="J366" s="32"/>
      <c r="K366" s="32" t="s">
        <v>3947</v>
      </c>
      <c r="L366" s="32" t="s">
        <v>4213</v>
      </c>
      <c r="M366" s="35"/>
    </row>
    <row r="367" spans="1:13" s="24" customFormat="1" ht="51" x14ac:dyDescent="0.2">
      <c r="A367" s="27" t="str">
        <f t="shared" si="48"/>
        <v>1</v>
      </c>
      <c r="B367" s="27" t="str">
        <f t="shared" si="49"/>
        <v>3</v>
      </c>
      <c r="C367" s="27" t="str">
        <f t="shared" si="50"/>
        <v>4</v>
      </c>
      <c r="D367" s="27" t="str">
        <f t="shared" si="51"/>
        <v>0</v>
      </c>
      <c r="E367" s="27" t="str">
        <f t="shared" si="52"/>
        <v>10</v>
      </c>
      <c r="F367" s="27" t="str">
        <f t="shared" si="53"/>
        <v>05</v>
      </c>
      <c r="G367" s="27" t="s">
        <v>2067</v>
      </c>
      <c r="H367" s="27" t="s">
        <v>1988</v>
      </c>
      <c r="I367" s="28" t="s">
        <v>4046</v>
      </c>
      <c r="J367" s="32"/>
      <c r="K367" s="32" t="s">
        <v>3947</v>
      </c>
      <c r="L367" s="32" t="s">
        <v>4213</v>
      </c>
      <c r="M367" s="35"/>
    </row>
    <row r="368" spans="1:13" x14ac:dyDescent="0.25">
      <c r="A368" s="21" t="str">
        <f t="shared" si="42"/>
        <v>1</v>
      </c>
      <c r="B368" s="21" t="str">
        <f t="shared" si="43"/>
        <v>3</v>
      </c>
      <c r="C368" s="21" t="str">
        <f t="shared" si="44"/>
        <v>4</v>
      </c>
      <c r="D368" s="21" t="str">
        <f t="shared" si="45"/>
        <v>0</v>
      </c>
      <c r="E368" s="21" t="str">
        <f t="shared" si="46"/>
        <v>11</v>
      </c>
      <c r="F368" s="21" t="str">
        <f t="shared" si="47"/>
        <v>00</v>
      </c>
      <c r="G368" s="21" t="s">
        <v>375</v>
      </c>
      <c r="H368" s="21" t="s">
        <v>1989</v>
      </c>
      <c r="I368" s="22" t="s">
        <v>3951</v>
      </c>
      <c r="J368" s="21"/>
      <c r="K368" s="21" t="s">
        <v>46</v>
      </c>
      <c r="L368" s="21" t="s">
        <v>4214</v>
      </c>
      <c r="M368" s="21"/>
    </row>
    <row r="369" spans="1:13" ht="38.25" x14ac:dyDescent="0.25">
      <c r="A369" s="29" t="str">
        <f t="shared" si="42"/>
        <v>1</v>
      </c>
      <c r="B369" s="29" t="str">
        <f t="shared" si="43"/>
        <v>3</v>
      </c>
      <c r="C369" s="29" t="str">
        <f t="shared" si="44"/>
        <v>4</v>
      </c>
      <c r="D369" s="29" t="str">
        <f t="shared" si="45"/>
        <v>1</v>
      </c>
      <c r="E369" s="29" t="str">
        <f t="shared" si="46"/>
        <v>00</v>
      </c>
      <c r="F369" s="29" t="str">
        <f t="shared" si="47"/>
        <v>00</v>
      </c>
      <c r="G369" s="29" t="s">
        <v>376</v>
      </c>
      <c r="H369" s="29" t="s">
        <v>1990</v>
      </c>
      <c r="I369" s="30" t="s">
        <v>3953</v>
      </c>
      <c r="J369" s="33"/>
      <c r="K369" s="33" t="s">
        <v>3952</v>
      </c>
      <c r="L369" s="33" t="s">
        <v>4215</v>
      </c>
      <c r="M369" s="34"/>
    </row>
    <row r="370" spans="1:13" ht="51" x14ac:dyDescent="0.25">
      <c r="A370" s="25" t="str">
        <f t="shared" si="42"/>
        <v>1</v>
      </c>
      <c r="B370" s="25" t="str">
        <f t="shared" si="43"/>
        <v>3</v>
      </c>
      <c r="C370" s="25" t="str">
        <f t="shared" si="44"/>
        <v>4</v>
      </c>
      <c r="D370" s="25" t="str">
        <f t="shared" si="45"/>
        <v>1</v>
      </c>
      <c r="E370" s="25" t="str">
        <f t="shared" si="46"/>
        <v>10</v>
      </c>
      <c r="F370" s="25" t="str">
        <f t="shared" si="47"/>
        <v>00</v>
      </c>
      <c r="G370" s="25" t="s">
        <v>377</v>
      </c>
      <c r="H370" s="25" t="s">
        <v>1991</v>
      </c>
      <c r="I370" s="26" t="s">
        <v>4111</v>
      </c>
      <c r="J370" s="31"/>
      <c r="K370" s="31" t="s">
        <v>3952</v>
      </c>
      <c r="L370" s="31" t="s">
        <v>4215</v>
      </c>
      <c r="M370" s="31"/>
    </row>
    <row r="371" spans="1:13" ht="51" x14ac:dyDescent="0.25">
      <c r="A371" s="25" t="str">
        <f t="shared" si="42"/>
        <v>1</v>
      </c>
      <c r="B371" s="25" t="str">
        <f t="shared" si="43"/>
        <v>3</v>
      </c>
      <c r="C371" s="25" t="str">
        <f t="shared" si="44"/>
        <v>4</v>
      </c>
      <c r="D371" s="25" t="str">
        <f t="shared" si="45"/>
        <v>1</v>
      </c>
      <c r="E371" s="25" t="str">
        <f t="shared" si="46"/>
        <v>11</v>
      </c>
      <c r="F371" s="25" t="str">
        <f t="shared" si="47"/>
        <v>00</v>
      </c>
      <c r="G371" s="25" t="s">
        <v>378</v>
      </c>
      <c r="H371" s="25" t="s">
        <v>1992</v>
      </c>
      <c r="I371" s="26" t="s">
        <v>4112</v>
      </c>
      <c r="J371" s="31"/>
      <c r="K371" s="31" t="s">
        <v>3952</v>
      </c>
      <c r="L371" s="31" t="s">
        <v>4215</v>
      </c>
      <c r="M371" s="31"/>
    </row>
    <row r="372" spans="1:13" ht="63.75" x14ac:dyDescent="0.25">
      <c r="A372" s="27" t="str">
        <f t="shared" ref="A372:A446" si="54">MID(G372,1,1)</f>
        <v>1</v>
      </c>
      <c r="B372" s="27" t="str">
        <f t="shared" ref="B372:B446" si="55">MID(G372,2,1)</f>
        <v>3</v>
      </c>
      <c r="C372" s="27" t="str">
        <f t="shared" ref="C372:C446" si="56">MID(G372,3,1)</f>
        <v>4</v>
      </c>
      <c r="D372" s="27" t="str">
        <f t="shared" ref="D372:D446" si="57">MID(G372,4,1)</f>
        <v>1</v>
      </c>
      <c r="E372" s="27" t="str">
        <f t="shared" ref="E372:E446" si="58">MID(G372,6,2)</f>
        <v>11</v>
      </c>
      <c r="F372" s="27" t="str">
        <f t="shared" ref="F372:F446" si="59">MID(G372,9,2)</f>
        <v>10</v>
      </c>
      <c r="G372" s="27" t="s">
        <v>379</v>
      </c>
      <c r="H372" s="27" t="s">
        <v>1993</v>
      </c>
      <c r="I372" s="28" t="s">
        <v>4113</v>
      </c>
      <c r="J372" s="32"/>
      <c r="K372" s="36" t="s">
        <v>3952</v>
      </c>
      <c r="L372" s="36" t="s">
        <v>4215</v>
      </c>
      <c r="M372" s="35"/>
    </row>
    <row r="373" spans="1:13" ht="63.75" x14ac:dyDescent="0.25">
      <c r="A373" s="27" t="str">
        <f t="shared" si="54"/>
        <v>1</v>
      </c>
      <c r="B373" s="27" t="str">
        <f t="shared" si="55"/>
        <v>3</v>
      </c>
      <c r="C373" s="27" t="str">
        <f t="shared" si="56"/>
        <v>4</v>
      </c>
      <c r="D373" s="27" t="str">
        <f t="shared" si="57"/>
        <v>1</v>
      </c>
      <c r="E373" s="27" t="str">
        <f t="shared" si="58"/>
        <v>11</v>
      </c>
      <c r="F373" s="27" t="str">
        <f t="shared" si="59"/>
        <v>11</v>
      </c>
      <c r="G373" s="27" t="s">
        <v>380</v>
      </c>
      <c r="H373" s="27" t="s">
        <v>1994</v>
      </c>
      <c r="I373" s="28" t="s">
        <v>4114</v>
      </c>
      <c r="J373" s="32"/>
      <c r="K373" s="36" t="s">
        <v>3952</v>
      </c>
      <c r="L373" s="36" t="s">
        <v>4215</v>
      </c>
      <c r="M373" s="35"/>
    </row>
    <row r="374" spans="1:13" ht="63.75" x14ac:dyDescent="0.25">
      <c r="A374" s="27" t="str">
        <f t="shared" si="54"/>
        <v>1</v>
      </c>
      <c r="B374" s="27" t="str">
        <f t="shared" si="55"/>
        <v>3</v>
      </c>
      <c r="C374" s="27" t="str">
        <f t="shared" si="56"/>
        <v>4</v>
      </c>
      <c r="D374" s="27" t="str">
        <f t="shared" si="57"/>
        <v>1</v>
      </c>
      <c r="E374" s="27" t="str">
        <f t="shared" si="58"/>
        <v>11</v>
      </c>
      <c r="F374" s="27" t="str">
        <f t="shared" si="59"/>
        <v>20</v>
      </c>
      <c r="G374" s="27" t="s">
        <v>381</v>
      </c>
      <c r="H374" s="27" t="s">
        <v>1995</v>
      </c>
      <c r="I374" s="28" t="s">
        <v>4115</v>
      </c>
      <c r="J374" s="32"/>
      <c r="K374" s="36" t="s">
        <v>3952</v>
      </c>
      <c r="L374" s="36" t="s">
        <v>4215</v>
      </c>
      <c r="M374" s="35"/>
    </row>
    <row r="375" spans="1:13" ht="63.75" x14ac:dyDescent="0.25">
      <c r="A375" s="27" t="str">
        <f t="shared" si="54"/>
        <v>1</v>
      </c>
      <c r="B375" s="27" t="str">
        <f t="shared" si="55"/>
        <v>3</v>
      </c>
      <c r="C375" s="27" t="str">
        <f t="shared" si="56"/>
        <v>4</v>
      </c>
      <c r="D375" s="27" t="str">
        <f t="shared" si="57"/>
        <v>1</v>
      </c>
      <c r="E375" s="27" t="str">
        <f t="shared" si="58"/>
        <v>11</v>
      </c>
      <c r="F375" s="27" t="str">
        <f t="shared" si="59"/>
        <v>21</v>
      </c>
      <c r="G375" s="27" t="s">
        <v>382</v>
      </c>
      <c r="H375" s="27" t="s">
        <v>1996</v>
      </c>
      <c r="I375" s="28" t="s">
        <v>4116</v>
      </c>
      <c r="J375" s="32"/>
      <c r="K375" s="36" t="s">
        <v>3952</v>
      </c>
      <c r="L375" s="36" t="s">
        <v>4215</v>
      </c>
      <c r="M375" s="35"/>
    </row>
    <row r="376" spans="1:13" ht="63.75" x14ac:dyDescent="0.25">
      <c r="A376" s="27" t="str">
        <f t="shared" si="54"/>
        <v>1</v>
      </c>
      <c r="B376" s="27" t="str">
        <f t="shared" si="55"/>
        <v>3</v>
      </c>
      <c r="C376" s="27" t="str">
        <f t="shared" si="56"/>
        <v>4</v>
      </c>
      <c r="D376" s="27" t="str">
        <f t="shared" si="57"/>
        <v>1</v>
      </c>
      <c r="E376" s="27" t="str">
        <f t="shared" si="58"/>
        <v>11</v>
      </c>
      <c r="F376" s="27" t="str">
        <f t="shared" si="59"/>
        <v>30</v>
      </c>
      <c r="G376" s="27" t="s">
        <v>383</v>
      </c>
      <c r="H376" s="27" t="s">
        <v>1997</v>
      </c>
      <c r="I376" s="28" t="s">
        <v>3961</v>
      </c>
      <c r="J376" s="32"/>
      <c r="K376" s="36" t="s">
        <v>3952</v>
      </c>
      <c r="L376" s="36" t="s">
        <v>4215</v>
      </c>
      <c r="M376" s="35"/>
    </row>
    <row r="377" spans="1:13" ht="51" x14ac:dyDescent="0.25">
      <c r="A377" s="25" t="str">
        <f t="shared" si="54"/>
        <v>1</v>
      </c>
      <c r="B377" s="25" t="str">
        <f t="shared" si="55"/>
        <v>3</v>
      </c>
      <c r="C377" s="25" t="str">
        <f t="shared" si="56"/>
        <v>4</v>
      </c>
      <c r="D377" s="25" t="str">
        <f t="shared" si="57"/>
        <v>1</v>
      </c>
      <c r="E377" s="25" t="str">
        <f t="shared" si="58"/>
        <v>12</v>
      </c>
      <c r="F377" s="25" t="str">
        <f t="shared" si="59"/>
        <v>00</v>
      </c>
      <c r="G377" s="25" t="s">
        <v>384</v>
      </c>
      <c r="H377" s="25" t="s">
        <v>1998</v>
      </c>
      <c r="I377" s="26" t="s">
        <v>4117</v>
      </c>
      <c r="J377" s="31"/>
      <c r="K377" s="31" t="s">
        <v>3952</v>
      </c>
      <c r="L377" s="31" t="s">
        <v>4215</v>
      </c>
      <c r="M377" s="31"/>
    </row>
    <row r="378" spans="1:13" ht="63.75" x14ac:dyDescent="0.25">
      <c r="A378" s="27" t="str">
        <f t="shared" si="54"/>
        <v>1</v>
      </c>
      <c r="B378" s="27" t="str">
        <f t="shared" si="55"/>
        <v>3</v>
      </c>
      <c r="C378" s="27" t="str">
        <f t="shared" si="56"/>
        <v>4</v>
      </c>
      <c r="D378" s="27" t="str">
        <f t="shared" si="57"/>
        <v>1</v>
      </c>
      <c r="E378" s="27" t="str">
        <f t="shared" si="58"/>
        <v>12</v>
      </c>
      <c r="F378" s="27" t="str">
        <f t="shared" si="59"/>
        <v>10</v>
      </c>
      <c r="G378" s="27" t="s">
        <v>385</v>
      </c>
      <c r="H378" s="27" t="s">
        <v>1999</v>
      </c>
      <c r="I378" s="28" t="s">
        <v>4118</v>
      </c>
      <c r="J378" s="32"/>
      <c r="K378" s="36" t="s">
        <v>3952</v>
      </c>
      <c r="L378" s="36" t="s">
        <v>4215</v>
      </c>
      <c r="M378" s="35"/>
    </row>
    <row r="379" spans="1:13" ht="63.75" x14ac:dyDescent="0.25">
      <c r="A379" s="27" t="str">
        <f t="shared" si="54"/>
        <v>1</v>
      </c>
      <c r="B379" s="27" t="str">
        <f t="shared" si="55"/>
        <v>3</v>
      </c>
      <c r="C379" s="27" t="str">
        <f t="shared" si="56"/>
        <v>4</v>
      </c>
      <c r="D379" s="27" t="str">
        <f t="shared" si="57"/>
        <v>1</v>
      </c>
      <c r="E379" s="27" t="str">
        <f t="shared" si="58"/>
        <v>12</v>
      </c>
      <c r="F379" s="27" t="str">
        <f t="shared" si="59"/>
        <v>11</v>
      </c>
      <c r="G379" s="27" t="s">
        <v>386</v>
      </c>
      <c r="H379" s="27" t="s">
        <v>2000</v>
      </c>
      <c r="I379" s="28" t="s">
        <v>4119</v>
      </c>
      <c r="J379" s="32"/>
      <c r="K379" s="36" t="s">
        <v>3952</v>
      </c>
      <c r="L379" s="36" t="s">
        <v>4215</v>
      </c>
      <c r="M379" s="35"/>
    </row>
    <row r="380" spans="1:13" ht="63.75" x14ac:dyDescent="0.25">
      <c r="A380" s="27" t="str">
        <f t="shared" si="54"/>
        <v>1</v>
      </c>
      <c r="B380" s="27" t="str">
        <f t="shared" si="55"/>
        <v>3</v>
      </c>
      <c r="C380" s="27" t="str">
        <f t="shared" si="56"/>
        <v>4</v>
      </c>
      <c r="D380" s="27" t="str">
        <f t="shared" si="57"/>
        <v>1</v>
      </c>
      <c r="E380" s="27" t="str">
        <f t="shared" si="58"/>
        <v>12</v>
      </c>
      <c r="F380" s="27" t="str">
        <f t="shared" si="59"/>
        <v>12</v>
      </c>
      <c r="G380" s="27" t="s">
        <v>387</v>
      </c>
      <c r="H380" s="27" t="s">
        <v>2001</v>
      </c>
      <c r="I380" s="28" t="s">
        <v>4078</v>
      </c>
      <c r="J380" s="32"/>
      <c r="K380" s="36" t="s">
        <v>3952</v>
      </c>
      <c r="L380" s="36" t="s">
        <v>4215</v>
      </c>
      <c r="M380" s="35"/>
    </row>
    <row r="381" spans="1:13" ht="63.75" x14ac:dyDescent="0.25">
      <c r="A381" s="27" t="str">
        <f t="shared" si="54"/>
        <v>1</v>
      </c>
      <c r="B381" s="27" t="str">
        <f t="shared" si="55"/>
        <v>3</v>
      </c>
      <c r="C381" s="27" t="str">
        <f t="shared" si="56"/>
        <v>4</v>
      </c>
      <c r="D381" s="27" t="str">
        <f t="shared" si="57"/>
        <v>1</v>
      </c>
      <c r="E381" s="27" t="str">
        <f t="shared" si="58"/>
        <v>12</v>
      </c>
      <c r="F381" s="27" t="str">
        <f t="shared" si="59"/>
        <v>20</v>
      </c>
      <c r="G381" s="27" t="s">
        <v>388</v>
      </c>
      <c r="H381" s="27" t="s">
        <v>2002</v>
      </c>
      <c r="I381" s="28" t="s">
        <v>4079</v>
      </c>
      <c r="J381" s="32"/>
      <c r="K381" s="36" t="s">
        <v>3952</v>
      </c>
      <c r="L381" s="36" t="s">
        <v>4215</v>
      </c>
      <c r="M381" s="35"/>
    </row>
    <row r="382" spans="1:13" ht="63.75" x14ac:dyDescent="0.25">
      <c r="A382" s="27" t="str">
        <f t="shared" si="54"/>
        <v>1</v>
      </c>
      <c r="B382" s="27" t="str">
        <f t="shared" si="55"/>
        <v>3</v>
      </c>
      <c r="C382" s="27" t="str">
        <f t="shared" si="56"/>
        <v>4</v>
      </c>
      <c r="D382" s="27" t="str">
        <f t="shared" si="57"/>
        <v>1</v>
      </c>
      <c r="E382" s="27" t="str">
        <f t="shared" si="58"/>
        <v>12</v>
      </c>
      <c r="F382" s="27" t="str">
        <f t="shared" si="59"/>
        <v>21</v>
      </c>
      <c r="G382" s="27" t="s">
        <v>389</v>
      </c>
      <c r="H382" s="27" t="s">
        <v>2003</v>
      </c>
      <c r="I382" s="28" t="s">
        <v>4080</v>
      </c>
      <c r="J382" s="32"/>
      <c r="K382" s="36" t="s">
        <v>3952</v>
      </c>
      <c r="L382" s="36" t="s">
        <v>4215</v>
      </c>
      <c r="M382" s="35"/>
    </row>
    <row r="383" spans="1:13" ht="63.75" x14ac:dyDescent="0.25">
      <c r="A383" s="27" t="str">
        <f t="shared" si="54"/>
        <v>1</v>
      </c>
      <c r="B383" s="27" t="str">
        <f t="shared" si="55"/>
        <v>3</v>
      </c>
      <c r="C383" s="27" t="str">
        <f t="shared" si="56"/>
        <v>4</v>
      </c>
      <c r="D383" s="27" t="str">
        <f t="shared" si="57"/>
        <v>1</v>
      </c>
      <c r="E383" s="27" t="str">
        <f t="shared" si="58"/>
        <v>12</v>
      </c>
      <c r="F383" s="27" t="str">
        <f t="shared" si="59"/>
        <v>22</v>
      </c>
      <c r="G383" s="27" t="s">
        <v>390</v>
      </c>
      <c r="H383" s="27" t="s">
        <v>2004</v>
      </c>
      <c r="I383" s="28" t="s">
        <v>4081</v>
      </c>
      <c r="J383" s="32"/>
      <c r="K383" s="36" t="s">
        <v>3952</v>
      </c>
      <c r="L383" s="36" t="s">
        <v>4215</v>
      </c>
      <c r="M383" s="35"/>
    </row>
    <row r="384" spans="1:13" ht="63.75" x14ac:dyDescent="0.25">
      <c r="A384" s="27" t="str">
        <f t="shared" si="54"/>
        <v>1</v>
      </c>
      <c r="B384" s="27" t="str">
        <f t="shared" si="55"/>
        <v>3</v>
      </c>
      <c r="C384" s="27" t="str">
        <f t="shared" si="56"/>
        <v>4</v>
      </c>
      <c r="D384" s="27" t="str">
        <f t="shared" si="57"/>
        <v>1</v>
      </c>
      <c r="E384" s="27" t="str">
        <f t="shared" si="58"/>
        <v>12</v>
      </c>
      <c r="F384" s="27" t="str">
        <f t="shared" si="59"/>
        <v>30</v>
      </c>
      <c r="G384" s="27" t="s">
        <v>391</v>
      </c>
      <c r="H384" s="27" t="s">
        <v>2005</v>
      </c>
      <c r="I384" s="28" t="s">
        <v>4082</v>
      </c>
      <c r="J384" s="32"/>
      <c r="K384" s="36" t="s">
        <v>3952</v>
      </c>
      <c r="L384" s="36" t="s">
        <v>4215</v>
      </c>
      <c r="M384" s="35"/>
    </row>
    <row r="385" spans="1:13" ht="51" x14ac:dyDescent="0.25">
      <c r="A385" s="25" t="str">
        <f t="shared" si="54"/>
        <v>1</v>
      </c>
      <c r="B385" s="25" t="str">
        <f t="shared" si="55"/>
        <v>3</v>
      </c>
      <c r="C385" s="25" t="str">
        <f t="shared" si="56"/>
        <v>4</v>
      </c>
      <c r="D385" s="25" t="str">
        <f t="shared" si="57"/>
        <v>1</v>
      </c>
      <c r="E385" s="25" t="str">
        <f t="shared" si="58"/>
        <v>20</v>
      </c>
      <c r="F385" s="25" t="str">
        <f t="shared" si="59"/>
        <v>00</v>
      </c>
      <c r="G385" s="25" t="s">
        <v>392</v>
      </c>
      <c r="H385" s="25" t="s">
        <v>2006</v>
      </c>
      <c r="I385" s="26" t="s">
        <v>4083</v>
      </c>
      <c r="J385" s="31"/>
      <c r="K385" s="31" t="s">
        <v>3952</v>
      </c>
      <c r="L385" s="31" t="s">
        <v>4215</v>
      </c>
      <c r="M385" s="31"/>
    </row>
    <row r="386" spans="1:13" ht="51" x14ac:dyDescent="0.25">
      <c r="A386" s="25" t="str">
        <f t="shared" si="54"/>
        <v>1</v>
      </c>
      <c r="B386" s="25" t="str">
        <f t="shared" si="55"/>
        <v>3</v>
      </c>
      <c r="C386" s="25" t="str">
        <f t="shared" si="56"/>
        <v>4</v>
      </c>
      <c r="D386" s="25" t="str">
        <f t="shared" si="57"/>
        <v>1</v>
      </c>
      <c r="E386" s="25" t="str">
        <f t="shared" si="58"/>
        <v>22</v>
      </c>
      <c r="F386" s="25" t="str">
        <f t="shared" si="59"/>
        <v>00</v>
      </c>
      <c r="G386" s="25" t="s">
        <v>393</v>
      </c>
      <c r="H386" s="25" t="s">
        <v>2007</v>
      </c>
      <c r="I386" s="26" t="s">
        <v>4084</v>
      </c>
      <c r="J386" s="31"/>
      <c r="K386" s="31" t="s">
        <v>3952</v>
      </c>
      <c r="L386" s="31" t="s">
        <v>4215</v>
      </c>
      <c r="M386" s="31"/>
    </row>
    <row r="387" spans="1:13" ht="63.75" x14ac:dyDescent="0.25">
      <c r="A387" s="27" t="str">
        <f t="shared" si="54"/>
        <v>1</v>
      </c>
      <c r="B387" s="27" t="str">
        <f t="shared" si="55"/>
        <v>3</v>
      </c>
      <c r="C387" s="27" t="str">
        <f t="shared" si="56"/>
        <v>4</v>
      </c>
      <c r="D387" s="27" t="str">
        <f t="shared" si="57"/>
        <v>1</v>
      </c>
      <c r="E387" s="27" t="str">
        <f t="shared" si="58"/>
        <v>22</v>
      </c>
      <c r="F387" s="27" t="str">
        <f t="shared" si="59"/>
        <v>10</v>
      </c>
      <c r="G387" s="27" t="s">
        <v>394</v>
      </c>
      <c r="H387" s="27" t="s">
        <v>2008</v>
      </c>
      <c r="I387" s="28" t="s">
        <v>4085</v>
      </c>
      <c r="J387" s="32"/>
      <c r="K387" s="36" t="s">
        <v>3952</v>
      </c>
      <c r="L387" s="36" t="s">
        <v>4215</v>
      </c>
      <c r="M387" s="35"/>
    </row>
    <row r="388" spans="1:13" ht="63.75" x14ac:dyDescent="0.25">
      <c r="A388" s="27" t="str">
        <f t="shared" si="54"/>
        <v>1</v>
      </c>
      <c r="B388" s="27" t="str">
        <f t="shared" si="55"/>
        <v>3</v>
      </c>
      <c r="C388" s="27" t="str">
        <f t="shared" si="56"/>
        <v>4</v>
      </c>
      <c r="D388" s="27" t="str">
        <f t="shared" si="57"/>
        <v>1</v>
      </c>
      <c r="E388" s="27" t="str">
        <f t="shared" si="58"/>
        <v>22</v>
      </c>
      <c r="F388" s="27" t="str">
        <f t="shared" si="59"/>
        <v>11</v>
      </c>
      <c r="G388" s="27" t="s">
        <v>395</v>
      </c>
      <c r="H388" s="27" t="s">
        <v>2009</v>
      </c>
      <c r="I388" s="28" t="s">
        <v>4086</v>
      </c>
      <c r="J388" s="32"/>
      <c r="K388" s="36" t="s">
        <v>3952</v>
      </c>
      <c r="L388" s="36" t="s">
        <v>4215</v>
      </c>
      <c r="M388" s="35"/>
    </row>
    <row r="389" spans="1:13" ht="63.75" x14ac:dyDescent="0.25">
      <c r="A389" s="27" t="str">
        <f t="shared" si="54"/>
        <v>1</v>
      </c>
      <c r="B389" s="27" t="str">
        <f t="shared" si="55"/>
        <v>3</v>
      </c>
      <c r="C389" s="27" t="str">
        <f t="shared" si="56"/>
        <v>4</v>
      </c>
      <c r="D389" s="27" t="str">
        <f t="shared" si="57"/>
        <v>1</v>
      </c>
      <c r="E389" s="27" t="str">
        <f t="shared" si="58"/>
        <v>22</v>
      </c>
      <c r="F389" s="27" t="str">
        <f t="shared" si="59"/>
        <v>12</v>
      </c>
      <c r="G389" s="27" t="s">
        <v>396</v>
      </c>
      <c r="H389" s="27" t="s">
        <v>2010</v>
      </c>
      <c r="I389" s="28" t="s">
        <v>4087</v>
      </c>
      <c r="J389" s="32"/>
      <c r="K389" s="36" t="s">
        <v>3952</v>
      </c>
      <c r="L389" s="36" t="s">
        <v>4215</v>
      </c>
      <c r="M389" s="35"/>
    </row>
    <row r="390" spans="1:13" ht="63.75" x14ac:dyDescent="0.25">
      <c r="A390" s="27" t="str">
        <f t="shared" si="54"/>
        <v>1</v>
      </c>
      <c r="B390" s="27" t="str">
        <f t="shared" si="55"/>
        <v>3</v>
      </c>
      <c r="C390" s="27" t="str">
        <f t="shared" si="56"/>
        <v>4</v>
      </c>
      <c r="D390" s="27" t="str">
        <f t="shared" si="57"/>
        <v>1</v>
      </c>
      <c r="E390" s="27" t="str">
        <f t="shared" si="58"/>
        <v>22</v>
      </c>
      <c r="F390" s="27" t="str">
        <f t="shared" si="59"/>
        <v>20</v>
      </c>
      <c r="G390" s="27" t="s">
        <v>397</v>
      </c>
      <c r="H390" s="27" t="s">
        <v>2011</v>
      </c>
      <c r="I390" s="28" t="s">
        <v>4088</v>
      </c>
      <c r="J390" s="32"/>
      <c r="K390" s="36" t="s">
        <v>3952</v>
      </c>
      <c r="L390" s="36" t="s">
        <v>4215</v>
      </c>
      <c r="M390" s="35"/>
    </row>
    <row r="391" spans="1:13" ht="63.75" x14ac:dyDescent="0.25">
      <c r="A391" s="27" t="str">
        <f t="shared" si="54"/>
        <v>1</v>
      </c>
      <c r="B391" s="27" t="str">
        <f t="shared" si="55"/>
        <v>3</v>
      </c>
      <c r="C391" s="27" t="str">
        <f t="shared" si="56"/>
        <v>4</v>
      </c>
      <c r="D391" s="27" t="str">
        <f t="shared" si="57"/>
        <v>1</v>
      </c>
      <c r="E391" s="27" t="str">
        <f t="shared" si="58"/>
        <v>22</v>
      </c>
      <c r="F391" s="27" t="str">
        <f t="shared" si="59"/>
        <v>21</v>
      </c>
      <c r="G391" s="27" t="s">
        <v>398</v>
      </c>
      <c r="H391" s="27" t="s">
        <v>2012</v>
      </c>
      <c r="I391" s="28" t="s">
        <v>4089</v>
      </c>
      <c r="J391" s="32"/>
      <c r="K391" s="36" t="s">
        <v>3952</v>
      </c>
      <c r="L391" s="36" t="s">
        <v>4215</v>
      </c>
      <c r="M391" s="35"/>
    </row>
    <row r="392" spans="1:13" ht="63.75" x14ac:dyDescent="0.25">
      <c r="A392" s="27" t="str">
        <f t="shared" si="54"/>
        <v>1</v>
      </c>
      <c r="B392" s="27" t="str">
        <f t="shared" si="55"/>
        <v>3</v>
      </c>
      <c r="C392" s="27" t="str">
        <f t="shared" si="56"/>
        <v>4</v>
      </c>
      <c r="D392" s="27" t="str">
        <f t="shared" si="57"/>
        <v>1</v>
      </c>
      <c r="E392" s="27" t="str">
        <f t="shared" si="58"/>
        <v>22</v>
      </c>
      <c r="F392" s="27" t="str">
        <f t="shared" si="59"/>
        <v>22</v>
      </c>
      <c r="G392" s="27" t="s">
        <v>399</v>
      </c>
      <c r="H392" s="27" t="s">
        <v>2013</v>
      </c>
      <c r="I392" s="28" t="s">
        <v>4090</v>
      </c>
      <c r="J392" s="32"/>
      <c r="K392" s="36" t="s">
        <v>3952</v>
      </c>
      <c r="L392" s="36" t="s">
        <v>4215</v>
      </c>
      <c r="M392" s="35"/>
    </row>
    <row r="393" spans="1:13" ht="63.75" x14ac:dyDescent="0.25">
      <c r="A393" s="27" t="str">
        <f t="shared" si="54"/>
        <v>1</v>
      </c>
      <c r="B393" s="27" t="str">
        <f t="shared" si="55"/>
        <v>3</v>
      </c>
      <c r="C393" s="27" t="str">
        <f t="shared" si="56"/>
        <v>4</v>
      </c>
      <c r="D393" s="27" t="str">
        <f t="shared" si="57"/>
        <v>1</v>
      </c>
      <c r="E393" s="27" t="str">
        <f t="shared" si="58"/>
        <v>22</v>
      </c>
      <c r="F393" s="27" t="str">
        <f t="shared" si="59"/>
        <v>30</v>
      </c>
      <c r="G393" s="27" t="s">
        <v>400</v>
      </c>
      <c r="H393" s="27" t="s">
        <v>2014</v>
      </c>
      <c r="I393" s="28" t="s">
        <v>3960</v>
      </c>
      <c r="J393" s="32"/>
      <c r="K393" s="36" t="s">
        <v>3952</v>
      </c>
      <c r="L393" s="36" t="s">
        <v>4215</v>
      </c>
      <c r="M393" s="35"/>
    </row>
    <row r="394" spans="1:13" ht="38.25" x14ac:dyDescent="0.25">
      <c r="A394" s="29" t="str">
        <f t="shared" si="54"/>
        <v>1</v>
      </c>
      <c r="B394" s="29" t="str">
        <f t="shared" si="55"/>
        <v>3</v>
      </c>
      <c r="C394" s="29" t="str">
        <f t="shared" si="56"/>
        <v>4</v>
      </c>
      <c r="D394" s="29" t="str">
        <f t="shared" si="57"/>
        <v>2</v>
      </c>
      <c r="E394" s="29" t="str">
        <f t="shared" si="58"/>
        <v>00</v>
      </c>
      <c r="F394" s="29" t="str">
        <f t="shared" si="59"/>
        <v>00</v>
      </c>
      <c r="G394" s="29" t="s">
        <v>401</v>
      </c>
      <c r="H394" s="29" t="s">
        <v>2015</v>
      </c>
      <c r="I394" s="30" t="s">
        <v>4091</v>
      </c>
      <c r="J394" s="33"/>
      <c r="K394" s="33" t="s">
        <v>3952</v>
      </c>
      <c r="L394" s="33" t="s">
        <v>4215</v>
      </c>
      <c r="M394" s="34"/>
    </row>
    <row r="395" spans="1:13" ht="51" x14ac:dyDescent="0.25">
      <c r="A395" s="27" t="str">
        <f t="shared" si="54"/>
        <v>1</v>
      </c>
      <c r="B395" s="27" t="str">
        <f t="shared" si="55"/>
        <v>3</v>
      </c>
      <c r="C395" s="27" t="str">
        <f t="shared" si="56"/>
        <v>4</v>
      </c>
      <c r="D395" s="27" t="str">
        <f t="shared" si="57"/>
        <v>2</v>
      </c>
      <c r="E395" s="27" t="str">
        <f t="shared" si="58"/>
        <v>00</v>
      </c>
      <c r="F395" s="27" t="str">
        <f t="shared" si="59"/>
        <v>10</v>
      </c>
      <c r="G395" s="27" t="s">
        <v>402</v>
      </c>
      <c r="H395" s="27" t="s">
        <v>2016</v>
      </c>
      <c r="I395" s="28" t="s">
        <v>4092</v>
      </c>
      <c r="J395" s="32"/>
      <c r="K395" s="36" t="s">
        <v>3952</v>
      </c>
      <c r="L395" s="36" t="s">
        <v>4215</v>
      </c>
      <c r="M395" s="35"/>
    </row>
    <row r="396" spans="1:13" ht="51" x14ac:dyDescent="0.25">
      <c r="A396" s="27" t="str">
        <f t="shared" si="54"/>
        <v>1</v>
      </c>
      <c r="B396" s="27" t="str">
        <f t="shared" si="55"/>
        <v>3</v>
      </c>
      <c r="C396" s="27" t="str">
        <f t="shared" si="56"/>
        <v>4</v>
      </c>
      <c r="D396" s="27" t="str">
        <f t="shared" si="57"/>
        <v>2</v>
      </c>
      <c r="E396" s="27" t="str">
        <f t="shared" si="58"/>
        <v>00</v>
      </c>
      <c r="F396" s="27" t="str">
        <f t="shared" si="59"/>
        <v>11</v>
      </c>
      <c r="G396" s="27" t="s">
        <v>403</v>
      </c>
      <c r="H396" s="27" t="s">
        <v>2017</v>
      </c>
      <c r="I396" s="28" t="s">
        <v>4093</v>
      </c>
      <c r="J396" s="32"/>
      <c r="K396" s="36" t="s">
        <v>3952</v>
      </c>
      <c r="L396" s="36" t="s">
        <v>4215</v>
      </c>
      <c r="M396" s="35"/>
    </row>
    <row r="397" spans="1:13" ht="51" x14ac:dyDescent="0.25">
      <c r="A397" s="27" t="str">
        <f t="shared" si="54"/>
        <v>1</v>
      </c>
      <c r="B397" s="27" t="str">
        <f t="shared" si="55"/>
        <v>3</v>
      </c>
      <c r="C397" s="27" t="str">
        <f t="shared" si="56"/>
        <v>4</v>
      </c>
      <c r="D397" s="27" t="str">
        <f t="shared" si="57"/>
        <v>2</v>
      </c>
      <c r="E397" s="27" t="str">
        <f t="shared" si="58"/>
        <v>00</v>
      </c>
      <c r="F397" s="27" t="str">
        <f t="shared" si="59"/>
        <v>12</v>
      </c>
      <c r="G397" s="27" t="s">
        <v>404</v>
      </c>
      <c r="H397" s="27" t="s">
        <v>2018</v>
      </c>
      <c r="I397" s="28" t="s">
        <v>4094</v>
      </c>
      <c r="J397" s="32"/>
      <c r="K397" s="36" t="s">
        <v>3952</v>
      </c>
      <c r="L397" s="36" t="s">
        <v>4215</v>
      </c>
      <c r="M397" s="35"/>
    </row>
    <row r="398" spans="1:13" s="37" customFormat="1" ht="38.25" x14ac:dyDescent="0.25">
      <c r="A398" s="19" t="str">
        <f t="shared" ref="A398:A408" si="60">MID(G398,1,1)</f>
        <v>1</v>
      </c>
      <c r="B398" s="19" t="str">
        <f t="shared" ref="B398:B408" si="61">MID(G398,2,1)</f>
        <v>3</v>
      </c>
      <c r="C398" s="19" t="str">
        <f t="shared" ref="C398:C408" si="62">MID(G398,3,1)</f>
        <v>4</v>
      </c>
      <c r="D398" s="19" t="str">
        <f t="shared" ref="D398:D408" si="63">MID(G398,4,1)</f>
        <v>3</v>
      </c>
      <c r="E398" s="19" t="str">
        <f t="shared" ref="E398:E408" si="64">MID(G398,6,2)</f>
        <v>00</v>
      </c>
      <c r="F398" s="19" t="str">
        <f t="shared" ref="F398:F408" si="65">MID(G398,9,2)</f>
        <v>00</v>
      </c>
      <c r="G398" s="19" t="s">
        <v>4136</v>
      </c>
      <c r="H398" s="19" t="s">
        <v>4147</v>
      </c>
      <c r="I398" s="20" t="s">
        <v>4158</v>
      </c>
      <c r="J398" s="19"/>
      <c r="K398" s="19" t="s">
        <v>46</v>
      </c>
      <c r="L398" s="19" t="s">
        <v>4216</v>
      </c>
      <c r="M398" s="20"/>
    </row>
    <row r="399" spans="1:13" s="37" customFormat="1" ht="25.5" x14ac:dyDescent="0.25">
      <c r="A399" s="21" t="str">
        <f t="shared" si="60"/>
        <v>1</v>
      </c>
      <c r="B399" s="21" t="str">
        <f t="shared" si="61"/>
        <v>3</v>
      </c>
      <c r="C399" s="21" t="str">
        <f t="shared" si="62"/>
        <v>4</v>
      </c>
      <c r="D399" s="21" t="str">
        <f t="shared" si="63"/>
        <v>3</v>
      </c>
      <c r="E399" s="21" t="str">
        <f t="shared" si="64"/>
        <v>10</v>
      </c>
      <c r="F399" s="21" t="str">
        <f t="shared" si="65"/>
        <v>00</v>
      </c>
      <c r="G399" s="21" t="s">
        <v>4137</v>
      </c>
      <c r="H399" s="21" t="s">
        <v>4148</v>
      </c>
      <c r="I399" s="22" t="s">
        <v>4159</v>
      </c>
      <c r="J399" s="21"/>
      <c r="K399" s="21" t="s">
        <v>46</v>
      </c>
      <c r="L399" s="21" t="s">
        <v>4216</v>
      </c>
      <c r="M399" s="21"/>
    </row>
    <row r="400" spans="1:13" s="37" customFormat="1" ht="38.25" x14ac:dyDescent="0.25">
      <c r="A400" s="21" t="str">
        <f t="shared" si="60"/>
        <v>1</v>
      </c>
      <c r="B400" s="21" t="str">
        <f t="shared" si="61"/>
        <v>3</v>
      </c>
      <c r="C400" s="21" t="str">
        <f t="shared" si="62"/>
        <v>4</v>
      </c>
      <c r="D400" s="21" t="str">
        <f t="shared" si="63"/>
        <v>3</v>
      </c>
      <c r="E400" s="21" t="str">
        <f t="shared" si="64"/>
        <v>11</v>
      </c>
      <c r="F400" s="21" t="str">
        <f t="shared" si="65"/>
        <v>00</v>
      </c>
      <c r="G400" s="21" t="s">
        <v>4138</v>
      </c>
      <c r="H400" s="21" t="s">
        <v>4149</v>
      </c>
      <c r="I400" s="22" t="s">
        <v>4160</v>
      </c>
      <c r="J400" s="21"/>
      <c r="K400" s="21" t="s">
        <v>46</v>
      </c>
      <c r="L400" s="21" t="s">
        <v>4216</v>
      </c>
      <c r="M400" s="21"/>
    </row>
    <row r="401" spans="1:13" s="37" customFormat="1" ht="38.25" x14ac:dyDescent="0.25">
      <c r="A401" s="21" t="str">
        <f t="shared" si="60"/>
        <v>1</v>
      </c>
      <c r="B401" s="21" t="str">
        <f t="shared" si="61"/>
        <v>3</v>
      </c>
      <c r="C401" s="21" t="str">
        <f t="shared" si="62"/>
        <v>4</v>
      </c>
      <c r="D401" s="21" t="str">
        <f t="shared" si="63"/>
        <v>3</v>
      </c>
      <c r="E401" s="21" t="str">
        <f t="shared" si="64"/>
        <v>12</v>
      </c>
      <c r="F401" s="21" t="str">
        <f t="shared" si="65"/>
        <v>00</v>
      </c>
      <c r="G401" s="21" t="s">
        <v>4139</v>
      </c>
      <c r="H401" s="21" t="s">
        <v>4150</v>
      </c>
      <c r="I401" s="22" t="s">
        <v>4161</v>
      </c>
      <c r="J401" s="21"/>
      <c r="K401" s="21" t="s">
        <v>46</v>
      </c>
      <c r="L401" s="21" t="s">
        <v>4216</v>
      </c>
      <c r="M401" s="21"/>
    </row>
    <row r="402" spans="1:13" s="37" customFormat="1" ht="51" x14ac:dyDescent="0.25">
      <c r="A402" s="32" t="str">
        <f t="shared" si="60"/>
        <v>1</v>
      </c>
      <c r="B402" s="32" t="str">
        <f t="shared" si="61"/>
        <v>3</v>
      </c>
      <c r="C402" s="32" t="str">
        <f t="shared" si="62"/>
        <v>4</v>
      </c>
      <c r="D402" s="32" t="str">
        <f t="shared" si="63"/>
        <v>3</v>
      </c>
      <c r="E402" s="32" t="str">
        <f t="shared" si="64"/>
        <v>12</v>
      </c>
      <c r="F402" s="32" t="str">
        <f t="shared" si="65"/>
        <v>10</v>
      </c>
      <c r="G402" s="32" t="s">
        <v>4140</v>
      </c>
      <c r="H402" s="32" t="s">
        <v>4151</v>
      </c>
      <c r="I402" s="35" t="s">
        <v>4162</v>
      </c>
      <c r="J402" s="32"/>
      <c r="K402" s="36" t="s">
        <v>46</v>
      </c>
      <c r="L402" s="36" t="s">
        <v>4216</v>
      </c>
      <c r="M402" s="35"/>
    </row>
    <row r="403" spans="1:13" s="37" customFormat="1" ht="51" x14ac:dyDescent="0.25">
      <c r="A403" s="32" t="str">
        <f t="shared" si="60"/>
        <v>1</v>
      </c>
      <c r="B403" s="32" t="str">
        <f t="shared" si="61"/>
        <v>3</v>
      </c>
      <c r="C403" s="32" t="str">
        <f t="shared" si="62"/>
        <v>4</v>
      </c>
      <c r="D403" s="32" t="str">
        <f t="shared" si="63"/>
        <v>3</v>
      </c>
      <c r="E403" s="32" t="str">
        <f t="shared" si="64"/>
        <v>12</v>
      </c>
      <c r="F403" s="32" t="str">
        <f t="shared" si="65"/>
        <v>20</v>
      </c>
      <c r="G403" s="32" t="s">
        <v>4141</v>
      </c>
      <c r="H403" s="32" t="s">
        <v>4152</v>
      </c>
      <c r="I403" s="35" t="s">
        <v>4163</v>
      </c>
      <c r="J403" s="32"/>
      <c r="K403" s="36" t="s">
        <v>46</v>
      </c>
      <c r="L403" s="36" t="s">
        <v>4216</v>
      </c>
      <c r="M403" s="35"/>
    </row>
    <row r="404" spans="1:13" s="37" customFormat="1" ht="25.5" x14ac:dyDescent="0.25">
      <c r="A404" s="21" t="str">
        <f t="shared" si="60"/>
        <v>1</v>
      </c>
      <c r="B404" s="21" t="str">
        <f t="shared" si="61"/>
        <v>3</v>
      </c>
      <c r="C404" s="21" t="str">
        <f t="shared" si="62"/>
        <v>4</v>
      </c>
      <c r="D404" s="21" t="str">
        <f t="shared" si="63"/>
        <v>3</v>
      </c>
      <c r="E404" s="21" t="str">
        <f t="shared" si="64"/>
        <v>20</v>
      </c>
      <c r="F404" s="21" t="str">
        <f t="shared" si="65"/>
        <v>00</v>
      </c>
      <c r="G404" s="21" t="s">
        <v>4142</v>
      </c>
      <c r="H404" s="21" t="s">
        <v>4153</v>
      </c>
      <c r="I404" s="22" t="s">
        <v>4164</v>
      </c>
      <c r="J404" s="21"/>
      <c r="K404" s="21" t="s">
        <v>46</v>
      </c>
      <c r="L404" s="21" t="s">
        <v>4216</v>
      </c>
      <c r="M404" s="21"/>
    </row>
    <row r="405" spans="1:13" s="37" customFormat="1" ht="38.25" x14ac:dyDescent="0.25">
      <c r="A405" s="21" t="str">
        <f t="shared" si="60"/>
        <v>1</v>
      </c>
      <c r="B405" s="21" t="str">
        <f t="shared" si="61"/>
        <v>3</v>
      </c>
      <c r="C405" s="21" t="str">
        <f t="shared" si="62"/>
        <v>4</v>
      </c>
      <c r="D405" s="21" t="str">
        <f t="shared" si="63"/>
        <v>3</v>
      </c>
      <c r="E405" s="21" t="str">
        <f t="shared" si="64"/>
        <v>21</v>
      </c>
      <c r="F405" s="21" t="str">
        <f t="shared" si="65"/>
        <v>00</v>
      </c>
      <c r="G405" s="21" t="s">
        <v>4143</v>
      </c>
      <c r="H405" s="21" t="s">
        <v>4154</v>
      </c>
      <c r="I405" s="22" t="s">
        <v>4165</v>
      </c>
      <c r="J405" s="21"/>
      <c r="K405" s="21" t="s">
        <v>46</v>
      </c>
      <c r="L405" s="21" t="s">
        <v>4216</v>
      </c>
      <c r="M405" s="21"/>
    </row>
    <row r="406" spans="1:13" s="37" customFormat="1" ht="38.25" x14ac:dyDescent="0.25">
      <c r="A406" s="21" t="str">
        <f t="shared" si="60"/>
        <v>1</v>
      </c>
      <c r="B406" s="21" t="str">
        <f t="shared" si="61"/>
        <v>3</v>
      </c>
      <c r="C406" s="21" t="str">
        <f t="shared" si="62"/>
        <v>4</v>
      </c>
      <c r="D406" s="21" t="str">
        <f t="shared" si="63"/>
        <v>3</v>
      </c>
      <c r="E406" s="21" t="str">
        <f t="shared" si="64"/>
        <v>22</v>
      </c>
      <c r="F406" s="21" t="str">
        <f t="shared" si="65"/>
        <v>00</v>
      </c>
      <c r="G406" s="21" t="s">
        <v>4144</v>
      </c>
      <c r="H406" s="21" t="s">
        <v>4155</v>
      </c>
      <c r="I406" s="22" t="s">
        <v>4166</v>
      </c>
      <c r="J406" s="21"/>
      <c r="K406" s="21" t="s">
        <v>46</v>
      </c>
      <c r="L406" s="21" t="s">
        <v>4216</v>
      </c>
      <c r="M406" s="21"/>
    </row>
    <row r="407" spans="1:13" s="37" customFormat="1" ht="51" x14ac:dyDescent="0.25">
      <c r="A407" s="32" t="str">
        <f t="shared" si="60"/>
        <v>1</v>
      </c>
      <c r="B407" s="32" t="str">
        <f t="shared" si="61"/>
        <v>3</v>
      </c>
      <c r="C407" s="32" t="str">
        <f t="shared" si="62"/>
        <v>4</v>
      </c>
      <c r="D407" s="32" t="str">
        <f t="shared" si="63"/>
        <v>3</v>
      </c>
      <c r="E407" s="32" t="str">
        <f t="shared" si="64"/>
        <v>22</v>
      </c>
      <c r="F407" s="32" t="str">
        <f t="shared" si="65"/>
        <v>10</v>
      </c>
      <c r="G407" s="32" t="s">
        <v>4145</v>
      </c>
      <c r="H407" s="32" t="s">
        <v>4156</v>
      </c>
      <c r="I407" s="35" t="s">
        <v>4167</v>
      </c>
      <c r="J407" s="32"/>
      <c r="K407" s="36" t="s">
        <v>46</v>
      </c>
      <c r="L407" s="36" t="s">
        <v>4216</v>
      </c>
      <c r="M407" s="35"/>
    </row>
    <row r="408" spans="1:13" s="37" customFormat="1" ht="51" x14ac:dyDescent="0.25">
      <c r="A408" s="32" t="str">
        <f t="shared" si="60"/>
        <v>1</v>
      </c>
      <c r="B408" s="32" t="str">
        <f t="shared" si="61"/>
        <v>3</v>
      </c>
      <c r="C408" s="32" t="str">
        <f t="shared" si="62"/>
        <v>4</v>
      </c>
      <c r="D408" s="32" t="str">
        <f t="shared" si="63"/>
        <v>3</v>
      </c>
      <c r="E408" s="32" t="str">
        <f t="shared" si="64"/>
        <v>22</v>
      </c>
      <c r="F408" s="32" t="str">
        <f t="shared" si="65"/>
        <v>20</v>
      </c>
      <c r="G408" s="32" t="s">
        <v>4146</v>
      </c>
      <c r="H408" s="32" t="s">
        <v>4157</v>
      </c>
      <c r="I408" s="35" t="s">
        <v>4168</v>
      </c>
      <c r="J408" s="32"/>
      <c r="K408" s="36" t="s">
        <v>46</v>
      </c>
      <c r="L408" s="36" t="s">
        <v>4216</v>
      </c>
      <c r="M408" s="35"/>
    </row>
    <row r="409" spans="1:13" ht="38.25" x14ac:dyDescent="0.25">
      <c r="A409" s="19" t="str">
        <f t="shared" si="54"/>
        <v>1</v>
      </c>
      <c r="B409" s="19" t="str">
        <f t="shared" si="55"/>
        <v>3</v>
      </c>
      <c r="C409" s="19" t="str">
        <f t="shared" si="56"/>
        <v>4</v>
      </c>
      <c r="D409" s="19" t="str">
        <f t="shared" si="57"/>
        <v>4</v>
      </c>
      <c r="E409" s="19" t="str">
        <f t="shared" si="58"/>
        <v>00</v>
      </c>
      <c r="F409" s="19" t="str">
        <f t="shared" si="59"/>
        <v>00</v>
      </c>
      <c r="G409" s="19" t="s">
        <v>405</v>
      </c>
      <c r="H409" s="19" t="s">
        <v>2019</v>
      </c>
      <c r="I409" s="20" t="s">
        <v>3953</v>
      </c>
      <c r="J409" s="19"/>
      <c r="K409" s="19" t="s">
        <v>46</v>
      </c>
      <c r="L409" s="19" t="s">
        <v>4217</v>
      </c>
      <c r="M409" s="20"/>
    </row>
    <row r="410" spans="1:13" ht="38.25" x14ac:dyDescent="0.25">
      <c r="A410" s="21" t="str">
        <f t="shared" si="54"/>
        <v>1</v>
      </c>
      <c r="B410" s="21" t="str">
        <f t="shared" si="55"/>
        <v>3</v>
      </c>
      <c r="C410" s="21" t="str">
        <f t="shared" si="56"/>
        <v>4</v>
      </c>
      <c r="D410" s="21" t="str">
        <f t="shared" si="57"/>
        <v>4</v>
      </c>
      <c r="E410" s="21" t="str">
        <f t="shared" si="58"/>
        <v>11</v>
      </c>
      <c r="F410" s="21" t="str">
        <f t="shared" si="59"/>
        <v>00</v>
      </c>
      <c r="G410" s="21" t="s">
        <v>406</v>
      </c>
      <c r="H410" s="21" t="s">
        <v>2020</v>
      </c>
      <c r="I410" s="22" t="s">
        <v>3959</v>
      </c>
      <c r="J410" s="21"/>
      <c r="K410" s="21" t="s">
        <v>46</v>
      </c>
      <c r="L410" s="21" t="s">
        <v>4217</v>
      </c>
      <c r="M410" s="21"/>
    </row>
    <row r="411" spans="1:13" ht="38.25" x14ac:dyDescent="0.25">
      <c r="A411" s="21" t="str">
        <f t="shared" si="54"/>
        <v>1</v>
      </c>
      <c r="B411" s="21" t="str">
        <f t="shared" si="55"/>
        <v>3</v>
      </c>
      <c r="C411" s="21" t="str">
        <f t="shared" si="56"/>
        <v>4</v>
      </c>
      <c r="D411" s="21" t="str">
        <f t="shared" si="57"/>
        <v>4</v>
      </c>
      <c r="E411" s="21" t="str">
        <f t="shared" si="58"/>
        <v>12</v>
      </c>
      <c r="F411" s="21" t="str">
        <f t="shared" si="59"/>
        <v>00</v>
      </c>
      <c r="G411" s="21" t="s">
        <v>407</v>
      </c>
      <c r="H411" s="21" t="s">
        <v>2021</v>
      </c>
      <c r="I411" s="22" t="s">
        <v>3958</v>
      </c>
      <c r="J411" s="21"/>
      <c r="K411" s="21" t="s">
        <v>46</v>
      </c>
      <c r="L411" s="21" t="s">
        <v>4217</v>
      </c>
      <c r="M411" s="21"/>
    </row>
    <row r="412" spans="1:13" ht="63.75" x14ac:dyDescent="0.25">
      <c r="A412" s="13" t="str">
        <f t="shared" si="54"/>
        <v>1</v>
      </c>
      <c r="B412" s="13" t="str">
        <f t="shared" si="55"/>
        <v>3</v>
      </c>
      <c r="C412" s="13" t="str">
        <f t="shared" si="56"/>
        <v>4</v>
      </c>
      <c r="D412" s="13" t="str">
        <f t="shared" si="57"/>
        <v>4</v>
      </c>
      <c r="E412" s="13" t="str">
        <f t="shared" si="58"/>
        <v>12</v>
      </c>
      <c r="F412" s="13" t="str">
        <f t="shared" si="59"/>
        <v>11</v>
      </c>
      <c r="G412" s="13" t="s">
        <v>408</v>
      </c>
      <c r="H412" s="13" t="s">
        <v>2022</v>
      </c>
      <c r="I412" s="16" t="s">
        <v>4095</v>
      </c>
      <c r="J412" s="13"/>
      <c r="K412" s="13" t="s">
        <v>46</v>
      </c>
      <c r="L412" s="13" t="s">
        <v>4217</v>
      </c>
      <c r="M412" s="16"/>
    </row>
    <row r="413" spans="1:13" ht="102" x14ac:dyDescent="0.25">
      <c r="A413" s="13" t="str">
        <f t="shared" si="54"/>
        <v>1</v>
      </c>
      <c r="B413" s="13" t="str">
        <f t="shared" si="55"/>
        <v>3</v>
      </c>
      <c r="C413" s="13" t="str">
        <f t="shared" si="56"/>
        <v>4</v>
      </c>
      <c r="D413" s="13" t="str">
        <f t="shared" si="57"/>
        <v>4</v>
      </c>
      <c r="E413" s="13" t="str">
        <f t="shared" si="58"/>
        <v>12</v>
      </c>
      <c r="F413" s="13" t="str">
        <f t="shared" si="59"/>
        <v>12</v>
      </c>
      <c r="G413" s="13" t="s">
        <v>409</v>
      </c>
      <c r="H413" s="13" t="s">
        <v>2023</v>
      </c>
      <c r="I413" s="16" t="s">
        <v>4096</v>
      </c>
      <c r="J413" s="13"/>
      <c r="K413" s="13" t="s">
        <v>46</v>
      </c>
      <c r="L413" s="13" t="s">
        <v>4217</v>
      </c>
      <c r="M413" s="16"/>
    </row>
    <row r="414" spans="1:13" ht="51" x14ac:dyDescent="0.25">
      <c r="A414" s="13" t="str">
        <f t="shared" si="54"/>
        <v>1</v>
      </c>
      <c r="B414" s="13" t="str">
        <f t="shared" si="55"/>
        <v>3</v>
      </c>
      <c r="C414" s="13" t="str">
        <f t="shared" si="56"/>
        <v>4</v>
      </c>
      <c r="D414" s="13" t="str">
        <f t="shared" si="57"/>
        <v>4</v>
      </c>
      <c r="E414" s="13" t="str">
        <f t="shared" si="58"/>
        <v>12</v>
      </c>
      <c r="F414" s="13" t="str">
        <f t="shared" si="59"/>
        <v>20</v>
      </c>
      <c r="G414" s="13" t="s">
        <v>410</v>
      </c>
      <c r="H414" s="13" t="s">
        <v>2024</v>
      </c>
      <c r="I414" s="16" t="s">
        <v>3957</v>
      </c>
      <c r="J414" s="13"/>
      <c r="K414" s="13" t="s">
        <v>46</v>
      </c>
      <c r="L414" s="13" t="s">
        <v>4217</v>
      </c>
      <c r="M414" s="16"/>
    </row>
    <row r="415" spans="1:13" ht="38.25" x14ac:dyDescent="0.25">
      <c r="A415" s="21" t="str">
        <f t="shared" si="54"/>
        <v>1</v>
      </c>
      <c r="B415" s="21" t="str">
        <f t="shared" si="55"/>
        <v>3</v>
      </c>
      <c r="C415" s="21" t="str">
        <f t="shared" si="56"/>
        <v>4</v>
      </c>
      <c r="D415" s="21" t="str">
        <f t="shared" si="57"/>
        <v>4</v>
      </c>
      <c r="E415" s="21" t="str">
        <f t="shared" si="58"/>
        <v>21</v>
      </c>
      <c r="F415" s="21" t="str">
        <f t="shared" si="59"/>
        <v>00</v>
      </c>
      <c r="G415" s="21" t="s">
        <v>411</v>
      </c>
      <c r="H415" s="21" t="s">
        <v>2025</v>
      </c>
      <c r="I415" s="22" t="s">
        <v>3956</v>
      </c>
      <c r="J415" s="21"/>
      <c r="K415" s="21" t="s">
        <v>46</v>
      </c>
      <c r="L415" s="21" t="s">
        <v>4217</v>
      </c>
      <c r="M415" s="21"/>
    </row>
    <row r="416" spans="1:13" ht="38.25" x14ac:dyDescent="0.25">
      <c r="A416" s="21" t="str">
        <f t="shared" si="54"/>
        <v>1</v>
      </c>
      <c r="B416" s="21" t="str">
        <f t="shared" si="55"/>
        <v>3</v>
      </c>
      <c r="C416" s="21" t="str">
        <f t="shared" si="56"/>
        <v>4</v>
      </c>
      <c r="D416" s="21" t="str">
        <f t="shared" si="57"/>
        <v>4</v>
      </c>
      <c r="E416" s="21" t="str">
        <f t="shared" si="58"/>
        <v>22</v>
      </c>
      <c r="F416" s="21" t="str">
        <f t="shared" si="59"/>
        <v>00</v>
      </c>
      <c r="G416" s="21" t="s">
        <v>412</v>
      </c>
      <c r="H416" s="21" t="s">
        <v>2026</v>
      </c>
      <c r="I416" s="22" t="s">
        <v>3955</v>
      </c>
      <c r="J416" s="21"/>
      <c r="K416" s="21" t="s">
        <v>46</v>
      </c>
      <c r="L416" s="21" t="s">
        <v>4217</v>
      </c>
      <c r="M416" s="21"/>
    </row>
    <row r="417" spans="1:13" ht="63.75" x14ac:dyDescent="0.25">
      <c r="A417" s="13" t="str">
        <f t="shared" si="54"/>
        <v>1</v>
      </c>
      <c r="B417" s="13" t="str">
        <f t="shared" si="55"/>
        <v>3</v>
      </c>
      <c r="C417" s="13" t="str">
        <f t="shared" si="56"/>
        <v>4</v>
      </c>
      <c r="D417" s="13" t="str">
        <f t="shared" si="57"/>
        <v>4</v>
      </c>
      <c r="E417" s="13" t="str">
        <f t="shared" si="58"/>
        <v>22</v>
      </c>
      <c r="F417" s="13" t="str">
        <f t="shared" si="59"/>
        <v>11</v>
      </c>
      <c r="G417" s="13" t="s">
        <v>413</v>
      </c>
      <c r="H417" s="13" t="s">
        <v>2027</v>
      </c>
      <c r="I417" s="16" t="s">
        <v>4097</v>
      </c>
      <c r="J417" s="13"/>
      <c r="K417" s="13" t="s">
        <v>46</v>
      </c>
      <c r="L417" s="13" t="s">
        <v>4217</v>
      </c>
      <c r="M417" s="16"/>
    </row>
    <row r="418" spans="1:13" ht="102" x14ac:dyDescent="0.25">
      <c r="A418" s="13" t="str">
        <f t="shared" si="54"/>
        <v>1</v>
      </c>
      <c r="B418" s="13" t="str">
        <f t="shared" si="55"/>
        <v>3</v>
      </c>
      <c r="C418" s="13" t="str">
        <f t="shared" si="56"/>
        <v>4</v>
      </c>
      <c r="D418" s="13" t="str">
        <f t="shared" si="57"/>
        <v>4</v>
      </c>
      <c r="E418" s="13" t="str">
        <f t="shared" si="58"/>
        <v>22</v>
      </c>
      <c r="F418" s="13" t="str">
        <f t="shared" si="59"/>
        <v>12</v>
      </c>
      <c r="G418" s="13" t="s">
        <v>414</v>
      </c>
      <c r="H418" s="13" t="s">
        <v>2028</v>
      </c>
      <c r="I418" s="16" t="s">
        <v>4120</v>
      </c>
      <c r="J418" s="13"/>
      <c r="K418" s="13" t="s">
        <v>46</v>
      </c>
      <c r="L418" s="13" t="s">
        <v>4217</v>
      </c>
      <c r="M418" s="16"/>
    </row>
    <row r="419" spans="1:13" ht="51" x14ac:dyDescent="0.25">
      <c r="A419" s="13" t="str">
        <f t="shared" si="54"/>
        <v>1</v>
      </c>
      <c r="B419" s="13" t="str">
        <f t="shared" si="55"/>
        <v>3</v>
      </c>
      <c r="C419" s="13" t="str">
        <f t="shared" si="56"/>
        <v>4</v>
      </c>
      <c r="D419" s="13" t="str">
        <f t="shared" si="57"/>
        <v>4</v>
      </c>
      <c r="E419" s="13" t="str">
        <f t="shared" si="58"/>
        <v>22</v>
      </c>
      <c r="F419" s="13" t="str">
        <f t="shared" si="59"/>
        <v>20</v>
      </c>
      <c r="G419" s="13" t="s">
        <v>415</v>
      </c>
      <c r="H419" s="13" t="s">
        <v>2029</v>
      </c>
      <c r="I419" s="16" t="s">
        <v>3954</v>
      </c>
      <c r="J419" s="13"/>
      <c r="K419" s="13" t="s">
        <v>46</v>
      </c>
      <c r="L419" s="13" t="s">
        <v>4217</v>
      </c>
      <c r="M419" s="16"/>
    </row>
    <row r="420" spans="1:13" ht="63.75" x14ac:dyDescent="0.25">
      <c r="A420" s="21" t="str">
        <f t="shared" si="54"/>
        <v>1</v>
      </c>
      <c r="B420" s="21" t="str">
        <f t="shared" si="55"/>
        <v>3</v>
      </c>
      <c r="C420" s="21" t="str">
        <f t="shared" si="56"/>
        <v>4</v>
      </c>
      <c r="D420" s="21" t="str">
        <f t="shared" si="57"/>
        <v>4</v>
      </c>
      <c r="E420" s="21" t="str">
        <f t="shared" si="58"/>
        <v>31</v>
      </c>
      <c r="F420" s="21" t="str">
        <f t="shared" si="59"/>
        <v>00</v>
      </c>
      <c r="G420" s="21" t="s">
        <v>416</v>
      </c>
      <c r="H420" s="21" t="s">
        <v>2030</v>
      </c>
      <c r="I420" s="22" t="s">
        <v>4121</v>
      </c>
      <c r="J420" s="21"/>
      <c r="K420" s="21" t="s">
        <v>46</v>
      </c>
      <c r="L420" s="21" t="s">
        <v>4217</v>
      </c>
      <c r="M420" s="21"/>
    </row>
    <row r="421" spans="1:13" ht="63.75" x14ac:dyDescent="0.25">
      <c r="A421" s="21" t="str">
        <f t="shared" si="54"/>
        <v>1</v>
      </c>
      <c r="B421" s="21" t="str">
        <f t="shared" si="55"/>
        <v>3</v>
      </c>
      <c r="C421" s="21" t="str">
        <f t="shared" si="56"/>
        <v>4</v>
      </c>
      <c r="D421" s="21" t="str">
        <f t="shared" si="57"/>
        <v>4</v>
      </c>
      <c r="E421" s="21" t="str">
        <f t="shared" si="58"/>
        <v>32</v>
      </c>
      <c r="F421" s="21" t="str">
        <f t="shared" si="59"/>
        <v>00</v>
      </c>
      <c r="G421" s="21" t="s">
        <v>417</v>
      </c>
      <c r="H421" s="21" t="s">
        <v>2031</v>
      </c>
      <c r="I421" s="22" t="s">
        <v>4122</v>
      </c>
      <c r="J421" s="21"/>
      <c r="K421" s="21" t="s">
        <v>46</v>
      </c>
      <c r="L421" s="21" t="s">
        <v>4217</v>
      </c>
      <c r="M421" s="21"/>
    </row>
    <row r="422" spans="1:13" ht="102" x14ac:dyDescent="0.25">
      <c r="A422" s="13" t="str">
        <f t="shared" si="54"/>
        <v>1</v>
      </c>
      <c r="B422" s="13" t="str">
        <f t="shared" si="55"/>
        <v>3</v>
      </c>
      <c r="C422" s="13" t="str">
        <f t="shared" si="56"/>
        <v>4</v>
      </c>
      <c r="D422" s="13" t="str">
        <f t="shared" si="57"/>
        <v>4</v>
      </c>
      <c r="E422" s="13" t="str">
        <f t="shared" si="58"/>
        <v>32</v>
      </c>
      <c r="F422" s="13" t="str">
        <f t="shared" si="59"/>
        <v>11</v>
      </c>
      <c r="G422" s="13" t="s">
        <v>418</v>
      </c>
      <c r="H422" s="13" t="s">
        <v>2032</v>
      </c>
      <c r="I422" s="16" t="s">
        <v>4123</v>
      </c>
      <c r="J422" s="13"/>
      <c r="K422" s="13" t="s">
        <v>46</v>
      </c>
      <c r="L422" s="13" t="s">
        <v>4217</v>
      </c>
      <c r="M422" s="16"/>
    </row>
    <row r="423" spans="1:13" ht="140.25" x14ac:dyDescent="0.25">
      <c r="A423" s="13" t="str">
        <f t="shared" si="54"/>
        <v>1</v>
      </c>
      <c r="B423" s="13" t="str">
        <f t="shared" si="55"/>
        <v>3</v>
      </c>
      <c r="C423" s="13" t="str">
        <f t="shared" si="56"/>
        <v>4</v>
      </c>
      <c r="D423" s="13" t="str">
        <f t="shared" si="57"/>
        <v>4</v>
      </c>
      <c r="E423" s="13" t="str">
        <f t="shared" si="58"/>
        <v>32</v>
      </c>
      <c r="F423" s="13" t="str">
        <f t="shared" si="59"/>
        <v>12</v>
      </c>
      <c r="G423" s="13" t="s">
        <v>419</v>
      </c>
      <c r="H423" s="13" t="s">
        <v>2033</v>
      </c>
      <c r="I423" s="16" t="s">
        <v>4124</v>
      </c>
      <c r="J423" s="13"/>
      <c r="K423" s="13" t="s">
        <v>46</v>
      </c>
      <c r="L423" s="13" t="s">
        <v>4217</v>
      </c>
      <c r="M423" s="16"/>
    </row>
    <row r="424" spans="1:13" ht="76.5" x14ac:dyDescent="0.25">
      <c r="A424" s="13" t="str">
        <f t="shared" si="54"/>
        <v>1</v>
      </c>
      <c r="B424" s="13" t="str">
        <f t="shared" si="55"/>
        <v>3</v>
      </c>
      <c r="C424" s="13" t="str">
        <f t="shared" si="56"/>
        <v>4</v>
      </c>
      <c r="D424" s="13" t="str">
        <f t="shared" si="57"/>
        <v>4</v>
      </c>
      <c r="E424" s="13" t="str">
        <f t="shared" si="58"/>
        <v>32</v>
      </c>
      <c r="F424" s="13" t="str">
        <f t="shared" si="59"/>
        <v>20</v>
      </c>
      <c r="G424" s="13" t="s">
        <v>420</v>
      </c>
      <c r="H424" s="13" t="s">
        <v>2034</v>
      </c>
      <c r="I424" s="16" t="s">
        <v>4125</v>
      </c>
      <c r="J424" s="13"/>
      <c r="K424" s="13" t="s">
        <v>46</v>
      </c>
      <c r="L424" s="13" t="s">
        <v>4217</v>
      </c>
      <c r="M424" s="16"/>
    </row>
    <row r="425" spans="1:13" ht="38.25" x14ac:dyDescent="0.25">
      <c r="A425" s="12" t="str">
        <f t="shared" si="54"/>
        <v>1</v>
      </c>
      <c r="B425" s="12" t="str">
        <f t="shared" si="55"/>
        <v>3</v>
      </c>
      <c r="C425" s="12" t="str">
        <f t="shared" si="56"/>
        <v>5</v>
      </c>
      <c r="D425" s="12" t="str">
        <f t="shared" si="57"/>
        <v>0</v>
      </c>
      <c r="E425" s="12" t="str">
        <f t="shared" si="58"/>
        <v>00</v>
      </c>
      <c r="F425" s="12" t="str">
        <f t="shared" si="59"/>
        <v>00</v>
      </c>
      <c r="G425" s="12" t="s">
        <v>421</v>
      </c>
      <c r="H425" s="12" t="s">
        <v>1995</v>
      </c>
      <c r="I425" s="15" t="s">
        <v>2136</v>
      </c>
      <c r="J425" s="12"/>
      <c r="K425" s="12"/>
      <c r="L425" s="12"/>
      <c r="M425" s="15"/>
    </row>
    <row r="426" spans="1:13" ht="25.5" x14ac:dyDescent="0.25">
      <c r="A426" s="19" t="str">
        <f t="shared" si="54"/>
        <v>1</v>
      </c>
      <c r="B426" s="19" t="str">
        <f t="shared" si="55"/>
        <v>3</v>
      </c>
      <c r="C426" s="19" t="str">
        <f t="shared" si="56"/>
        <v>5</v>
      </c>
      <c r="D426" s="19" t="str">
        <f t="shared" si="57"/>
        <v>1</v>
      </c>
      <c r="E426" s="19" t="str">
        <f t="shared" si="58"/>
        <v>00</v>
      </c>
      <c r="F426" s="19" t="str">
        <f t="shared" si="59"/>
        <v>00</v>
      </c>
      <c r="G426" s="19" t="s">
        <v>422</v>
      </c>
      <c r="H426" s="19" t="s">
        <v>2035</v>
      </c>
      <c r="I426" s="20" t="s">
        <v>2137</v>
      </c>
      <c r="J426" s="19"/>
      <c r="K426" s="19"/>
      <c r="L426" s="19"/>
      <c r="M426" s="20"/>
    </row>
    <row r="427" spans="1:13" ht="25.5" x14ac:dyDescent="0.25">
      <c r="A427" s="21" t="str">
        <f t="shared" si="54"/>
        <v>1</v>
      </c>
      <c r="B427" s="21" t="str">
        <f t="shared" si="55"/>
        <v>3</v>
      </c>
      <c r="C427" s="21" t="str">
        <f t="shared" si="56"/>
        <v>5</v>
      </c>
      <c r="D427" s="21" t="str">
        <f t="shared" si="57"/>
        <v>1</v>
      </c>
      <c r="E427" s="21" t="str">
        <f t="shared" si="58"/>
        <v>01</v>
      </c>
      <c r="F427" s="21" t="str">
        <f t="shared" si="59"/>
        <v>00</v>
      </c>
      <c r="G427" s="21" t="s">
        <v>423</v>
      </c>
      <c r="H427" s="21" t="s">
        <v>2036</v>
      </c>
      <c r="I427" s="22" t="s">
        <v>2138</v>
      </c>
      <c r="J427" s="21"/>
      <c r="K427" s="21"/>
      <c r="L427" s="21"/>
      <c r="M427" s="21"/>
    </row>
    <row r="428" spans="1:13" ht="51" x14ac:dyDescent="0.25">
      <c r="A428" s="21" t="str">
        <f t="shared" si="54"/>
        <v>1</v>
      </c>
      <c r="B428" s="21" t="str">
        <f t="shared" si="55"/>
        <v>3</v>
      </c>
      <c r="C428" s="21" t="str">
        <f t="shared" si="56"/>
        <v>5</v>
      </c>
      <c r="D428" s="21" t="str">
        <f t="shared" si="57"/>
        <v>1</v>
      </c>
      <c r="E428" s="21" t="str">
        <f t="shared" si="58"/>
        <v>02</v>
      </c>
      <c r="F428" s="21" t="str">
        <f t="shared" si="59"/>
        <v>00</v>
      </c>
      <c r="G428" s="21" t="s">
        <v>424</v>
      </c>
      <c r="H428" s="21" t="s">
        <v>2037</v>
      </c>
      <c r="I428" s="22" t="s">
        <v>2139</v>
      </c>
      <c r="J428" s="21"/>
      <c r="K428" s="21"/>
      <c r="L428" s="21"/>
      <c r="M428" s="21"/>
    </row>
    <row r="429" spans="1:13" ht="38.25" x14ac:dyDescent="0.25">
      <c r="A429" s="21" t="str">
        <f t="shared" si="54"/>
        <v>1</v>
      </c>
      <c r="B429" s="21" t="str">
        <f t="shared" si="55"/>
        <v>3</v>
      </c>
      <c r="C429" s="21" t="str">
        <f t="shared" si="56"/>
        <v>5</v>
      </c>
      <c r="D429" s="21" t="str">
        <f t="shared" si="57"/>
        <v>1</v>
      </c>
      <c r="E429" s="21" t="str">
        <f t="shared" si="58"/>
        <v>03</v>
      </c>
      <c r="F429" s="21" t="str">
        <f t="shared" si="59"/>
        <v>00</v>
      </c>
      <c r="G429" s="21" t="s">
        <v>425</v>
      </c>
      <c r="H429" s="21" t="s">
        <v>2038</v>
      </c>
      <c r="I429" s="22" t="s">
        <v>2138</v>
      </c>
      <c r="J429" s="21"/>
      <c r="K429" s="21"/>
      <c r="L429" s="21"/>
      <c r="M429" s="21"/>
    </row>
    <row r="430" spans="1:13" ht="51" x14ac:dyDescent="0.25">
      <c r="A430" s="21" t="str">
        <f t="shared" si="54"/>
        <v>1</v>
      </c>
      <c r="B430" s="21" t="str">
        <f t="shared" si="55"/>
        <v>3</v>
      </c>
      <c r="C430" s="21" t="str">
        <f t="shared" si="56"/>
        <v>5</v>
      </c>
      <c r="D430" s="21" t="str">
        <f t="shared" si="57"/>
        <v>1</v>
      </c>
      <c r="E430" s="21" t="str">
        <f t="shared" si="58"/>
        <v>04</v>
      </c>
      <c r="F430" s="21" t="str">
        <f t="shared" si="59"/>
        <v>00</v>
      </c>
      <c r="G430" s="21" t="s">
        <v>426</v>
      </c>
      <c r="H430" s="21" t="s">
        <v>2039</v>
      </c>
      <c r="I430" s="22" t="s">
        <v>2139</v>
      </c>
      <c r="J430" s="21"/>
      <c r="K430" s="21"/>
      <c r="L430" s="21"/>
      <c r="M430" s="21"/>
    </row>
    <row r="431" spans="1:13" ht="38.25" x14ac:dyDescent="0.25">
      <c r="A431" s="19" t="str">
        <f t="shared" si="54"/>
        <v>1</v>
      </c>
      <c r="B431" s="19" t="str">
        <f t="shared" si="55"/>
        <v>3</v>
      </c>
      <c r="C431" s="19" t="str">
        <f t="shared" si="56"/>
        <v>5</v>
      </c>
      <c r="D431" s="19" t="str">
        <f t="shared" si="57"/>
        <v>2</v>
      </c>
      <c r="E431" s="19" t="str">
        <f t="shared" si="58"/>
        <v>00</v>
      </c>
      <c r="F431" s="19" t="str">
        <f t="shared" si="59"/>
        <v>00</v>
      </c>
      <c r="G431" s="19" t="s">
        <v>427</v>
      </c>
      <c r="H431" s="19" t="s">
        <v>2040</v>
      </c>
      <c r="I431" s="20" t="s">
        <v>2140</v>
      </c>
      <c r="J431" s="19"/>
      <c r="K431" s="19"/>
      <c r="L431" s="19"/>
      <c r="M431" s="20"/>
    </row>
    <row r="432" spans="1:13" ht="25.5" x14ac:dyDescent="0.25">
      <c r="A432" s="12" t="str">
        <f t="shared" si="54"/>
        <v>1</v>
      </c>
      <c r="B432" s="12" t="str">
        <f t="shared" si="55"/>
        <v>3</v>
      </c>
      <c r="C432" s="12" t="str">
        <f t="shared" si="56"/>
        <v>6</v>
      </c>
      <c r="D432" s="12" t="str">
        <f t="shared" si="57"/>
        <v>0</v>
      </c>
      <c r="E432" s="12" t="str">
        <f t="shared" si="58"/>
        <v>00</v>
      </c>
      <c r="F432" s="12" t="str">
        <f t="shared" si="59"/>
        <v>00</v>
      </c>
      <c r="G432" s="12" t="s">
        <v>428</v>
      </c>
      <c r="H432" s="12" t="s">
        <v>2041</v>
      </c>
      <c r="I432" s="15" t="s">
        <v>2141</v>
      </c>
      <c r="J432" s="12"/>
      <c r="K432" s="12"/>
      <c r="L432" s="12"/>
      <c r="M432" s="15"/>
    </row>
    <row r="433" spans="1:13" ht="25.5" x14ac:dyDescent="0.25">
      <c r="A433" s="19" t="str">
        <f t="shared" si="54"/>
        <v>1</v>
      </c>
      <c r="B433" s="19" t="str">
        <f t="shared" si="55"/>
        <v>3</v>
      </c>
      <c r="C433" s="19" t="str">
        <f t="shared" si="56"/>
        <v>6</v>
      </c>
      <c r="D433" s="19" t="str">
        <f t="shared" si="57"/>
        <v>1</v>
      </c>
      <c r="E433" s="19" t="str">
        <f t="shared" si="58"/>
        <v>00</v>
      </c>
      <c r="F433" s="19" t="str">
        <f t="shared" si="59"/>
        <v>00</v>
      </c>
      <c r="G433" s="19" t="s">
        <v>429</v>
      </c>
      <c r="H433" s="19" t="s">
        <v>2042</v>
      </c>
      <c r="I433" s="20" t="s">
        <v>2142</v>
      </c>
      <c r="J433" s="19"/>
      <c r="K433" s="19"/>
      <c r="L433" s="19"/>
      <c r="M433" s="20"/>
    </row>
    <row r="434" spans="1:13" ht="38.25" x14ac:dyDescent="0.25">
      <c r="A434" s="21" t="str">
        <f t="shared" si="54"/>
        <v>1</v>
      </c>
      <c r="B434" s="21" t="str">
        <f t="shared" si="55"/>
        <v>3</v>
      </c>
      <c r="C434" s="21" t="str">
        <f t="shared" si="56"/>
        <v>6</v>
      </c>
      <c r="D434" s="21" t="str">
        <f t="shared" si="57"/>
        <v>1</v>
      </c>
      <c r="E434" s="21" t="str">
        <f t="shared" si="58"/>
        <v>01</v>
      </c>
      <c r="F434" s="21" t="str">
        <f t="shared" si="59"/>
        <v>00</v>
      </c>
      <c r="G434" s="21" t="s">
        <v>430</v>
      </c>
      <c r="H434" s="21" t="s">
        <v>2043</v>
      </c>
      <c r="I434" s="22" t="s">
        <v>2143</v>
      </c>
      <c r="J434" s="21"/>
      <c r="K434" s="21"/>
      <c r="L434" s="21"/>
      <c r="M434" s="21"/>
    </row>
    <row r="435" spans="1:13" ht="38.25" x14ac:dyDescent="0.25">
      <c r="A435" s="21" t="str">
        <f t="shared" si="54"/>
        <v>1</v>
      </c>
      <c r="B435" s="21" t="str">
        <f t="shared" si="55"/>
        <v>3</v>
      </c>
      <c r="C435" s="21" t="str">
        <f t="shared" si="56"/>
        <v>6</v>
      </c>
      <c r="D435" s="21" t="str">
        <f t="shared" si="57"/>
        <v>1</v>
      </c>
      <c r="E435" s="21" t="str">
        <f t="shared" si="58"/>
        <v>02</v>
      </c>
      <c r="F435" s="21" t="str">
        <f t="shared" si="59"/>
        <v>00</v>
      </c>
      <c r="G435" s="21" t="s">
        <v>431</v>
      </c>
      <c r="H435" s="21" t="s">
        <v>2044</v>
      </c>
      <c r="I435" s="22" t="s">
        <v>2144</v>
      </c>
      <c r="J435" s="21"/>
      <c r="K435" s="21"/>
      <c r="L435" s="21"/>
      <c r="M435" s="21"/>
    </row>
    <row r="436" spans="1:13" ht="38.25" x14ac:dyDescent="0.25">
      <c r="A436" s="21" t="str">
        <f t="shared" si="54"/>
        <v>1</v>
      </c>
      <c r="B436" s="21" t="str">
        <f t="shared" si="55"/>
        <v>3</v>
      </c>
      <c r="C436" s="21" t="str">
        <f t="shared" si="56"/>
        <v>6</v>
      </c>
      <c r="D436" s="21" t="str">
        <f t="shared" si="57"/>
        <v>1</v>
      </c>
      <c r="E436" s="21" t="str">
        <f t="shared" si="58"/>
        <v>03</v>
      </c>
      <c r="F436" s="21" t="str">
        <f t="shared" si="59"/>
        <v>00</v>
      </c>
      <c r="G436" s="21" t="s">
        <v>432</v>
      </c>
      <c r="H436" s="21" t="s">
        <v>2045</v>
      </c>
      <c r="I436" s="22" t="s">
        <v>2145</v>
      </c>
      <c r="J436" s="21"/>
      <c r="K436" s="21"/>
      <c r="L436" s="21"/>
      <c r="M436" s="21"/>
    </row>
    <row r="437" spans="1:13" x14ac:dyDescent="0.25">
      <c r="A437" s="12" t="str">
        <f t="shared" si="54"/>
        <v>1</v>
      </c>
      <c r="B437" s="12" t="str">
        <f t="shared" si="55"/>
        <v>3</v>
      </c>
      <c r="C437" s="12" t="str">
        <f t="shared" si="56"/>
        <v>9</v>
      </c>
      <c r="D437" s="12" t="str">
        <f t="shared" si="57"/>
        <v>0</v>
      </c>
      <c r="E437" s="12" t="str">
        <f t="shared" si="58"/>
        <v>00</v>
      </c>
      <c r="F437" s="12" t="str">
        <f t="shared" si="59"/>
        <v>00</v>
      </c>
      <c r="G437" s="12" t="s">
        <v>433</v>
      </c>
      <c r="H437" s="12" t="s">
        <v>2046</v>
      </c>
      <c r="I437" s="15" t="s">
        <v>2146</v>
      </c>
      <c r="J437" s="12"/>
      <c r="K437" s="12"/>
      <c r="L437" s="12"/>
      <c r="M437" s="15"/>
    </row>
    <row r="438" spans="1:13" ht="51" x14ac:dyDescent="0.25">
      <c r="A438" s="10" t="str">
        <f t="shared" si="54"/>
        <v>1</v>
      </c>
      <c r="B438" s="10" t="str">
        <f t="shared" si="55"/>
        <v>4</v>
      </c>
      <c r="C438" s="10" t="str">
        <f t="shared" si="56"/>
        <v>0</v>
      </c>
      <c r="D438" s="10" t="str">
        <f t="shared" si="57"/>
        <v>0</v>
      </c>
      <c r="E438" s="10" t="str">
        <f t="shared" si="58"/>
        <v>00</v>
      </c>
      <c r="F438" s="10" t="str">
        <f t="shared" si="59"/>
        <v>00</v>
      </c>
      <c r="G438" s="10" t="s">
        <v>434</v>
      </c>
      <c r="H438" s="10" t="s">
        <v>2147</v>
      </c>
      <c r="I438" s="14" t="s">
        <v>2297</v>
      </c>
      <c r="J438" s="10"/>
      <c r="K438" s="10"/>
      <c r="L438" s="10"/>
      <c r="M438" s="14"/>
    </row>
    <row r="439" spans="1:13" ht="25.5" x14ac:dyDescent="0.25">
      <c r="A439" s="12" t="str">
        <f t="shared" si="54"/>
        <v>1</v>
      </c>
      <c r="B439" s="12" t="str">
        <f t="shared" si="55"/>
        <v>4</v>
      </c>
      <c r="C439" s="12" t="str">
        <f t="shared" si="56"/>
        <v>1</v>
      </c>
      <c r="D439" s="12" t="str">
        <f t="shared" si="57"/>
        <v>0</v>
      </c>
      <c r="E439" s="12" t="str">
        <f t="shared" si="58"/>
        <v>00</v>
      </c>
      <c r="F439" s="12" t="str">
        <f t="shared" si="59"/>
        <v>00</v>
      </c>
      <c r="G439" s="12" t="s">
        <v>435</v>
      </c>
      <c r="H439" s="12" t="s">
        <v>2148</v>
      </c>
      <c r="I439" s="15" t="s">
        <v>2298</v>
      </c>
      <c r="J439" s="12"/>
      <c r="K439" s="12"/>
      <c r="L439" s="12"/>
      <c r="M439" s="15"/>
    </row>
    <row r="440" spans="1:13" ht="76.5" x14ac:dyDescent="0.25">
      <c r="A440" s="12" t="str">
        <f t="shared" si="54"/>
        <v>1</v>
      </c>
      <c r="B440" s="12" t="str">
        <f t="shared" si="55"/>
        <v>4</v>
      </c>
      <c r="C440" s="12" t="str">
        <f t="shared" si="56"/>
        <v>2</v>
      </c>
      <c r="D440" s="12" t="str">
        <f t="shared" si="57"/>
        <v>0</v>
      </c>
      <c r="E440" s="12" t="str">
        <f t="shared" si="58"/>
        <v>00</v>
      </c>
      <c r="F440" s="12" t="str">
        <f t="shared" si="59"/>
        <v>00</v>
      </c>
      <c r="G440" s="12" t="s">
        <v>436</v>
      </c>
      <c r="H440" s="12" t="s">
        <v>2149</v>
      </c>
      <c r="I440" s="15" t="s">
        <v>2299</v>
      </c>
      <c r="J440" s="12"/>
      <c r="K440" s="12"/>
      <c r="L440" s="12"/>
      <c r="M440" s="15"/>
    </row>
    <row r="441" spans="1:13" x14ac:dyDescent="0.25">
      <c r="A441" s="12" t="str">
        <f t="shared" si="54"/>
        <v>1</v>
      </c>
      <c r="B441" s="12" t="str">
        <f t="shared" si="55"/>
        <v>4</v>
      </c>
      <c r="C441" s="12" t="str">
        <f t="shared" si="56"/>
        <v>9</v>
      </c>
      <c r="D441" s="12" t="str">
        <f t="shared" si="57"/>
        <v>0</v>
      </c>
      <c r="E441" s="12" t="str">
        <f t="shared" si="58"/>
        <v>00</v>
      </c>
      <c r="F441" s="12" t="str">
        <f t="shared" si="59"/>
        <v>00</v>
      </c>
      <c r="G441" s="12" t="s">
        <v>437</v>
      </c>
      <c r="H441" s="12" t="s">
        <v>2150</v>
      </c>
      <c r="I441" s="15" t="s">
        <v>2300</v>
      </c>
      <c r="J441" s="12"/>
      <c r="K441" s="12"/>
      <c r="L441" s="12"/>
      <c r="M441" s="15"/>
    </row>
    <row r="442" spans="1:13" ht="25.5" x14ac:dyDescent="0.25">
      <c r="A442" s="10" t="str">
        <f t="shared" si="54"/>
        <v>1</v>
      </c>
      <c r="B442" s="10" t="str">
        <f t="shared" si="55"/>
        <v>5</v>
      </c>
      <c r="C442" s="10" t="str">
        <f t="shared" si="56"/>
        <v>0</v>
      </c>
      <c r="D442" s="10" t="str">
        <f t="shared" si="57"/>
        <v>0</v>
      </c>
      <c r="E442" s="10" t="str">
        <f t="shared" si="58"/>
        <v>00</v>
      </c>
      <c r="F442" s="10" t="str">
        <f t="shared" si="59"/>
        <v>00</v>
      </c>
      <c r="G442" s="10" t="s">
        <v>438</v>
      </c>
      <c r="H442" s="10" t="s">
        <v>2151</v>
      </c>
      <c r="I442" s="14" t="s">
        <v>2301</v>
      </c>
      <c r="J442" s="10"/>
      <c r="K442" s="10"/>
      <c r="L442" s="10"/>
      <c r="M442" s="14"/>
    </row>
    <row r="443" spans="1:13" ht="25.5" x14ac:dyDescent="0.25">
      <c r="A443" s="12" t="str">
        <f t="shared" si="54"/>
        <v>1</v>
      </c>
      <c r="B443" s="12" t="str">
        <f t="shared" si="55"/>
        <v>5</v>
      </c>
      <c r="C443" s="12" t="str">
        <f t="shared" si="56"/>
        <v>1</v>
      </c>
      <c r="D443" s="12" t="str">
        <f t="shared" si="57"/>
        <v>0</v>
      </c>
      <c r="E443" s="12" t="str">
        <f t="shared" si="58"/>
        <v>00</v>
      </c>
      <c r="F443" s="12" t="str">
        <f t="shared" si="59"/>
        <v>00</v>
      </c>
      <c r="G443" s="12" t="s">
        <v>439</v>
      </c>
      <c r="H443" s="12" t="s">
        <v>2152</v>
      </c>
      <c r="I443" s="15" t="s">
        <v>2302</v>
      </c>
      <c r="J443" s="12"/>
      <c r="K443" s="12"/>
      <c r="L443" s="12"/>
      <c r="M443" s="15"/>
    </row>
    <row r="444" spans="1:13" x14ac:dyDescent="0.25">
      <c r="A444" s="12" t="str">
        <f t="shared" si="54"/>
        <v>1</v>
      </c>
      <c r="B444" s="12" t="str">
        <f t="shared" si="55"/>
        <v>5</v>
      </c>
      <c r="C444" s="12" t="str">
        <f t="shared" si="56"/>
        <v>2</v>
      </c>
      <c r="D444" s="12" t="str">
        <f t="shared" si="57"/>
        <v>0</v>
      </c>
      <c r="E444" s="12" t="str">
        <f t="shared" si="58"/>
        <v>00</v>
      </c>
      <c r="F444" s="12" t="str">
        <f t="shared" si="59"/>
        <v>00</v>
      </c>
      <c r="G444" s="12" t="s">
        <v>440</v>
      </c>
      <c r="H444" s="12" t="s">
        <v>2153</v>
      </c>
      <c r="I444" s="15" t="s">
        <v>2303</v>
      </c>
      <c r="J444" s="12"/>
      <c r="K444" s="12"/>
      <c r="L444" s="12"/>
      <c r="M444" s="15"/>
    </row>
    <row r="445" spans="1:13" x14ac:dyDescent="0.25">
      <c r="A445" s="21" t="str">
        <f t="shared" si="54"/>
        <v>1</v>
      </c>
      <c r="B445" s="21" t="str">
        <f t="shared" si="55"/>
        <v>5</v>
      </c>
      <c r="C445" s="21" t="str">
        <f t="shared" si="56"/>
        <v>2</v>
      </c>
      <c r="D445" s="21" t="str">
        <f t="shared" si="57"/>
        <v>0</v>
      </c>
      <c r="E445" s="21" t="str">
        <f t="shared" si="58"/>
        <v>12</v>
      </c>
      <c r="F445" s="21" t="str">
        <f t="shared" si="59"/>
        <v>00</v>
      </c>
      <c r="G445" s="21" t="s">
        <v>441</v>
      </c>
      <c r="H445" s="21" t="s">
        <v>2154</v>
      </c>
      <c r="I445" s="22" t="s">
        <v>2304</v>
      </c>
      <c r="J445" s="21"/>
      <c r="K445" s="21"/>
      <c r="L445" s="21"/>
      <c r="M445" s="21"/>
    </row>
    <row r="446" spans="1:13" x14ac:dyDescent="0.25">
      <c r="A446" s="21" t="str">
        <f t="shared" si="54"/>
        <v>1</v>
      </c>
      <c r="B446" s="21" t="str">
        <f t="shared" si="55"/>
        <v>5</v>
      </c>
      <c r="C446" s="21" t="str">
        <f t="shared" si="56"/>
        <v>2</v>
      </c>
      <c r="D446" s="21" t="str">
        <f t="shared" si="57"/>
        <v>0</v>
      </c>
      <c r="E446" s="21" t="str">
        <f t="shared" si="58"/>
        <v>20</v>
      </c>
      <c r="F446" s="21" t="str">
        <f t="shared" si="59"/>
        <v>00</v>
      </c>
      <c r="G446" s="21" t="s">
        <v>442</v>
      </c>
      <c r="H446" s="21" t="s">
        <v>2155</v>
      </c>
      <c r="I446" s="22" t="s">
        <v>2305</v>
      </c>
      <c r="J446" s="21"/>
      <c r="K446" s="21"/>
      <c r="L446" s="21"/>
      <c r="M446" s="21"/>
    </row>
    <row r="447" spans="1:13" ht="25.5" x14ac:dyDescent="0.25">
      <c r="A447" s="21" t="str">
        <f t="shared" ref="A447:A510" si="66">MID(G447,1,1)</f>
        <v>1</v>
      </c>
      <c r="B447" s="21" t="str">
        <f t="shared" ref="B447:B510" si="67">MID(G447,2,1)</f>
        <v>5</v>
      </c>
      <c r="C447" s="21" t="str">
        <f t="shared" ref="C447:C510" si="68">MID(G447,3,1)</f>
        <v>2</v>
      </c>
      <c r="D447" s="21" t="str">
        <f t="shared" ref="D447:D510" si="69">MID(G447,4,1)</f>
        <v>0</v>
      </c>
      <c r="E447" s="21" t="str">
        <f t="shared" ref="E447:E510" si="70">MID(G447,6,2)</f>
        <v>21</v>
      </c>
      <c r="F447" s="21" t="str">
        <f t="shared" ref="F447:F510" si="71">MID(G447,9,2)</f>
        <v>00</v>
      </c>
      <c r="G447" s="21" t="s">
        <v>443</v>
      </c>
      <c r="H447" s="21" t="s">
        <v>2156</v>
      </c>
      <c r="I447" s="22" t="s">
        <v>2306</v>
      </c>
      <c r="J447" s="21"/>
      <c r="K447" s="21"/>
      <c r="L447" s="21"/>
      <c r="M447" s="21"/>
    </row>
    <row r="448" spans="1:13" ht="25.5" x14ac:dyDescent="0.25">
      <c r="A448" s="13" t="str">
        <f t="shared" si="66"/>
        <v>1</v>
      </c>
      <c r="B448" s="13" t="str">
        <f t="shared" si="67"/>
        <v>5</v>
      </c>
      <c r="C448" s="13" t="str">
        <f t="shared" si="68"/>
        <v>2</v>
      </c>
      <c r="D448" s="13" t="str">
        <f t="shared" si="69"/>
        <v>0</v>
      </c>
      <c r="E448" s="13" t="str">
        <f t="shared" si="70"/>
        <v>21</v>
      </c>
      <c r="F448" s="13" t="str">
        <f t="shared" si="71"/>
        <v>01</v>
      </c>
      <c r="G448" s="13" t="s">
        <v>444</v>
      </c>
      <c r="H448" s="13" t="s">
        <v>2157</v>
      </c>
      <c r="I448" s="16" t="s">
        <v>2307</v>
      </c>
      <c r="J448" s="13"/>
      <c r="K448" s="13"/>
      <c r="L448" s="13"/>
      <c r="M448" s="16"/>
    </row>
    <row r="449" spans="1:13" ht="25.5" x14ac:dyDescent="0.25">
      <c r="A449" s="13" t="str">
        <f t="shared" si="66"/>
        <v>1</v>
      </c>
      <c r="B449" s="13" t="str">
        <f t="shared" si="67"/>
        <v>5</v>
      </c>
      <c r="C449" s="13" t="str">
        <f t="shared" si="68"/>
        <v>2</v>
      </c>
      <c r="D449" s="13" t="str">
        <f t="shared" si="69"/>
        <v>0</v>
      </c>
      <c r="E449" s="13" t="str">
        <f t="shared" si="70"/>
        <v>21</v>
      </c>
      <c r="F449" s="13" t="str">
        <f t="shared" si="71"/>
        <v>02</v>
      </c>
      <c r="G449" s="13" t="s">
        <v>445</v>
      </c>
      <c r="H449" s="13" t="s">
        <v>2158</v>
      </c>
      <c r="I449" s="16" t="s">
        <v>2308</v>
      </c>
      <c r="J449" s="13"/>
      <c r="K449" s="13"/>
      <c r="L449" s="13"/>
      <c r="M449" s="16"/>
    </row>
    <row r="450" spans="1:13" ht="25.5" x14ac:dyDescent="0.25">
      <c r="A450" s="21" t="str">
        <f t="shared" si="66"/>
        <v>1</v>
      </c>
      <c r="B450" s="21" t="str">
        <f t="shared" si="67"/>
        <v>5</v>
      </c>
      <c r="C450" s="21" t="str">
        <f t="shared" si="68"/>
        <v>2</v>
      </c>
      <c r="D450" s="21" t="str">
        <f t="shared" si="69"/>
        <v>0</v>
      </c>
      <c r="E450" s="21" t="str">
        <f t="shared" si="70"/>
        <v>22</v>
      </c>
      <c r="F450" s="21" t="str">
        <f t="shared" si="71"/>
        <v>00</v>
      </c>
      <c r="G450" s="21" t="s">
        <v>446</v>
      </c>
      <c r="H450" s="21" t="s">
        <v>2159</v>
      </c>
      <c r="I450" s="22" t="s">
        <v>2309</v>
      </c>
      <c r="J450" s="21"/>
      <c r="K450" s="21"/>
      <c r="L450" s="21"/>
      <c r="M450" s="21"/>
    </row>
    <row r="451" spans="1:13" ht="25.5" x14ac:dyDescent="0.25">
      <c r="A451" s="21" t="str">
        <f t="shared" si="66"/>
        <v>1</v>
      </c>
      <c r="B451" s="21" t="str">
        <f t="shared" si="67"/>
        <v>5</v>
      </c>
      <c r="C451" s="21" t="str">
        <f t="shared" si="68"/>
        <v>2</v>
      </c>
      <c r="D451" s="21" t="str">
        <f t="shared" si="69"/>
        <v>0</v>
      </c>
      <c r="E451" s="21" t="str">
        <f t="shared" si="70"/>
        <v>26</v>
      </c>
      <c r="F451" s="21" t="str">
        <f t="shared" si="71"/>
        <v>00</v>
      </c>
      <c r="G451" s="21" t="s">
        <v>447</v>
      </c>
      <c r="H451" s="21" t="s">
        <v>2160</v>
      </c>
      <c r="I451" s="22" t="s">
        <v>2310</v>
      </c>
      <c r="J451" s="21"/>
      <c r="K451" s="21"/>
      <c r="L451" s="21"/>
      <c r="M451" s="21"/>
    </row>
    <row r="452" spans="1:13" ht="25.5" x14ac:dyDescent="0.25">
      <c r="A452" s="21" t="str">
        <f t="shared" si="66"/>
        <v>1</v>
      </c>
      <c r="B452" s="21" t="str">
        <f t="shared" si="67"/>
        <v>5</v>
      </c>
      <c r="C452" s="21" t="str">
        <f t="shared" si="68"/>
        <v>2</v>
      </c>
      <c r="D452" s="21" t="str">
        <f t="shared" si="69"/>
        <v>0</v>
      </c>
      <c r="E452" s="21" t="str">
        <f t="shared" si="70"/>
        <v>27</v>
      </c>
      <c r="F452" s="21" t="str">
        <f t="shared" si="71"/>
        <v>00</v>
      </c>
      <c r="G452" s="21" t="s">
        <v>448</v>
      </c>
      <c r="H452" s="21" t="s">
        <v>2161</v>
      </c>
      <c r="I452" s="22" t="s">
        <v>2311</v>
      </c>
      <c r="J452" s="21"/>
      <c r="K452" s="21"/>
      <c r="L452" s="21"/>
      <c r="M452" s="21"/>
    </row>
    <row r="453" spans="1:13" x14ac:dyDescent="0.25">
      <c r="A453" s="21" t="str">
        <f t="shared" si="66"/>
        <v>1</v>
      </c>
      <c r="B453" s="21" t="str">
        <f t="shared" si="67"/>
        <v>5</v>
      </c>
      <c r="C453" s="21" t="str">
        <f t="shared" si="68"/>
        <v>2</v>
      </c>
      <c r="D453" s="21" t="str">
        <f t="shared" si="69"/>
        <v>0</v>
      </c>
      <c r="E453" s="21" t="str">
        <f t="shared" si="70"/>
        <v>28</v>
      </c>
      <c r="F453" s="21" t="str">
        <f t="shared" si="71"/>
        <v>00</v>
      </c>
      <c r="G453" s="21" t="s">
        <v>449</v>
      </c>
      <c r="H453" s="21" t="s">
        <v>2162</v>
      </c>
      <c r="I453" s="22" t="s">
        <v>2312</v>
      </c>
      <c r="J453" s="21"/>
      <c r="K453" s="21"/>
      <c r="L453" s="21"/>
      <c r="M453" s="21"/>
    </row>
    <row r="454" spans="1:13" x14ac:dyDescent="0.25">
      <c r="A454" s="21" t="str">
        <f t="shared" si="66"/>
        <v>1</v>
      </c>
      <c r="B454" s="21" t="str">
        <f t="shared" si="67"/>
        <v>5</v>
      </c>
      <c r="C454" s="21" t="str">
        <f t="shared" si="68"/>
        <v>2</v>
      </c>
      <c r="D454" s="21" t="str">
        <f t="shared" si="69"/>
        <v>0</v>
      </c>
      <c r="E454" s="21" t="str">
        <f t="shared" si="70"/>
        <v>29</v>
      </c>
      <c r="F454" s="21" t="str">
        <f t="shared" si="71"/>
        <v>00</v>
      </c>
      <c r="G454" s="21" t="s">
        <v>450</v>
      </c>
      <c r="H454" s="21" t="s">
        <v>2163</v>
      </c>
      <c r="I454" s="22" t="s">
        <v>2313</v>
      </c>
      <c r="J454" s="21"/>
      <c r="K454" s="21"/>
      <c r="L454" s="21"/>
      <c r="M454" s="21"/>
    </row>
    <row r="455" spans="1:13" ht="25.5" x14ac:dyDescent="0.25">
      <c r="A455" s="21" t="str">
        <f t="shared" si="66"/>
        <v>1</v>
      </c>
      <c r="B455" s="21" t="str">
        <f t="shared" si="67"/>
        <v>5</v>
      </c>
      <c r="C455" s="21" t="str">
        <f t="shared" si="68"/>
        <v>2</v>
      </c>
      <c r="D455" s="21" t="str">
        <f t="shared" si="69"/>
        <v>0</v>
      </c>
      <c r="E455" s="21" t="str">
        <f t="shared" si="70"/>
        <v>30</v>
      </c>
      <c r="F455" s="21" t="str">
        <f t="shared" si="71"/>
        <v>00</v>
      </c>
      <c r="G455" s="21" t="s">
        <v>451</v>
      </c>
      <c r="H455" s="21" t="s">
        <v>2164</v>
      </c>
      <c r="I455" s="22" t="s">
        <v>2314</v>
      </c>
      <c r="J455" s="21"/>
      <c r="K455" s="21"/>
      <c r="L455" s="21"/>
      <c r="M455" s="21"/>
    </row>
    <row r="456" spans="1:13" ht="25.5" x14ac:dyDescent="0.25">
      <c r="A456" s="21" t="str">
        <f t="shared" si="66"/>
        <v>1</v>
      </c>
      <c r="B456" s="21" t="str">
        <f t="shared" si="67"/>
        <v>5</v>
      </c>
      <c r="C456" s="21" t="str">
        <f t="shared" si="68"/>
        <v>2</v>
      </c>
      <c r="D456" s="21" t="str">
        <f t="shared" si="69"/>
        <v>0</v>
      </c>
      <c r="E456" s="21" t="str">
        <f t="shared" si="70"/>
        <v>99</v>
      </c>
      <c r="F456" s="21" t="str">
        <f t="shared" si="71"/>
        <v>00</v>
      </c>
      <c r="G456" s="21" t="s">
        <v>452</v>
      </c>
      <c r="H456" s="21" t="s">
        <v>2165</v>
      </c>
      <c r="I456" s="22" t="s">
        <v>2315</v>
      </c>
      <c r="J456" s="21"/>
      <c r="K456" s="21"/>
      <c r="L456" s="21"/>
      <c r="M456" s="21"/>
    </row>
    <row r="457" spans="1:13" ht="51" x14ac:dyDescent="0.25">
      <c r="A457" s="12" t="str">
        <f t="shared" si="66"/>
        <v>1</v>
      </c>
      <c r="B457" s="12" t="str">
        <f t="shared" si="67"/>
        <v>5</v>
      </c>
      <c r="C457" s="12" t="str">
        <f t="shared" si="68"/>
        <v>3</v>
      </c>
      <c r="D457" s="12" t="str">
        <f t="shared" si="69"/>
        <v>0</v>
      </c>
      <c r="E457" s="12" t="str">
        <f t="shared" si="70"/>
        <v>00</v>
      </c>
      <c r="F457" s="12" t="str">
        <f t="shared" si="71"/>
        <v>00</v>
      </c>
      <c r="G457" s="12" t="s">
        <v>453</v>
      </c>
      <c r="H457" s="12" t="s">
        <v>2166</v>
      </c>
      <c r="I457" s="15" t="s">
        <v>2316</v>
      </c>
      <c r="J457" s="12"/>
      <c r="K457" s="12"/>
      <c r="L457" s="12"/>
      <c r="M457" s="15"/>
    </row>
    <row r="458" spans="1:13" x14ac:dyDescent="0.25">
      <c r="A458" s="12" t="str">
        <f t="shared" si="66"/>
        <v>1</v>
      </c>
      <c r="B458" s="12" t="str">
        <f t="shared" si="67"/>
        <v>5</v>
      </c>
      <c r="C458" s="12" t="str">
        <f t="shared" si="68"/>
        <v>9</v>
      </c>
      <c r="D458" s="12" t="str">
        <f t="shared" si="69"/>
        <v>0</v>
      </c>
      <c r="E458" s="12" t="str">
        <f t="shared" si="70"/>
        <v>00</v>
      </c>
      <c r="F458" s="12" t="str">
        <f t="shared" si="71"/>
        <v>00</v>
      </c>
      <c r="G458" s="12" t="s">
        <v>454</v>
      </c>
      <c r="H458" s="12" t="s">
        <v>2167</v>
      </c>
      <c r="I458" s="15" t="s">
        <v>2317</v>
      </c>
      <c r="J458" s="12"/>
      <c r="K458" s="12"/>
      <c r="L458" s="12"/>
      <c r="M458" s="15"/>
    </row>
    <row r="459" spans="1:13" ht="25.5" x14ac:dyDescent="0.25">
      <c r="A459" s="10" t="str">
        <f t="shared" si="66"/>
        <v>1</v>
      </c>
      <c r="B459" s="10" t="str">
        <f t="shared" si="67"/>
        <v>6</v>
      </c>
      <c r="C459" s="10" t="str">
        <f t="shared" si="68"/>
        <v>0</v>
      </c>
      <c r="D459" s="10" t="str">
        <f t="shared" si="69"/>
        <v>0</v>
      </c>
      <c r="E459" s="10" t="str">
        <f t="shared" si="70"/>
        <v>00</v>
      </c>
      <c r="F459" s="10" t="str">
        <f t="shared" si="71"/>
        <v>00</v>
      </c>
      <c r="G459" s="10" t="s">
        <v>455</v>
      </c>
      <c r="H459" s="10" t="s">
        <v>2168</v>
      </c>
      <c r="I459" s="14" t="s">
        <v>2318</v>
      </c>
      <c r="J459" s="10"/>
      <c r="K459" s="10"/>
      <c r="L459" s="10"/>
      <c r="M459" s="14"/>
    </row>
    <row r="460" spans="1:13" ht="63.75" x14ac:dyDescent="0.25">
      <c r="A460" s="21" t="str">
        <f t="shared" si="66"/>
        <v>1</v>
      </c>
      <c r="B460" s="21" t="str">
        <f t="shared" si="67"/>
        <v>6</v>
      </c>
      <c r="C460" s="21" t="str">
        <f t="shared" si="68"/>
        <v>0</v>
      </c>
      <c r="D460" s="21" t="str">
        <f t="shared" si="69"/>
        <v>0</v>
      </c>
      <c r="E460" s="21" t="str">
        <f t="shared" si="70"/>
        <v>01</v>
      </c>
      <c r="F460" s="21" t="str">
        <f t="shared" si="71"/>
        <v>00</v>
      </c>
      <c r="G460" s="21" t="s">
        <v>456</v>
      </c>
      <c r="H460" s="21" t="s">
        <v>2169</v>
      </c>
      <c r="I460" s="22" t="s">
        <v>2319</v>
      </c>
      <c r="J460" s="21"/>
      <c r="K460" s="21"/>
      <c r="L460" s="21"/>
      <c r="M460" s="21"/>
    </row>
    <row r="461" spans="1:13" ht="25.5" x14ac:dyDescent="0.25">
      <c r="A461" s="13" t="str">
        <f t="shared" si="66"/>
        <v>1</v>
      </c>
      <c r="B461" s="13" t="str">
        <f t="shared" si="67"/>
        <v>6</v>
      </c>
      <c r="C461" s="13" t="str">
        <f t="shared" si="68"/>
        <v>0</v>
      </c>
      <c r="D461" s="13" t="str">
        <f t="shared" si="69"/>
        <v>0</v>
      </c>
      <c r="E461" s="13" t="str">
        <f t="shared" si="70"/>
        <v>01</v>
      </c>
      <c r="F461" s="13" t="str">
        <f t="shared" si="71"/>
        <v>01</v>
      </c>
      <c r="G461" s="13" t="s">
        <v>457</v>
      </c>
      <c r="H461" s="13" t="s">
        <v>2170</v>
      </c>
      <c r="I461" s="16" t="s">
        <v>2320</v>
      </c>
      <c r="J461" s="13"/>
      <c r="K461" s="13"/>
      <c r="L461" s="13"/>
      <c r="M461" s="16"/>
    </row>
    <row r="462" spans="1:13" ht="38.25" x14ac:dyDescent="0.25">
      <c r="A462" s="13" t="str">
        <f t="shared" si="66"/>
        <v>1</v>
      </c>
      <c r="B462" s="13" t="str">
        <f t="shared" si="67"/>
        <v>6</v>
      </c>
      <c r="C462" s="13" t="str">
        <f t="shared" si="68"/>
        <v>0</v>
      </c>
      <c r="D462" s="13" t="str">
        <f t="shared" si="69"/>
        <v>0</v>
      </c>
      <c r="E462" s="13" t="str">
        <f t="shared" si="70"/>
        <v>01</v>
      </c>
      <c r="F462" s="13" t="str">
        <f t="shared" si="71"/>
        <v>02</v>
      </c>
      <c r="G462" s="13" t="s">
        <v>458</v>
      </c>
      <c r="H462" s="13" t="s">
        <v>2171</v>
      </c>
      <c r="I462" s="16" t="s">
        <v>2321</v>
      </c>
      <c r="J462" s="13"/>
      <c r="K462" s="13"/>
      <c r="L462" s="13"/>
      <c r="M462" s="16"/>
    </row>
    <row r="463" spans="1:13" ht="38.25" x14ac:dyDescent="0.25">
      <c r="A463" s="13" t="str">
        <f t="shared" si="66"/>
        <v>1</v>
      </c>
      <c r="B463" s="13" t="str">
        <f t="shared" si="67"/>
        <v>6</v>
      </c>
      <c r="C463" s="13" t="str">
        <f t="shared" si="68"/>
        <v>0</v>
      </c>
      <c r="D463" s="13" t="str">
        <f t="shared" si="69"/>
        <v>0</v>
      </c>
      <c r="E463" s="13" t="str">
        <f t="shared" si="70"/>
        <v>01</v>
      </c>
      <c r="F463" s="13" t="str">
        <f t="shared" si="71"/>
        <v>03</v>
      </c>
      <c r="G463" s="13" t="s">
        <v>459</v>
      </c>
      <c r="H463" s="13" t="s">
        <v>2172</v>
      </c>
      <c r="I463" s="16" t="s">
        <v>2322</v>
      </c>
      <c r="J463" s="13"/>
      <c r="K463" s="13"/>
      <c r="L463" s="13"/>
      <c r="M463" s="16"/>
    </row>
    <row r="464" spans="1:13" ht="25.5" x14ac:dyDescent="0.25">
      <c r="A464" s="13" t="str">
        <f t="shared" si="66"/>
        <v>1</v>
      </c>
      <c r="B464" s="13" t="str">
        <f t="shared" si="67"/>
        <v>6</v>
      </c>
      <c r="C464" s="13" t="str">
        <f t="shared" si="68"/>
        <v>0</v>
      </c>
      <c r="D464" s="13" t="str">
        <f t="shared" si="69"/>
        <v>0</v>
      </c>
      <c r="E464" s="13" t="str">
        <f t="shared" si="70"/>
        <v>01</v>
      </c>
      <c r="F464" s="13" t="str">
        <f t="shared" si="71"/>
        <v>06</v>
      </c>
      <c r="G464" s="13" t="s">
        <v>460</v>
      </c>
      <c r="H464" s="13" t="s">
        <v>2173</v>
      </c>
      <c r="I464" s="16" t="s">
        <v>2323</v>
      </c>
      <c r="J464" s="13"/>
      <c r="K464" s="13"/>
      <c r="L464" s="13"/>
      <c r="M464" s="16"/>
    </row>
    <row r="465" spans="1:13" ht="38.25" x14ac:dyDescent="0.25">
      <c r="A465" s="13" t="str">
        <f t="shared" si="66"/>
        <v>1</v>
      </c>
      <c r="B465" s="13" t="str">
        <f t="shared" si="67"/>
        <v>6</v>
      </c>
      <c r="C465" s="13" t="str">
        <f t="shared" si="68"/>
        <v>0</v>
      </c>
      <c r="D465" s="13" t="str">
        <f t="shared" si="69"/>
        <v>0</v>
      </c>
      <c r="E465" s="13" t="str">
        <f t="shared" si="70"/>
        <v>01</v>
      </c>
      <c r="F465" s="13" t="str">
        <f t="shared" si="71"/>
        <v>08</v>
      </c>
      <c r="G465" s="13" t="s">
        <v>461</v>
      </c>
      <c r="H465" s="13" t="s">
        <v>2174</v>
      </c>
      <c r="I465" s="16" t="s">
        <v>2324</v>
      </c>
      <c r="J465" s="13"/>
      <c r="K465" s="13"/>
      <c r="L465" s="13"/>
      <c r="M465" s="16"/>
    </row>
    <row r="466" spans="1:13" ht="38.25" x14ac:dyDescent="0.25">
      <c r="A466" s="13" t="str">
        <f t="shared" si="66"/>
        <v>1</v>
      </c>
      <c r="B466" s="13" t="str">
        <f t="shared" si="67"/>
        <v>6</v>
      </c>
      <c r="C466" s="13" t="str">
        <f t="shared" si="68"/>
        <v>0</v>
      </c>
      <c r="D466" s="13" t="str">
        <f t="shared" si="69"/>
        <v>0</v>
      </c>
      <c r="E466" s="13" t="str">
        <f t="shared" si="70"/>
        <v>01</v>
      </c>
      <c r="F466" s="13" t="str">
        <f t="shared" si="71"/>
        <v>09</v>
      </c>
      <c r="G466" s="13" t="s">
        <v>462</v>
      </c>
      <c r="H466" s="13" t="s">
        <v>2175</v>
      </c>
      <c r="I466" s="16" t="s">
        <v>2325</v>
      </c>
      <c r="J466" s="13"/>
      <c r="K466" s="13"/>
      <c r="L466" s="13"/>
      <c r="M466" s="16"/>
    </row>
    <row r="467" spans="1:13" ht="25.5" x14ac:dyDescent="0.25">
      <c r="A467" s="13" t="str">
        <f t="shared" si="66"/>
        <v>1</v>
      </c>
      <c r="B467" s="13" t="str">
        <f t="shared" si="67"/>
        <v>6</v>
      </c>
      <c r="C467" s="13" t="str">
        <f t="shared" si="68"/>
        <v>0</v>
      </c>
      <c r="D467" s="13" t="str">
        <f t="shared" si="69"/>
        <v>0</v>
      </c>
      <c r="E467" s="13" t="str">
        <f t="shared" si="70"/>
        <v>01</v>
      </c>
      <c r="F467" s="13" t="str">
        <f t="shared" si="71"/>
        <v>10</v>
      </c>
      <c r="G467" s="13" t="s">
        <v>463</v>
      </c>
      <c r="H467" s="13" t="s">
        <v>2176</v>
      </c>
      <c r="I467" s="16" t="s">
        <v>2326</v>
      </c>
      <c r="J467" s="13"/>
      <c r="K467" s="13"/>
      <c r="L467" s="13"/>
      <c r="M467" s="16"/>
    </row>
    <row r="468" spans="1:13" x14ac:dyDescent="0.25">
      <c r="A468" s="13" t="str">
        <f t="shared" si="66"/>
        <v>1</v>
      </c>
      <c r="B468" s="13" t="str">
        <f t="shared" si="67"/>
        <v>6</v>
      </c>
      <c r="C468" s="13" t="str">
        <f t="shared" si="68"/>
        <v>0</v>
      </c>
      <c r="D468" s="13" t="str">
        <f t="shared" si="69"/>
        <v>0</v>
      </c>
      <c r="E468" s="13" t="str">
        <f t="shared" si="70"/>
        <v>01</v>
      </c>
      <c r="F468" s="13" t="str">
        <f t="shared" si="71"/>
        <v>99</v>
      </c>
      <c r="G468" s="13" t="s">
        <v>464</v>
      </c>
      <c r="H468" s="13" t="s">
        <v>2177</v>
      </c>
      <c r="I468" s="16" t="s">
        <v>2327</v>
      </c>
      <c r="J468" s="13"/>
      <c r="K468" s="13"/>
      <c r="L468" s="13"/>
      <c r="M468" s="16"/>
    </row>
    <row r="469" spans="1:13" ht="38.25" x14ac:dyDescent="0.25">
      <c r="A469" s="21" t="str">
        <f t="shared" si="66"/>
        <v>1</v>
      </c>
      <c r="B469" s="21" t="str">
        <f t="shared" si="67"/>
        <v>6</v>
      </c>
      <c r="C469" s="21" t="str">
        <f t="shared" si="68"/>
        <v>0</v>
      </c>
      <c r="D469" s="21" t="str">
        <f t="shared" si="69"/>
        <v>0</v>
      </c>
      <c r="E469" s="21" t="str">
        <f t="shared" si="70"/>
        <v>02</v>
      </c>
      <c r="F469" s="21" t="str">
        <f t="shared" si="71"/>
        <v>00</v>
      </c>
      <c r="G469" s="21" t="s">
        <v>465</v>
      </c>
      <c r="H469" s="21" t="s">
        <v>2178</v>
      </c>
      <c r="I469" s="22" t="s">
        <v>2328</v>
      </c>
      <c r="J469" s="21"/>
      <c r="K469" s="21"/>
      <c r="L469" s="21"/>
      <c r="M469" s="21"/>
    </row>
    <row r="470" spans="1:13" ht="25.5" x14ac:dyDescent="0.25">
      <c r="A470" s="13" t="str">
        <f t="shared" si="66"/>
        <v>1</v>
      </c>
      <c r="B470" s="13" t="str">
        <f t="shared" si="67"/>
        <v>6</v>
      </c>
      <c r="C470" s="13" t="str">
        <f t="shared" si="68"/>
        <v>0</v>
      </c>
      <c r="D470" s="13" t="str">
        <f t="shared" si="69"/>
        <v>0</v>
      </c>
      <c r="E470" s="13" t="str">
        <f t="shared" si="70"/>
        <v>02</v>
      </c>
      <c r="F470" s="13" t="str">
        <f t="shared" si="71"/>
        <v>01</v>
      </c>
      <c r="G470" s="13" t="s">
        <v>466</v>
      </c>
      <c r="H470" s="13" t="s">
        <v>2179</v>
      </c>
      <c r="I470" s="16" t="s">
        <v>2329</v>
      </c>
      <c r="J470" s="13"/>
      <c r="K470" s="13"/>
      <c r="L470" s="13"/>
      <c r="M470" s="16"/>
    </row>
    <row r="471" spans="1:13" ht="25.5" x14ac:dyDescent="0.25">
      <c r="A471" s="13" t="str">
        <f t="shared" si="66"/>
        <v>1</v>
      </c>
      <c r="B471" s="13" t="str">
        <f t="shared" si="67"/>
        <v>6</v>
      </c>
      <c r="C471" s="13" t="str">
        <f t="shared" si="68"/>
        <v>0</v>
      </c>
      <c r="D471" s="13" t="str">
        <f t="shared" si="69"/>
        <v>0</v>
      </c>
      <c r="E471" s="13" t="str">
        <f t="shared" si="70"/>
        <v>02</v>
      </c>
      <c r="F471" s="13" t="str">
        <f t="shared" si="71"/>
        <v>03</v>
      </c>
      <c r="G471" s="13" t="s">
        <v>467</v>
      </c>
      <c r="H471" s="13" t="s">
        <v>2180</v>
      </c>
      <c r="I471" s="16" t="s">
        <v>2330</v>
      </c>
      <c r="J471" s="13"/>
      <c r="K471" s="13"/>
      <c r="L471" s="13"/>
      <c r="M471" s="16"/>
    </row>
    <row r="472" spans="1:13" x14ac:dyDescent="0.25">
      <c r="A472" s="13" t="str">
        <f t="shared" si="66"/>
        <v>1</v>
      </c>
      <c r="B472" s="13" t="str">
        <f t="shared" si="67"/>
        <v>6</v>
      </c>
      <c r="C472" s="13" t="str">
        <f t="shared" si="68"/>
        <v>0</v>
      </c>
      <c r="D472" s="13" t="str">
        <f t="shared" si="69"/>
        <v>0</v>
      </c>
      <c r="E472" s="13" t="str">
        <f t="shared" si="70"/>
        <v>02</v>
      </c>
      <c r="F472" s="13" t="str">
        <f t="shared" si="71"/>
        <v>05</v>
      </c>
      <c r="G472" s="13" t="s">
        <v>468</v>
      </c>
      <c r="H472" s="13" t="s">
        <v>2181</v>
      </c>
      <c r="I472" s="16" t="s">
        <v>2331</v>
      </c>
      <c r="J472" s="13"/>
      <c r="K472" s="13"/>
      <c r="L472" s="13"/>
      <c r="M472" s="16"/>
    </row>
    <row r="473" spans="1:13" ht="38.25" x14ac:dyDescent="0.25">
      <c r="A473" s="13" t="str">
        <f t="shared" si="66"/>
        <v>1</v>
      </c>
      <c r="B473" s="13" t="str">
        <f t="shared" si="67"/>
        <v>6</v>
      </c>
      <c r="C473" s="13" t="str">
        <f t="shared" si="68"/>
        <v>0</v>
      </c>
      <c r="D473" s="13" t="str">
        <f t="shared" si="69"/>
        <v>0</v>
      </c>
      <c r="E473" s="13" t="str">
        <f t="shared" si="70"/>
        <v>02</v>
      </c>
      <c r="F473" s="13" t="str">
        <f t="shared" si="71"/>
        <v>06</v>
      </c>
      <c r="G473" s="13" t="s">
        <v>469</v>
      </c>
      <c r="H473" s="13" t="s">
        <v>2182</v>
      </c>
      <c r="I473" s="16" t="s">
        <v>2332</v>
      </c>
      <c r="J473" s="13"/>
      <c r="K473" s="13"/>
      <c r="L473" s="13"/>
      <c r="M473" s="16"/>
    </row>
    <row r="474" spans="1:13" ht="38.25" x14ac:dyDescent="0.25">
      <c r="A474" s="13" t="str">
        <f t="shared" si="66"/>
        <v>1</v>
      </c>
      <c r="B474" s="13" t="str">
        <f t="shared" si="67"/>
        <v>6</v>
      </c>
      <c r="C474" s="13" t="str">
        <f t="shared" si="68"/>
        <v>0</v>
      </c>
      <c r="D474" s="13" t="str">
        <f t="shared" si="69"/>
        <v>0</v>
      </c>
      <c r="E474" s="13" t="str">
        <f t="shared" si="70"/>
        <v>02</v>
      </c>
      <c r="F474" s="13" t="str">
        <f t="shared" si="71"/>
        <v>11</v>
      </c>
      <c r="G474" s="13" t="s">
        <v>470</v>
      </c>
      <c r="H474" s="13" t="s">
        <v>2183</v>
      </c>
      <c r="I474" s="16" t="s">
        <v>2333</v>
      </c>
      <c r="J474" s="13"/>
      <c r="K474" s="13"/>
      <c r="L474" s="13"/>
      <c r="M474" s="16"/>
    </row>
    <row r="475" spans="1:13" ht="38.25" x14ac:dyDescent="0.25">
      <c r="A475" s="13" t="str">
        <f t="shared" si="66"/>
        <v>1</v>
      </c>
      <c r="B475" s="13" t="str">
        <f t="shared" si="67"/>
        <v>6</v>
      </c>
      <c r="C475" s="13" t="str">
        <f t="shared" si="68"/>
        <v>0</v>
      </c>
      <c r="D475" s="13" t="str">
        <f t="shared" si="69"/>
        <v>0</v>
      </c>
      <c r="E475" s="13" t="str">
        <f t="shared" si="70"/>
        <v>02</v>
      </c>
      <c r="F475" s="13" t="str">
        <f t="shared" si="71"/>
        <v>12</v>
      </c>
      <c r="G475" s="13" t="s">
        <v>471</v>
      </c>
      <c r="H475" s="13" t="s">
        <v>2184</v>
      </c>
      <c r="I475" s="16" t="s">
        <v>2334</v>
      </c>
      <c r="J475" s="13"/>
      <c r="K475" s="13"/>
      <c r="L475" s="13"/>
      <c r="M475" s="16"/>
    </row>
    <row r="476" spans="1:13" x14ac:dyDescent="0.25">
      <c r="A476" s="13" t="str">
        <f t="shared" si="66"/>
        <v>1</v>
      </c>
      <c r="B476" s="13" t="str">
        <f t="shared" si="67"/>
        <v>6</v>
      </c>
      <c r="C476" s="13" t="str">
        <f t="shared" si="68"/>
        <v>0</v>
      </c>
      <c r="D476" s="13" t="str">
        <f t="shared" si="69"/>
        <v>0</v>
      </c>
      <c r="E476" s="13" t="str">
        <f t="shared" si="70"/>
        <v>02</v>
      </c>
      <c r="F476" s="13" t="str">
        <f t="shared" si="71"/>
        <v>99</v>
      </c>
      <c r="G476" s="13" t="s">
        <v>472</v>
      </c>
      <c r="H476" s="13" t="s">
        <v>2185</v>
      </c>
      <c r="I476" s="16" t="s">
        <v>2335</v>
      </c>
      <c r="J476" s="13"/>
      <c r="K476" s="13"/>
      <c r="L476" s="13"/>
      <c r="M476" s="16"/>
    </row>
    <row r="477" spans="1:13" x14ac:dyDescent="0.25">
      <c r="A477" s="21" t="str">
        <f t="shared" si="66"/>
        <v>1</v>
      </c>
      <c r="B477" s="21" t="str">
        <f t="shared" si="67"/>
        <v>6</v>
      </c>
      <c r="C477" s="21" t="str">
        <f t="shared" si="68"/>
        <v>0</v>
      </c>
      <c r="D477" s="21" t="str">
        <f t="shared" si="69"/>
        <v>0</v>
      </c>
      <c r="E477" s="21" t="str">
        <f t="shared" si="70"/>
        <v>03</v>
      </c>
      <c r="F477" s="21" t="str">
        <f t="shared" si="71"/>
        <v>00</v>
      </c>
      <c r="G477" s="21" t="s">
        <v>473</v>
      </c>
      <c r="H477" s="21" t="s">
        <v>2186</v>
      </c>
      <c r="I477" s="22" t="s">
        <v>2336</v>
      </c>
      <c r="J477" s="21"/>
      <c r="K477" s="21"/>
      <c r="L477" s="21"/>
      <c r="M477" s="21"/>
    </row>
    <row r="478" spans="1:13" ht="25.5" x14ac:dyDescent="0.25">
      <c r="A478" s="13" t="str">
        <f t="shared" si="66"/>
        <v>1</v>
      </c>
      <c r="B478" s="13" t="str">
        <f t="shared" si="67"/>
        <v>6</v>
      </c>
      <c r="C478" s="13" t="str">
        <f t="shared" si="68"/>
        <v>0</v>
      </c>
      <c r="D478" s="13" t="str">
        <f t="shared" si="69"/>
        <v>0</v>
      </c>
      <c r="E478" s="13" t="str">
        <f t="shared" si="70"/>
        <v>03</v>
      </c>
      <c r="F478" s="13" t="str">
        <f t="shared" si="71"/>
        <v>01</v>
      </c>
      <c r="G478" s="13" t="s">
        <v>474</v>
      </c>
      <c r="H478" s="13" t="s">
        <v>2187</v>
      </c>
      <c r="I478" s="16" t="s">
        <v>2337</v>
      </c>
      <c r="J478" s="13"/>
      <c r="K478" s="13"/>
      <c r="L478" s="13"/>
      <c r="M478" s="16"/>
    </row>
    <row r="479" spans="1:13" x14ac:dyDescent="0.25">
      <c r="A479" s="13" t="str">
        <f t="shared" si="66"/>
        <v>1</v>
      </c>
      <c r="B479" s="13" t="str">
        <f t="shared" si="67"/>
        <v>6</v>
      </c>
      <c r="C479" s="13" t="str">
        <f t="shared" si="68"/>
        <v>0</v>
      </c>
      <c r="D479" s="13" t="str">
        <f t="shared" si="69"/>
        <v>0</v>
      </c>
      <c r="E479" s="13" t="str">
        <f t="shared" si="70"/>
        <v>03</v>
      </c>
      <c r="F479" s="13" t="str">
        <f t="shared" si="71"/>
        <v>02</v>
      </c>
      <c r="G479" s="13" t="s">
        <v>475</v>
      </c>
      <c r="H479" s="13" t="s">
        <v>2188</v>
      </c>
      <c r="I479" s="16" t="s">
        <v>2338</v>
      </c>
      <c r="J479" s="13"/>
      <c r="K479" s="13"/>
      <c r="L479" s="13"/>
      <c r="M479" s="16"/>
    </row>
    <row r="480" spans="1:13" ht="25.5" x14ac:dyDescent="0.25">
      <c r="A480" s="13" t="str">
        <f t="shared" si="66"/>
        <v>1</v>
      </c>
      <c r="B480" s="13" t="str">
        <f t="shared" si="67"/>
        <v>6</v>
      </c>
      <c r="C480" s="13" t="str">
        <f t="shared" si="68"/>
        <v>0</v>
      </c>
      <c r="D480" s="13" t="str">
        <f t="shared" si="69"/>
        <v>0</v>
      </c>
      <c r="E480" s="13" t="str">
        <f t="shared" si="70"/>
        <v>03</v>
      </c>
      <c r="F480" s="13" t="str">
        <f t="shared" si="71"/>
        <v>03</v>
      </c>
      <c r="G480" s="13" t="s">
        <v>476</v>
      </c>
      <c r="H480" s="13" t="s">
        <v>2189</v>
      </c>
      <c r="I480" s="16" t="s">
        <v>2339</v>
      </c>
      <c r="J480" s="13"/>
      <c r="K480" s="13"/>
      <c r="L480" s="13"/>
      <c r="M480" s="16"/>
    </row>
    <row r="481" spans="1:13" ht="25.5" x14ac:dyDescent="0.25">
      <c r="A481" s="13" t="str">
        <f t="shared" si="66"/>
        <v>1</v>
      </c>
      <c r="B481" s="13" t="str">
        <f t="shared" si="67"/>
        <v>6</v>
      </c>
      <c r="C481" s="13" t="str">
        <f t="shared" si="68"/>
        <v>0</v>
      </c>
      <c r="D481" s="13" t="str">
        <f t="shared" si="69"/>
        <v>0</v>
      </c>
      <c r="E481" s="13" t="str">
        <f t="shared" si="70"/>
        <v>03</v>
      </c>
      <c r="F481" s="13" t="str">
        <f t="shared" si="71"/>
        <v>04</v>
      </c>
      <c r="G481" s="13" t="s">
        <v>477</v>
      </c>
      <c r="H481" s="13" t="s">
        <v>2190</v>
      </c>
      <c r="I481" s="16" t="s">
        <v>2340</v>
      </c>
      <c r="J481" s="13"/>
      <c r="K481" s="13"/>
      <c r="L481" s="13"/>
      <c r="M481" s="16"/>
    </row>
    <row r="482" spans="1:13" x14ac:dyDescent="0.25">
      <c r="A482" s="13" t="str">
        <f t="shared" si="66"/>
        <v>1</v>
      </c>
      <c r="B482" s="13" t="str">
        <f t="shared" si="67"/>
        <v>6</v>
      </c>
      <c r="C482" s="13" t="str">
        <f t="shared" si="68"/>
        <v>0</v>
      </c>
      <c r="D482" s="13" t="str">
        <f t="shared" si="69"/>
        <v>0</v>
      </c>
      <c r="E482" s="13" t="str">
        <f t="shared" si="70"/>
        <v>03</v>
      </c>
      <c r="F482" s="13" t="str">
        <f t="shared" si="71"/>
        <v>05</v>
      </c>
      <c r="G482" s="13" t="s">
        <v>478</v>
      </c>
      <c r="H482" s="13" t="s">
        <v>2191</v>
      </c>
      <c r="I482" s="16" t="s">
        <v>2341</v>
      </c>
      <c r="J482" s="13"/>
      <c r="K482" s="13"/>
      <c r="L482" s="13"/>
      <c r="M482" s="16"/>
    </row>
    <row r="483" spans="1:13" x14ac:dyDescent="0.25">
      <c r="A483" s="13" t="str">
        <f t="shared" si="66"/>
        <v>1</v>
      </c>
      <c r="B483" s="13" t="str">
        <f t="shared" si="67"/>
        <v>6</v>
      </c>
      <c r="C483" s="13" t="str">
        <f t="shared" si="68"/>
        <v>0</v>
      </c>
      <c r="D483" s="13" t="str">
        <f t="shared" si="69"/>
        <v>0</v>
      </c>
      <c r="E483" s="13" t="str">
        <f t="shared" si="70"/>
        <v>03</v>
      </c>
      <c r="F483" s="13" t="str">
        <f t="shared" si="71"/>
        <v>06</v>
      </c>
      <c r="G483" s="13" t="s">
        <v>479</v>
      </c>
      <c r="H483" s="13" t="s">
        <v>2192</v>
      </c>
      <c r="I483" s="16" t="s">
        <v>2342</v>
      </c>
      <c r="J483" s="13"/>
      <c r="K483" s="13"/>
      <c r="L483" s="13"/>
      <c r="M483" s="16"/>
    </row>
    <row r="484" spans="1:13" x14ac:dyDescent="0.25">
      <c r="A484" s="13" t="str">
        <f t="shared" si="66"/>
        <v>1</v>
      </c>
      <c r="B484" s="13" t="str">
        <f t="shared" si="67"/>
        <v>6</v>
      </c>
      <c r="C484" s="13" t="str">
        <f t="shared" si="68"/>
        <v>0</v>
      </c>
      <c r="D484" s="13" t="str">
        <f t="shared" si="69"/>
        <v>0</v>
      </c>
      <c r="E484" s="13" t="str">
        <f t="shared" si="70"/>
        <v>03</v>
      </c>
      <c r="F484" s="13" t="str">
        <f t="shared" si="71"/>
        <v>99</v>
      </c>
      <c r="G484" s="13" t="s">
        <v>480</v>
      </c>
      <c r="H484" s="13" t="s">
        <v>2193</v>
      </c>
      <c r="I484" s="16" t="s">
        <v>2343</v>
      </c>
      <c r="J484" s="13"/>
      <c r="K484" s="13"/>
      <c r="L484" s="13"/>
      <c r="M484" s="16"/>
    </row>
    <row r="485" spans="1:13" ht="38.25" x14ac:dyDescent="0.25">
      <c r="A485" s="21" t="str">
        <f t="shared" si="66"/>
        <v>1</v>
      </c>
      <c r="B485" s="21" t="str">
        <f t="shared" si="67"/>
        <v>6</v>
      </c>
      <c r="C485" s="21" t="str">
        <f t="shared" si="68"/>
        <v>0</v>
      </c>
      <c r="D485" s="21" t="str">
        <f t="shared" si="69"/>
        <v>0</v>
      </c>
      <c r="E485" s="21" t="str">
        <f t="shared" si="70"/>
        <v>04</v>
      </c>
      <c r="F485" s="21" t="str">
        <f t="shared" si="71"/>
        <v>00</v>
      </c>
      <c r="G485" s="21" t="s">
        <v>481</v>
      </c>
      <c r="H485" s="21" t="s">
        <v>2194</v>
      </c>
      <c r="I485" s="22" t="s">
        <v>2344</v>
      </c>
      <c r="J485" s="21"/>
      <c r="K485" s="21"/>
      <c r="L485" s="21"/>
      <c r="M485" s="21"/>
    </row>
    <row r="486" spans="1:13" x14ac:dyDescent="0.25">
      <c r="A486" s="13" t="str">
        <f t="shared" si="66"/>
        <v>1</v>
      </c>
      <c r="B486" s="13" t="str">
        <f t="shared" si="67"/>
        <v>6</v>
      </c>
      <c r="C486" s="13" t="str">
        <f t="shared" si="68"/>
        <v>0</v>
      </c>
      <c r="D486" s="13" t="str">
        <f t="shared" si="69"/>
        <v>0</v>
      </c>
      <c r="E486" s="13" t="str">
        <f t="shared" si="70"/>
        <v>04</v>
      </c>
      <c r="F486" s="13" t="str">
        <f t="shared" si="71"/>
        <v>01</v>
      </c>
      <c r="G486" s="13" t="s">
        <v>482</v>
      </c>
      <c r="H486" s="13" t="s">
        <v>2195</v>
      </c>
      <c r="I486" s="16" t="s">
        <v>2345</v>
      </c>
      <c r="J486" s="13"/>
      <c r="K486" s="13"/>
      <c r="L486" s="13"/>
      <c r="M486" s="16"/>
    </row>
    <row r="487" spans="1:13" x14ac:dyDescent="0.25">
      <c r="A487" s="13" t="str">
        <f t="shared" si="66"/>
        <v>1</v>
      </c>
      <c r="B487" s="13" t="str">
        <f t="shared" si="67"/>
        <v>6</v>
      </c>
      <c r="C487" s="13" t="str">
        <f t="shared" si="68"/>
        <v>0</v>
      </c>
      <c r="D487" s="13" t="str">
        <f t="shared" si="69"/>
        <v>0</v>
      </c>
      <c r="E487" s="13" t="str">
        <f t="shared" si="70"/>
        <v>04</v>
      </c>
      <c r="F487" s="13" t="str">
        <f t="shared" si="71"/>
        <v>02</v>
      </c>
      <c r="G487" s="13" t="s">
        <v>483</v>
      </c>
      <c r="H487" s="13" t="s">
        <v>2196</v>
      </c>
      <c r="I487" s="16" t="s">
        <v>2346</v>
      </c>
      <c r="J487" s="13"/>
      <c r="K487" s="13"/>
      <c r="L487" s="13"/>
      <c r="M487" s="16"/>
    </row>
    <row r="488" spans="1:13" ht="25.5" x14ac:dyDescent="0.25">
      <c r="A488" s="13" t="str">
        <f t="shared" si="66"/>
        <v>1</v>
      </c>
      <c r="B488" s="13" t="str">
        <f t="shared" si="67"/>
        <v>6</v>
      </c>
      <c r="C488" s="13" t="str">
        <f t="shared" si="68"/>
        <v>0</v>
      </c>
      <c r="D488" s="13" t="str">
        <f t="shared" si="69"/>
        <v>0</v>
      </c>
      <c r="E488" s="13" t="str">
        <f t="shared" si="70"/>
        <v>04</v>
      </c>
      <c r="F488" s="13" t="str">
        <f t="shared" si="71"/>
        <v>03</v>
      </c>
      <c r="G488" s="13" t="s">
        <v>484</v>
      </c>
      <c r="H488" s="13" t="s">
        <v>2197</v>
      </c>
      <c r="I488" s="16" t="s">
        <v>2347</v>
      </c>
      <c r="J488" s="13"/>
      <c r="K488" s="13"/>
      <c r="L488" s="13"/>
      <c r="M488" s="16"/>
    </row>
    <row r="489" spans="1:13" ht="38.25" x14ac:dyDescent="0.25">
      <c r="A489" s="21" t="str">
        <f t="shared" si="66"/>
        <v>1</v>
      </c>
      <c r="B489" s="21" t="str">
        <f t="shared" si="67"/>
        <v>6</v>
      </c>
      <c r="C489" s="21" t="str">
        <f t="shared" si="68"/>
        <v>0</v>
      </c>
      <c r="D489" s="21" t="str">
        <f t="shared" si="69"/>
        <v>0</v>
      </c>
      <c r="E489" s="21" t="str">
        <f t="shared" si="70"/>
        <v>05</v>
      </c>
      <c r="F489" s="21" t="str">
        <f t="shared" si="71"/>
        <v>00</v>
      </c>
      <c r="G489" s="21" t="s">
        <v>485</v>
      </c>
      <c r="H489" s="21" t="s">
        <v>2198</v>
      </c>
      <c r="I489" s="22" t="s">
        <v>2348</v>
      </c>
      <c r="J489" s="21"/>
      <c r="K489" s="21"/>
      <c r="L489" s="21"/>
      <c r="M489" s="21"/>
    </row>
    <row r="490" spans="1:13" x14ac:dyDescent="0.25">
      <c r="A490" s="13" t="str">
        <f t="shared" si="66"/>
        <v>1</v>
      </c>
      <c r="B490" s="13" t="str">
        <f t="shared" si="67"/>
        <v>6</v>
      </c>
      <c r="C490" s="13" t="str">
        <f t="shared" si="68"/>
        <v>0</v>
      </c>
      <c r="D490" s="13" t="str">
        <f t="shared" si="69"/>
        <v>0</v>
      </c>
      <c r="E490" s="13" t="str">
        <f t="shared" si="70"/>
        <v>05</v>
      </c>
      <c r="F490" s="13" t="str">
        <f t="shared" si="71"/>
        <v>01</v>
      </c>
      <c r="G490" s="13" t="s">
        <v>486</v>
      </c>
      <c r="H490" s="13" t="s">
        <v>2199</v>
      </c>
      <c r="I490" s="16" t="s">
        <v>2349</v>
      </c>
      <c r="J490" s="13"/>
      <c r="K490" s="13"/>
      <c r="L490" s="13"/>
      <c r="M490" s="16"/>
    </row>
    <row r="491" spans="1:13" ht="38.25" x14ac:dyDescent="0.25">
      <c r="A491" s="13" t="str">
        <f t="shared" si="66"/>
        <v>1</v>
      </c>
      <c r="B491" s="13" t="str">
        <f t="shared" si="67"/>
        <v>6</v>
      </c>
      <c r="C491" s="13" t="str">
        <f t="shared" si="68"/>
        <v>0</v>
      </c>
      <c r="D491" s="13" t="str">
        <f t="shared" si="69"/>
        <v>0</v>
      </c>
      <c r="E491" s="13" t="str">
        <f t="shared" si="70"/>
        <v>05</v>
      </c>
      <c r="F491" s="13" t="str">
        <f t="shared" si="71"/>
        <v>02</v>
      </c>
      <c r="G491" s="13" t="s">
        <v>487</v>
      </c>
      <c r="H491" s="13" t="s">
        <v>2200</v>
      </c>
      <c r="I491" s="16" t="s">
        <v>2350</v>
      </c>
      <c r="J491" s="13"/>
      <c r="K491" s="13"/>
      <c r="L491" s="13"/>
      <c r="M491" s="16"/>
    </row>
    <row r="492" spans="1:13" x14ac:dyDescent="0.25">
      <c r="A492" s="13" t="str">
        <f t="shared" si="66"/>
        <v>1</v>
      </c>
      <c r="B492" s="13" t="str">
        <f t="shared" si="67"/>
        <v>6</v>
      </c>
      <c r="C492" s="13" t="str">
        <f t="shared" si="68"/>
        <v>0</v>
      </c>
      <c r="D492" s="13" t="str">
        <f t="shared" si="69"/>
        <v>0</v>
      </c>
      <c r="E492" s="13" t="str">
        <f t="shared" si="70"/>
        <v>05</v>
      </c>
      <c r="F492" s="13" t="str">
        <f t="shared" si="71"/>
        <v>03</v>
      </c>
      <c r="G492" s="13" t="s">
        <v>488</v>
      </c>
      <c r="H492" s="13" t="s">
        <v>2201</v>
      </c>
      <c r="I492" s="16" t="s">
        <v>2351</v>
      </c>
      <c r="J492" s="13"/>
      <c r="K492" s="13"/>
      <c r="L492" s="13"/>
      <c r="M492" s="16"/>
    </row>
    <row r="493" spans="1:13" ht="38.25" x14ac:dyDescent="0.25">
      <c r="A493" s="13" t="str">
        <f t="shared" si="66"/>
        <v>1</v>
      </c>
      <c r="B493" s="13" t="str">
        <f t="shared" si="67"/>
        <v>6</v>
      </c>
      <c r="C493" s="13" t="str">
        <f t="shared" si="68"/>
        <v>0</v>
      </c>
      <c r="D493" s="13" t="str">
        <f t="shared" si="69"/>
        <v>0</v>
      </c>
      <c r="E493" s="13" t="str">
        <f t="shared" si="70"/>
        <v>05</v>
      </c>
      <c r="F493" s="13" t="str">
        <f t="shared" si="71"/>
        <v>05</v>
      </c>
      <c r="G493" s="13" t="s">
        <v>489</v>
      </c>
      <c r="H493" s="13" t="s">
        <v>2202</v>
      </c>
      <c r="I493" s="16" t="s">
        <v>2352</v>
      </c>
      <c r="J493" s="13"/>
      <c r="K493" s="13"/>
      <c r="L493" s="13"/>
      <c r="M493" s="16"/>
    </row>
    <row r="494" spans="1:13" x14ac:dyDescent="0.25">
      <c r="A494" s="13" t="str">
        <f t="shared" si="66"/>
        <v>1</v>
      </c>
      <c r="B494" s="13" t="str">
        <f t="shared" si="67"/>
        <v>6</v>
      </c>
      <c r="C494" s="13" t="str">
        <f t="shared" si="68"/>
        <v>0</v>
      </c>
      <c r="D494" s="13" t="str">
        <f t="shared" si="69"/>
        <v>0</v>
      </c>
      <c r="E494" s="13" t="str">
        <f t="shared" si="70"/>
        <v>05</v>
      </c>
      <c r="F494" s="13" t="str">
        <f t="shared" si="71"/>
        <v>10</v>
      </c>
      <c r="G494" s="13" t="s">
        <v>490</v>
      </c>
      <c r="H494" s="13" t="s">
        <v>2203</v>
      </c>
      <c r="I494" s="16" t="s">
        <v>2353</v>
      </c>
      <c r="J494" s="13"/>
      <c r="K494" s="13"/>
      <c r="L494" s="13"/>
      <c r="M494" s="16"/>
    </row>
    <row r="495" spans="1:13" x14ac:dyDescent="0.25">
      <c r="A495" s="13" t="str">
        <f t="shared" si="66"/>
        <v>1</v>
      </c>
      <c r="B495" s="13" t="str">
        <f t="shared" si="67"/>
        <v>6</v>
      </c>
      <c r="C495" s="13" t="str">
        <f t="shared" si="68"/>
        <v>0</v>
      </c>
      <c r="D495" s="13" t="str">
        <f t="shared" si="69"/>
        <v>0</v>
      </c>
      <c r="E495" s="13" t="str">
        <f t="shared" si="70"/>
        <v>05</v>
      </c>
      <c r="F495" s="13" t="str">
        <f t="shared" si="71"/>
        <v>99</v>
      </c>
      <c r="G495" s="13" t="s">
        <v>491</v>
      </c>
      <c r="H495" s="13" t="s">
        <v>2204</v>
      </c>
      <c r="I495" s="16" t="s">
        <v>2354</v>
      </c>
      <c r="J495" s="13"/>
      <c r="K495" s="13"/>
      <c r="L495" s="13"/>
      <c r="M495" s="16"/>
    </row>
    <row r="496" spans="1:13" ht="25.5" x14ac:dyDescent="0.25">
      <c r="A496" s="21" t="str">
        <f t="shared" si="66"/>
        <v>1</v>
      </c>
      <c r="B496" s="21" t="str">
        <f t="shared" si="67"/>
        <v>6</v>
      </c>
      <c r="C496" s="21" t="str">
        <f t="shared" si="68"/>
        <v>0</v>
      </c>
      <c r="D496" s="21" t="str">
        <f t="shared" si="69"/>
        <v>0</v>
      </c>
      <c r="E496" s="21" t="str">
        <f t="shared" si="70"/>
        <v>06</v>
      </c>
      <c r="F496" s="21" t="str">
        <f t="shared" si="71"/>
        <v>00</v>
      </c>
      <c r="G496" s="21" t="s">
        <v>492</v>
      </c>
      <c r="H496" s="21" t="s">
        <v>2205</v>
      </c>
      <c r="I496" s="22" t="s">
        <v>2355</v>
      </c>
      <c r="J496" s="21"/>
      <c r="K496" s="21"/>
      <c r="L496" s="21"/>
      <c r="M496" s="21"/>
    </row>
    <row r="497" spans="1:13" ht="25.5" x14ac:dyDescent="0.25">
      <c r="A497" s="21" t="str">
        <f t="shared" si="66"/>
        <v>1</v>
      </c>
      <c r="B497" s="21" t="str">
        <f t="shared" si="67"/>
        <v>6</v>
      </c>
      <c r="C497" s="21" t="str">
        <f t="shared" si="68"/>
        <v>0</v>
      </c>
      <c r="D497" s="21" t="str">
        <f t="shared" si="69"/>
        <v>0</v>
      </c>
      <c r="E497" s="21" t="str">
        <f t="shared" si="70"/>
        <v>07</v>
      </c>
      <c r="F497" s="21" t="str">
        <f t="shared" si="71"/>
        <v>00</v>
      </c>
      <c r="G497" s="21" t="s">
        <v>493</v>
      </c>
      <c r="H497" s="21" t="s">
        <v>2206</v>
      </c>
      <c r="I497" s="22" t="s">
        <v>2356</v>
      </c>
      <c r="J497" s="21"/>
      <c r="K497" s="21"/>
      <c r="L497" s="21"/>
      <c r="M497" s="21"/>
    </row>
    <row r="498" spans="1:13" ht="25.5" x14ac:dyDescent="0.25">
      <c r="A498" s="21" t="str">
        <f t="shared" si="66"/>
        <v>1</v>
      </c>
      <c r="B498" s="21" t="str">
        <f t="shared" si="67"/>
        <v>6</v>
      </c>
      <c r="C498" s="21" t="str">
        <f t="shared" si="68"/>
        <v>0</v>
      </c>
      <c r="D498" s="21" t="str">
        <f t="shared" si="69"/>
        <v>0</v>
      </c>
      <c r="E498" s="21" t="str">
        <f t="shared" si="70"/>
        <v>08</v>
      </c>
      <c r="F498" s="21" t="str">
        <f t="shared" si="71"/>
        <v>00</v>
      </c>
      <c r="G498" s="21" t="s">
        <v>494</v>
      </c>
      <c r="H498" s="21" t="s">
        <v>2207</v>
      </c>
      <c r="I498" s="22" t="s">
        <v>2357</v>
      </c>
      <c r="J498" s="21"/>
      <c r="K498" s="21"/>
      <c r="L498" s="21"/>
      <c r="M498" s="21"/>
    </row>
    <row r="499" spans="1:13" ht="25.5" x14ac:dyDescent="0.25">
      <c r="A499" s="21" t="str">
        <f t="shared" si="66"/>
        <v>1</v>
      </c>
      <c r="B499" s="21" t="str">
        <f t="shared" si="67"/>
        <v>6</v>
      </c>
      <c r="C499" s="21" t="str">
        <f t="shared" si="68"/>
        <v>0</v>
      </c>
      <c r="D499" s="21" t="str">
        <f t="shared" si="69"/>
        <v>0</v>
      </c>
      <c r="E499" s="21" t="str">
        <f t="shared" si="70"/>
        <v>09</v>
      </c>
      <c r="F499" s="21" t="str">
        <f t="shared" si="71"/>
        <v>00</v>
      </c>
      <c r="G499" s="21" t="s">
        <v>495</v>
      </c>
      <c r="H499" s="21" t="s">
        <v>2208</v>
      </c>
      <c r="I499" s="22" t="s">
        <v>2358</v>
      </c>
      <c r="J499" s="21"/>
      <c r="K499" s="21"/>
      <c r="L499" s="21"/>
      <c r="M499" s="21"/>
    </row>
    <row r="500" spans="1:13" x14ac:dyDescent="0.25">
      <c r="A500" s="21" t="str">
        <f t="shared" si="66"/>
        <v>1</v>
      </c>
      <c r="B500" s="21" t="str">
        <f t="shared" si="67"/>
        <v>6</v>
      </c>
      <c r="C500" s="21" t="str">
        <f t="shared" si="68"/>
        <v>0</v>
      </c>
      <c r="D500" s="21" t="str">
        <f t="shared" si="69"/>
        <v>0</v>
      </c>
      <c r="E500" s="21" t="str">
        <f t="shared" si="70"/>
        <v>10</v>
      </c>
      <c r="F500" s="21" t="str">
        <f t="shared" si="71"/>
        <v>00</v>
      </c>
      <c r="G500" s="21" t="s">
        <v>496</v>
      </c>
      <c r="H500" s="21" t="s">
        <v>2209</v>
      </c>
      <c r="I500" s="22" t="s">
        <v>2359</v>
      </c>
      <c r="J500" s="21"/>
      <c r="K500" s="21"/>
      <c r="L500" s="21"/>
      <c r="M500" s="21"/>
    </row>
    <row r="501" spans="1:13" ht="25.5" x14ac:dyDescent="0.25">
      <c r="A501" s="21" t="str">
        <f t="shared" si="66"/>
        <v>1</v>
      </c>
      <c r="B501" s="21" t="str">
        <f t="shared" si="67"/>
        <v>6</v>
      </c>
      <c r="C501" s="21" t="str">
        <f t="shared" si="68"/>
        <v>0</v>
      </c>
      <c r="D501" s="21" t="str">
        <f t="shared" si="69"/>
        <v>0</v>
      </c>
      <c r="E501" s="21" t="str">
        <f t="shared" si="70"/>
        <v>11</v>
      </c>
      <c r="F501" s="21" t="str">
        <f t="shared" si="71"/>
        <v>00</v>
      </c>
      <c r="G501" s="21" t="s">
        <v>497</v>
      </c>
      <c r="H501" s="21" t="s">
        <v>2210</v>
      </c>
      <c r="I501" s="22" t="s">
        <v>2360</v>
      </c>
      <c r="J501" s="21"/>
      <c r="K501" s="21"/>
      <c r="L501" s="21"/>
      <c r="M501" s="21"/>
    </row>
    <row r="502" spans="1:13" ht="25.5" x14ac:dyDescent="0.25">
      <c r="A502" s="13" t="str">
        <f t="shared" si="66"/>
        <v>1</v>
      </c>
      <c r="B502" s="13" t="str">
        <f t="shared" si="67"/>
        <v>6</v>
      </c>
      <c r="C502" s="13" t="str">
        <f t="shared" si="68"/>
        <v>0</v>
      </c>
      <c r="D502" s="13" t="str">
        <f t="shared" si="69"/>
        <v>0</v>
      </c>
      <c r="E502" s="13" t="str">
        <f t="shared" si="70"/>
        <v>11</v>
      </c>
      <c r="F502" s="13" t="str">
        <f t="shared" si="71"/>
        <v>01</v>
      </c>
      <c r="G502" s="13" t="s">
        <v>498</v>
      </c>
      <c r="H502" s="13" t="s">
        <v>2211</v>
      </c>
      <c r="I502" s="16" t="s">
        <v>2361</v>
      </c>
      <c r="J502" s="13"/>
      <c r="K502" s="13"/>
      <c r="L502" s="13"/>
      <c r="M502" s="16"/>
    </row>
    <row r="503" spans="1:13" ht="25.5" x14ac:dyDescent="0.25">
      <c r="A503" s="13" t="str">
        <f t="shared" si="66"/>
        <v>1</v>
      </c>
      <c r="B503" s="13" t="str">
        <f t="shared" si="67"/>
        <v>6</v>
      </c>
      <c r="C503" s="13" t="str">
        <f t="shared" si="68"/>
        <v>0</v>
      </c>
      <c r="D503" s="13" t="str">
        <f t="shared" si="69"/>
        <v>0</v>
      </c>
      <c r="E503" s="13" t="str">
        <f t="shared" si="70"/>
        <v>11</v>
      </c>
      <c r="F503" s="13" t="str">
        <f t="shared" si="71"/>
        <v>02</v>
      </c>
      <c r="G503" s="13" t="s">
        <v>499</v>
      </c>
      <c r="H503" s="13" t="s">
        <v>2212</v>
      </c>
      <c r="I503" s="16" t="s">
        <v>2362</v>
      </c>
      <c r="J503" s="13"/>
      <c r="K503" s="13"/>
      <c r="L503" s="13"/>
      <c r="M503" s="16"/>
    </row>
    <row r="504" spans="1:13" ht="25.5" x14ac:dyDescent="0.25">
      <c r="A504" s="13" t="str">
        <f t="shared" si="66"/>
        <v>1</v>
      </c>
      <c r="B504" s="13" t="str">
        <f t="shared" si="67"/>
        <v>6</v>
      </c>
      <c r="C504" s="13" t="str">
        <f t="shared" si="68"/>
        <v>0</v>
      </c>
      <c r="D504" s="13" t="str">
        <f t="shared" si="69"/>
        <v>0</v>
      </c>
      <c r="E504" s="13" t="str">
        <f t="shared" si="70"/>
        <v>11</v>
      </c>
      <c r="F504" s="13" t="str">
        <f t="shared" si="71"/>
        <v>03</v>
      </c>
      <c r="G504" s="13" t="s">
        <v>500</v>
      </c>
      <c r="H504" s="13" t="s">
        <v>2213</v>
      </c>
      <c r="I504" s="16" t="s">
        <v>2363</v>
      </c>
      <c r="J504" s="13"/>
      <c r="K504" s="13"/>
      <c r="L504" s="13"/>
      <c r="M504" s="16"/>
    </row>
    <row r="505" spans="1:13" x14ac:dyDescent="0.25">
      <c r="A505" s="13" t="str">
        <f t="shared" si="66"/>
        <v>1</v>
      </c>
      <c r="B505" s="13" t="str">
        <f t="shared" si="67"/>
        <v>6</v>
      </c>
      <c r="C505" s="13" t="str">
        <f t="shared" si="68"/>
        <v>0</v>
      </c>
      <c r="D505" s="13" t="str">
        <f t="shared" si="69"/>
        <v>0</v>
      </c>
      <c r="E505" s="13" t="str">
        <f t="shared" si="70"/>
        <v>11</v>
      </c>
      <c r="F505" s="13" t="str">
        <f t="shared" si="71"/>
        <v>04</v>
      </c>
      <c r="G505" s="13" t="s">
        <v>501</v>
      </c>
      <c r="H505" s="13" t="s">
        <v>2214</v>
      </c>
      <c r="I505" s="16" t="s">
        <v>2364</v>
      </c>
      <c r="J505" s="13"/>
      <c r="K505" s="13"/>
      <c r="L505" s="13"/>
      <c r="M505" s="16"/>
    </row>
    <row r="506" spans="1:13" x14ac:dyDescent="0.25">
      <c r="A506" s="13" t="str">
        <f t="shared" si="66"/>
        <v>1</v>
      </c>
      <c r="B506" s="13" t="str">
        <f t="shared" si="67"/>
        <v>6</v>
      </c>
      <c r="C506" s="13" t="str">
        <f t="shared" si="68"/>
        <v>0</v>
      </c>
      <c r="D506" s="13" t="str">
        <f t="shared" si="69"/>
        <v>0</v>
      </c>
      <c r="E506" s="13" t="str">
        <f t="shared" si="70"/>
        <v>11</v>
      </c>
      <c r="F506" s="13" t="str">
        <f t="shared" si="71"/>
        <v>05</v>
      </c>
      <c r="G506" s="13" t="s">
        <v>502</v>
      </c>
      <c r="H506" s="13" t="s">
        <v>2215</v>
      </c>
      <c r="I506" s="16" t="s">
        <v>2365</v>
      </c>
      <c r="J506" s="13"/>
      <c r="K506" s="13"/>
      <c r="L506" s="13"/>
      <c r="M506" s="16"/>
    </row>
    <row r="507" spans="1:13" ht="25.5" x14ac:dyDescent="0.25">
      <c r="A507" s="13" t="str">
        <f t="shared" si="66"/>
        <v>1</v>
      </c>
      <c r="B507" s="13" t="str">
        <f t="shared" si="67"/>
        <v>6</v>
      </c>
      <c r="C507" s="13" t="str">
        <f t="shared" si="68"/>
        <v>0</v>
      </c>
      <c r="D507" s="13" t="str">
        <f t="shared" si="69"/>
        <v>0</v>
      </c>
      <c r="E507" s="13" t="str">
        <f t="shared" si="70"/>
        <v>11</v>
      </c>
      <c r="F507" s="13" t="str">
        <f t="shared" si="71"/>
        <v>99</v>
      </c>
      <c r="G507" s="13" t="s">
        <v>503</v>
      </c>
      <c r="H507" s="13" t="s">
        <v>2216</v>
      </c>
      <c r="I507" s="16" t="s">
        <v>2366</v>
      </c>
      <c r="J507" s="13"/>
      <c r="K507" s="13"/>
      <c r="L507" s="13"/>
      <c r="M507" s="16"/>
    </row>
    <row r="508" spans="1:13" x14ac:dyDescent="0.25">
      <c r="A508" s="21" t="str">
        <f t="shared" si="66"/>
        <v>1</v>
      </c>
      <c r="B508" s="21" t="str">
        <f t="shared" si="67"/>
        <v>6</v>
      </c>
      <c r="C508" s="21" t="str">
        <f t="shared" si="68"/>
        <v>0</v>
      </c>
      <c r="D508" s="21" t="str">
        <f t="shared" si="69"/>
        <v>0</v>
      </c>
      <c r="E508" s="21" t="str">
        <f t="shared" si="70"/>
        <v>12</v>
      </c>
      <c r="F508" s="21" t="str">
        <f t="shared" si="71"/>
        <v>00</v>
      </c>
      <c r="G508" s="21" t="s">
        <v>504</v>
      </c>
      <c r="H508" s="21" t="s">
        <v>2217</v>
      </c>
      <c r="I508" s="22" t="s">
        <v>2367</v>
      </c>
      <c r="J508" s="21"/>
      <c r="K508" s="21"/>
      <c r="L508" s="21"/>
      <c r="M508" s="21"/>
    </row>
    <row r="509" spans="1:13" ht="51" x14ac:dyDescent="0.25">
      <c r="A509" s="21" t="str">
        <f t="shared" si="66"/>
        <v>1</v>
      </c>
      <c r="B509" s="21" t="str">
        <f t="shared" si="67"/>
        <v>6</v>
      </c>
      <c r="C509" s="21" t="str">
        <f t="shared" si="68"/>
        <v>0</v>
      </c>
      <c r="D509" s="21" t="str">
        <f t="shared" si="69"/>
        <v>0</v>
      </c>
      <c r="E509" s="21" t="str">
        <f t="shared" si="70"/>
        <v>13</v>
      </c>
      <c r="F509" s="21" t="str">
        <f t="shared" si="71"/>
        <v>00</v>
      </c>
      <c r="G509" s="21" t="s">
        <v>505</v>
      </c>
      <c r="H509" s="21" t="s">
        <v>2218</v>
      </c>
      <c r="I509" s="22" t="s">
        <v>2368</v>
      </c>
      <c r="J509" s="21"/>
      <c r="K509" s="21"/>
      <c r="L509" s="21"/>
      <c r="M509" s="21"/>
    </row>
    <row r="510" spans="1:13" ht="25.5" x14ac:dyDescent="0.25">
      <c r="A510" s="13" t="str">
        <f t="shared" si="66"/>
        <v>1</v>
      </c>
      <c r="B510" s="13" t="str">
        <f t="shared" si="67"/>
        <v>6</v>
      </c>
      <c r="C510" s="13" t="str">
        <f t="shared" si="68"/>
        <v>0</v>
      </c>
      <c r="D510" s="13" t="str">
        <f t="shared" si="69"/>
        <v>0</v>
      </c>
      <c r="E510" s="13" t="str">
        <f t="shared" si="70"/>
        <v>13</v>
      </c>
      <c r="F510" s="13" t="str">
        <f t="shared" si="71"/>
        <v>01</v>
      </c>
      <c r="G510" s="13" t="s">
        <v>506</v>
      </c>
      <c r="H510" s="13" t="s">
        <v>2219</v>
      </c>
      <c r="I510" s="16" t="s">
        <v>2369</v>
      </c>
      <c r="J510" s="13"/>
      <c r="K510" s="13"/>
      <c r="L510" s="13"/>
      <c r="M510" s="16"/>
    </row>
    <row r="511" spans="1:13" x14ac:dyDescent="0.25">
      <c r="A511" s="13" t="str">
        <f t="shared" ref="A511:A574" si="72">MID(G511,1,1)</f>
        <v>1</v>
      </c>
      <c r="B511" s="13" t="str">
        <f t="shared" ref="B511:B574" si="73">MID(G511,2,1)</f>
        <v>6</v>
      </c>
      <c r="C511" s="13" t="str">
        <f t="shared" ref="C511:C574" si="74">MID(G511,3,1)</f>
        <v>0</v>
      </c>
      <c r="D511" s="13" t="str">
        <f t="shared" ref="D511:D574" si="75">MID(G511,4,1)</f>
        <v>0</v>
      </c>
      <c r="E511" s="13" t="str">
        <f t="shared" ref="E511:E574" si="76">MID(G511,6,2)</f>
        <v>13</v>
      </c>
      <c r="F511" s="13" t="str">
        <f t="shared" ref="F511:F574" si="77">MID(G511,9,2)</f>
        <v>02</v>
      </c>
      <c r="G511" s="13" t="s">
        <v>507</v>
      </c>
      <c r="H511" s="13" t="s">
        <v>2220</v>
      </c>
      <c r="I511" s="16" t="s">
        <v>2370</v>
      </c>
      <c r="J511" s="13"/>
      <c r="K511" s="13"/>
      <c r="L511" s="13"/>
      <c r="M511" s="16"/>
    </row>
    <row r="512" spans="1:13" x14ac:dyDescent="0.25">
      <c r="A512" s="13" t="str">
        <f t="shared" si="72"/>
        <v>1</v>
      </c>
      <c r="B512" s="13" t="str">
        <f t="shared" si="73"/>
        <v>6</v>
      </c>
      <c r="C512" s="13" t="str">
        <f t="shared" si="74"/>
        <v>0</v>
      </c>
      <c r="D512" s="13" t="str">
        <f t="shared" si="75"/>
        <v>0</v>
      </c>
      <c r="E512" s="13" t="str">
        <f t="shared" si="76"/>
        <v>13</v>
      </c>
      <c r="F512" s="13" t="str">
        <f t="shared" si="77"/>
        <v>03</v>
      </c>
      <c r="G512" s="13" t="s">
        <v>508</v>
      </c>
      <c r="H512" s="13" t="s">
        <v>2221</v>
      </c>
      <c r="I512" s="16" t="s">
        <v>2371</v>
      </c>
      <c r="J512" s="13"/>
      <c r="K512" s="13"/>
      <c r="L512" s="13"/>
      <c r="M512" s="16"/>
    </row>
    <row r="513" spans="1:13" x14ac:dyDescent="0.25">
      <c r="A513" s="13" t="str">
        <f t="shared" si="72"/>
        <v>1</v>
      </c>
      <c r="B513" s="13" t="str">
        <f t="shared" si="73"/>
        <v>6</v>
      </c>
      <c r="C513" s="13" t="str">
        <f t="shared" si="74"/>
        <v>0</v>
      </c>
      <c r="D513" s="13" t="str">
        <f t="shared" si="75"/>
        <v>0</v>
      </c>
      <c r="E513" s="13" t="str">
        <f t="shared" si="76"/>
        <v>13</v>
      </c>
      <c r="F513" s="13" t="str">
        <f t="shared" si="77"/>
        <v>04</v>
      </c>
      <c r="G513" s="13" t="s">
        <v>509</v>
      </c>
      <c r="H513" s="13" t="s">
        <v>2222</v>
      </c>
      <c r="I513" s="16" t="s">
        <v>2372</v>
      </c>
      <c r="J513" s="13"/>
      <c r="K513" s="13"/>
      <c r="L513" s="13"/>
      <c r="M513" s="16"/>
    </row>
    <row r="514" spans="1:13" x14ac:dyDescent="0.25">
      <c r="A514" s="13" t="str">
        <f t="shared" si="72"/>
        <v>1</v>
      </c>
      <c r="B514" s="13" t="str">
        <f t="shared" si="73"/>
        <v>6</v>
      </c>
      <c r="C514" s="13" t="str">
        <f t="shared" si="74"/>
        <v>0</v>
      </c>
      <c r="D514" s="13" t="str">
        <f t="shared" si="75"/>
        <v>0</v>
      </c>
      <c r="E514" s="13" t="str">
        <f t="shared" si="76"/>
        <v>13</v>
      </c>
      <c r="F514" s="13" t="str">
        <f t="shared" si="77"/>
        <v>05</v>
      </c>
      <c r="G514" s="13" t="s">
        <v>510</v>
      </c>
      <c r="H514" s="13" t="s">
        <v>2223</v>
      </c>
      <c r="I514" s="16" t="s">
        <v>2373</v>
      </c>
      <c r="J514" s="13"/>
      <c r="K514" s="13"/>
      <c r="L514" s="13"/>
      <c r="M514" s="16"/>
    </row>
    <row r="515" spans="1:13" x14ac:dyDescent="0.25">
      <c r="A515" s="13" t="str">
        <f t="shared" si="72"/>
        <v>1</v>
      </c>
      <c r="B515" s="13" t="str">
        <f t="shared" si="73"/>
        <v>6</v>
      </c>
      <c r="C515" s="13" t="str">
        <f t="shared" si="74"/>
        <v>0</v>
      </c>
      <c r="D515" s="13" t="str">
        <f t="shared" si="75"/>
        <v>0</v>
      </c>
      <c r="E515" s="13" t="str">
        <f t="shared" si="76"/>
        <v>13</v>
      </c>
      <c r="F515" s="13" t="str">
        <f t="shared" si="77"/>
        <v>06</v>
      </c>
      <c r="G515" s="13" t="s">
        <v>511</v>
      </c>
      <c r="H515" s="13" t="s">
        <v>2224</v>
      </c>
      <c r="I515" s="16" t="s">
        <v>2374</v>
      </c>
      <c r="J515" s="13"/>
      <c r="K515" s="13"/>
      <c r="L515" s="13"/>
      <c r="M515" s="16"/>
    </row>
    <row r="516" spans="1:13" ht="25.5" x14ac:dyDescent="0.25">
      <c r="A516" s="13" t="str">
        <f t="shared" si="72"/>
        <v>1</v>
      </c>
      <c r="B516" s="13" t="str">
        <f t="shared" si="73"/>
        <v>6</v>
      </c>
      <c r="C516" s="13" t="str">
        <f t="shared" si="74"/>
        <v>0</v>
      </c>
      <c r="D516" s="13" t="str">
        <f t="shared" si="75"/>
        <v>0</v>
      </c>
      <c r="E516" s="13" t="str">
        <f t="shared" si="76"/>
        <v>13</v>
      </c>
      <c r="F516" s="13" t="str">
        <f t="shared" si="77"/>
        <v>07</v>
      </c>
      <c r="G516" s="13" t="s">
        <v>512</v>
      </c>
      <c r="H516" s="13" t="s">
        <v>2225</v>
      </c>
      <c r="I516" s="16" t="s">
        <v>2375</v>
      </c>
      <c r="J516" s="13"/>
      <c r="K516" s="13"/>
      <c r="L516" s="13"/>
      <c r="M516" s="16"/>
    </row>
    <row r="517" spans="1:13" x14ac:dyDescent="0.25">
      <c r="A517" s="13" t="str">
        <f t="shared" si="72"/>
        <v>1</v>
      </c>
      <c r="B517" s="13" t="str">
        <f t="shared" si="73"/>
        <v>6</v>
      </c>
      <c r="C517" s="13" t="str">
        <f t="shared" si="74"/>
        <v>0</v>
      </c>
      <c r="D517" s="13" t="str">
        <f t="shared" si="75"/>
        <v>0</v>
      </c>
      <c r="E517" s="13" t="str">
        <f t="shared" si="76"/>
        <v>13</v>
      </c>
      <c r="F517" s="13" t="str">
        <f t="shared" si="77"/>
        <v>99</v>
      </c>
      <c r="G517" s="13" t="s">
        <v>513</v>
      </c>
      <c r="H517" s="13" t="s">
        <v>2226</v>
      </c>
      <c r="I517" s="16" t="s">
        <v>2376</v>
      </c>
      <c r="J517" s="13"/>
      <c r="K517" s="13"/>
      <c r="L517" s="13"/>
      <c r="M517" s="16"/>
    </row>
    <row r="518" spans="1:13" ht="38.25" x14ac:dyDescent="0.25">
      <c r="A518" s="21" t="str">
        <f t="shared" si="72"/>
        <v>1</v>
      </c>
      <c r="B518" s="21" t="str">
        <f t="shared" si="73"/>
        <v>6</v>
      </c>
      <c r="C518" s="21" t="str">
        <f t="shared" si="74"/>
        <v>0</v>
      </c>
      <c r="D518" s="21" t="str">
        <f t="shared" si="75"/>
        <v>0</v>
      </c>
      <c r="E518" s="21" t="str">
        <f t="shared" si="76"/>
        <v>14</v>
      </c>
      <c r="F518" s="21" t="str">
        <f t="shared" si="77"/>
        <v>00</v>
      </c>
      <c r="G518" s="21" t="s">
        <v>514</v>
      </c>
      <c r="H518" s="21" t="s">
        <v>2227</v>
      </c>
      <c r="I518" s="22" t="s">
        <v>2377</v>
      </c>
      <c r="J518" s="21"/>
      <c r="K518" s="21"/>
      <c r="L518" s="21"/>
      <c r="M518" s="21"/>
    </row>
    <row r="519" spans="1:13" ht="25.5" x14ac:dyDescent="0.25">
      <c r="A519" s="21" t="str">
        <f t="shared" si="72"/>
        <v>1</v>
      </c>
      <c r="B519" s="21" t="str">
        <f t="shared" si="73"/>
        <v>6</v>
      </c>
      <c r="C519" s="21" t="str">
        <f t="shared" si="74"/>
        <v>0</v>
      </c>
      <c r="D519" s="21" t="str">
        <f t="shared" si="75"/>
        <v>0</v>
      </c>
      <c r="E519" s="21" t="str">
        <f t="shared" si="76"/>
        <v>15</v>
      </c>
      <c r="F519" s="21" t="str">
        <f t="shared" si="77"/>
        <v>00</v>
      </c>
      <c r="G519" s="21" t="s">
        <v>515</v>
      </c>
      <c r="H519" s="21" t="s">
        <v>2228</v>
      </c>
      <c r="I519" s="22" t="s">
        <v>2378</v>
      </c>
      <c r="J519" s="21"/>
      <c r="K519" s="21"/>
      <c r="L519" s="21"/>
      <c r="M519" s="21"/>
    </row>
    <row r="520" spans="1:13" ht="51" x14ac:dyDescent="0.25">
      <c r="A520" s="21" t="str">
        <f t="shared" si="72"/>
        <v>1</v>
      </c>
      <c r="B520" s="21" t="str">
        <f t="shared" si="73"/>
        <v>6</v>
      </c>
      <c r="C520" s="21" t="str">
        <f t="shared" si="74"/>
        <v>0</v>
      </c>
      <c r="D520" s="21" t="str">
        <f t="shared" si="75"/>
        <v>0</v>
      </c>
      <c r="E520" s="21" t="str">
        <f t="shared" si="76"/>
        <v>16</v>
      </c>
      <c r="F520" s="21" t="str">
        <f t="shared" si="77"/>
        <v>00</v>
      </c>
      <c r="G520" s="21" t="s">
        <v>516</v>
      </c>
      <c r="H520" s="21" t="s">
        <v>2229</v>
      </c>
      <c r="I520" s="22" t="s">
        <v>2379</v>
      </c>
      <c r="J520" s="21"/>
      <c r="K520" s="21"/>
      <c r="L520" s="21"/>
      <c r="M520" s="21"/>
    </row>
    <row r="521" spans="1:13" x14ac:dyDescent="0.25">
      <c r="A521" s="21" t="str">
        <f t="shared" si="72"/>
        <v>1</v>
      </c>
      <c r="B521" s="21" t="str">
        <f t="shared" si="73"/>
        <v>6</v>
      </c>
      <c r="C521" s="21" t="str">
        <f t="shared" si="74"/>
        <v>0</v>
      </c>
      <c r="D521" s="21" t="str">
        <f t="shared" si="75"/>
        <v>0</v>
      </c>
      <c r="E521" s="21" t="str">
        <f t="shared" si="76"/>
        <v>17</v>
      </c>
      <c r="F521" s="21" t="str">
        <f t="shared" si="77"/>
        <v>00</v>
      </c>
      <c r="G521" s="21" t="s">
        <v>517</v>
      </c>
      <c r="H521" s="21" t="s">
        <v>2230</v>
      </c>
      <c r="I521" s="22" t="s">
        <v>2380</v>
      </c>
      <c r="J521" s="21"/>
      <c r="K521" s="21"/>
      <c r="L521" s="21"/>
      <c r="M521" s="21"/>
    </row>
    <row r="522" spans="1:13" ht="63.75" x14ac:dyDescent="0.25">
      <c r="A522" s="21" t="str">
        <f t="shared" si="72"/>
        <v>1</v>
      </c>
      <c r="B522" s="21" t="str">
        <f t="shared" si="73"/>
        <v>6</v>
      </c>
      <c r="C522" s="21" t="str">
        <f t="shared" si="74"/>
        <v>0</v>
      </c>
      <c r="D522" s="21" t="str">
        <f t="shared" si="75"/>
        <v>0</v>
      </c>
      <c r="E522" s="21" t="str">
        <f t="shared" si="76"/>
        <v>18</v>
      </c>
      <c r="F522" s="21" t="str">
        <f t="shared" si="77"/>
        <v>00</v>
      </c>
      <c r="G522" s="21" t="s">
        <v>518</v>
      </c>
      <c r="H522" s="21" t="s">
        <v>2231</v>
      </c>
      <c r="I522" s="22" t="s">
        <v>2381</v>
      </c>
      <c r="J522" s="21"/>
      <c r="K522" s="21"/>
      <c r="L522" s="21"/>
      <c r="M522" s="21"/>
    </row>
    <row r="523" spans="1:13" ht="38.25" x14ac:dyDescent="0.25">
      <c r="A523" s="21" t="str">
        <f t="shared" si="72"/>
        <v>1</v>
      </c>
      <c r="B523" s="21" t="str">
        <f t="shared" si="73"/>
        <v>6</v>
      </c>
      <c r="C523" s="21" t="str">
        <f t="shared" si="74"/>
        <v>0</v>
      </c>
      <c r="D523" s="21" t="str">
        <f t="shared" si="75"/>
        <v>0</v>
      </c>
      <c r="E523" s="21" t="str">
        <f t="shared" si="76"/>
        <v>19</v>
      </c>
      <c r="F523" s="21" t="str">
        <f t="shared" si="77"/>
        <v>00</v>
      </c>
      <c r="G523" s="21" t="s">
        <v>519</v>
      </c>
      <c r="H523" s="21" t="s">
        <v>2232</v>
      </c>
      <c r="I523" s="22" t="s">
        <v>2382</v>
      </c>
      <c r="J523" s="21"/>
      <c r="K523" s="21"/>
      <c r="L523" s="21"/>
      <c r="M523" s="21"/>
    </row>
    <row r="524" spans="1:13" ht="38.25" x14ac:dyDescent="0.25">
      <c r="A524" s="21" t="str">
        <f t="shared" si="72"/>
        <v>1</v>
      </c>
      <c r="B524" s="21" t="str">
        <f t="shared" si="73"/>
        <v>6</v>
      </c>
      <c r="C524" s="21" t="str">
        <f t="shared" si="74"/>
        <v>0</v>
      </c>
      <c r="D524" s="21" t="str">
        <f t="shared" si="75"/>
        <v>0</v>
      </c>
      <c r="E524" s="21" t="str">
        <f t="shared" si="76"/>
        <v>20</v>
      </c>
      <c r="F524" s="21" t="str">
        <f t="shared" si="77"/>
        <v>00</v>
      </c>
      <c r="G524" s="21" t="s">
        <v>520</v>
      </c>
      <c r="H524" s="21" t="s">
        <v>2233</v>
      </c>
      <c r="I524" s="22" t="s">
        <v>2383</v>
      </c>
      <c r="J524" s="21"/>
      <c r="K524" s="21"/>
      <c r="L524" s="21"/>
      <c r="M524" s="21"/>
    </row>
    <row r="525" spans="1:13" ht="38.25" x14ac:dyDescent="0.25">
      <c r="A525" s="13" t="str">
        <f t="shared" si="72"/>
        <v>1</v>
      </c>
      <c r="B525" s="13" t="str">
        <f t="shared" si="73"/>
        <v>6</v>
      </c>
      <c r="C525" s="13" t="str">
        <f t="shared" si="74"/>
        <v>0</v>
      </c>
      <c r="D525" s="13" t="str">
        <f t="shared" si="75"/>
        <v>0</v>
      </c>
      <c r="E525" s="13" t="str">
        <f t="shared" si="76"/>
        <v>20</v>
      </c>
      <c r="F525" s="13" t="str">
        <f t="shared" si="77"/>
        <v>01</v>
      </c>
      <c r="G525" s="13" t="s">
        <v>521</v>
      </c>
      <c r="H525" s="13" t="s">
        <v>2234</v>
      </c>
      <c r="I525" s="16" t="s">
        <v>4077</v>
      </c>
      <c r="J525" s="13"/>
      <c r="K525" s="13" t="s">
        <v>4018</v>
      </c>
      <c r="L525" s="13" t="s">
        <v>4218</v>
      </c>
      <c r="M525" s="16"/>
    </row>
    <row r="526" spans="1:13" ht="51" x14ac:dyDescent="0.25">
      <c r="A526" s="13" t="str">
        <f t="shared" si="72"/>
        <v>1</v>
      </c>
      <c r="B526" s="13" t="str">
        <f t="shared" si="73"/>
        <v>6</v>
      </c>
      <c r="C526" s="13" t="str">
        <f t="shared" si="74"/>
        <v>0</v>
      </c>
      <c r="D526" s="13" t="str">
        <f t="shared" si="75"/>
        <v>0</v>
      </c>
      <c r="E526" s="13" t="str">
        <f t="shared" si="76"/>
        <v>20</v>
      </c>
      <c r="F526" s="13" t="str">
        <f t="shared" si="77"/>
        <v>02</v>
      </c>
      <c r="G526" s="13" t="s">
        <v>522</v>
      </c>
      <c r="H526" s="13" t="s">
        <v>2235</v>
      </c>
      <c r="I526" s="16" t="s">
        <v>4076</v>
      </c>
      <c r="J526" s="13"/>
      <c r="K526" s="13" t="s">
        <v>4018</v>
      </c>
      <c r="L526" s="13" t="s">
        <v>4218</v>
      </c>
      <c r="M526" s="16"/>
    </row>
    <row r="527" spans="1:13" ht="38.25" x14ac:dyDescent="0.25">
      <c r="A527" s="21" t="str">
        <f t="shared" si="72"/>
        <v>1</v>
      </c>
      <c r="B527" s="21" t="str">
        <f t="shared" si="73"/>
        <v>6</v>
      </c>
      <c r="C527" s="21" t="str">
        <f t="shared" si="74"/>
        <v>0</v>
      </c>
      <c r="D527" s="21" t="str">
        <f t="shared" si="75"/>
        <v>0</v>
      </c>
      <c r="E527" s="21" t="str">
        <f t="shared" si="76"/>
        <v>21</v>
      </c>
      <c r="F527" s="21" t="str">
        <f t="shared" si="77"/>
        <v>00</v>
      </c>
      <c r="G527" s="21" t="s">
        <v>523</v>
      </c>
      <c r="H527" s="21" t="s">
        <v>2236</v>
      </c>
      <c r="I527" s="22" t="s">
        <v>2384</v>
      </c>
      <c r="J527" s="21"/>
      <c r="K527" s="21"/>
      <c r="L527" s="21"/>
      <c r="M527" s="21"/>
    </row>
    <row r="528" spans="1:13" x14ac:dyDescent="0.25">
      <c r="A528" s="21" t="str">
        <f t="shared" si="72"/>
        <v>1</v>
      </c>
      <c r="B528" s="21" t="str">
        <f t="shared" si="73"/>
        <v>6</v>
      </c>
      <c r="C528" s="21" t="str">
        <f t="shared" si="74"/>
        <v>0</v>
      </c>
      <c r="D528" s="21" t="str">
        <f t="shared" si="75"/>
        <v>0</v>
      </c>
      <c r="E528" s="21" t="str">
        <f t="shared" si="76"/>
        <v>22</v>
      </c>
      <c r="F528" s="21" t="str">
        <f t="shared" si="77"/>
        <v>00</v>
      </c>
      <c r="G528" s="21" t="s">
        <v>524</v>
      </c>
      <c r="H528" s="21" t="s">
        <v>2237</v>
      </c>
      <c r="I528" s="22" t="s">
        <v>2385</v>
      </c>
      <c r="J528" s="21"/>
      <c r="K528" s="21"/>
      <c r="L528" s="21"/>
      <c r="M528" s="21"/>
    </row>
    <row r="529" spans="1:13" ht="25.5" x14ac:dyDescent="0.25">
      <c r="A529" s="21" t="str">
        <f t="shared" si="72"/>
        <v>1</v>
      </c>
      <c r="B529" s="21" t="str">
        <f t="shared" si="73"/>
        <v>6</v>
      </c>
      <c r="C529" s="21" t="str">
        <f t="shared" si="74"/>
        <v>0</v>
      </c>
      <c r="D529" s="21" t="str">
        <f t="shared" si="75"/>
        <v>0</v>
      </c>
      <c r="E529" s="21" t="str">
        <f t="shared" si="76"/>
        <v>23</v>
      </c>
      <c r="F529" s="21" t="str">
        <f t="shared" si="77"/>
        <v>00</v>
      </c>
      <c r="G529" s="21" t="s">
        <v>525</v>
      </c>
      <c r="H529" s="21" t="s">
        <v>2238</v>
      </c>
      <c r="I529" s="22" t="s">
        <v>2386</v>
      </c>
      <c r="J529" s="21"/>
      <c r="K529" s="21"/>
      <c r="L529" s="21"/>
      <c r="M529" s="21"/>
    </row>
    <row r="530" spans="1:13" x14ac:dyDescent="0.25">
      <c r="A530" s="13" t="str">
        <f t="shared" si="72"/>
        <v>1</v>
      </c>
      <c r="B530" s="13" t="str">
        <f t="shared" si="73"/>
        <v>6</v>
      </c>
      <c r="C530" s="13" t="str">
        <f t="shared" si="74"/>
        <v>0</v>
      </c>
      <c r="D530" s="13" t="str">
        <f t="shared" si="75"/>
        <v>0</v>
      </c>
      <c r="E530" s="13" t="str">
        <f t="shared" si="76"/>
        <v>23</v>
      </c>
      <c r="F530" s="13" t="str">
        <f t="shared" si="77"/>
        <v>01</v>
      </c>
      <c r="G530" s="13" t="s">
        <v>526</v>
      </c>
      <c r="H530" s="13" t="s">
        <v>2239</v>
      </c>
      <c r="I530" s="16" t="s">
        <v>2387</v>
      </c>
      <c r="J530" s="13"/>
      <c r="K530" s="13"/>
      <c r="L530" s="13"/>
      <c r="M530" s="16"/>
    </row>
    <row r="531" spans="1:13" x14ac:dyDescent="0.25">
      <c r="A531" s="13" t="str">
        <f t="shared" si="72"/>
        <v>1</v>
      </c>
      <c r="B531" s="13" t="str">
        <f t="shared" si="73"/>
        <v>6</v>
      </c>
      <c r="C531" s="13" t="str">
        <f t="shared" si="74"/>
        <v>0</v>
      </c>
      <c r="D531" s="13" t="str">
        <f t="shared" si="75"/>
        <v>0</v>
      </c>
      <c r="E531" s="13" t="str">
        <f t="shared" si="76"/>
        <v>23</v>
      </c>
      <c r="F531" s="13" t="str">
        <f t="shared" si="77"/>
        <v>02</v>
      </c>
      <c r="G531" s="13" t="s">
        <v>527</v>
      </c>
      <c r="H531" s="13" t="s">
        <v>2240</v>
      </c>
      <c r="I531" s="16" t="s">
        <v>2388</v>
      </c>
      <c r="J531" s="13"/>
      <c r="K531" s="13"/>
      <c r="L531" s="13"/>
      <c r="M531" s="16"/>
    </row>
    <row r="532" spans="1:13" x14ac:dyDescent="0.25">
      <c r="A532" s="13" t="str">
        <f t="shared" si="72"/>
        <v>1</v>
      </c>
      <c r="B532" s="13" t="str">
        <f t="shared" si="73"/>
        <v>6</v>
      </c>
      <c r="C532" s="13" t="str">
        <f t="shared" si="74"/>
        <v>0</v>
      </c>
      <c r="D532" s="13" t="str">
        <f t="shared" si="75"/>
        <v>0</v>
      </c>
      <c r="E532" s="13" t="str">
        <f t="shared" si="76"/>
        <v>23</v>
      </c>
      <c r="F532" s="13" t="str">
        <f t="shared" si="77"/>
        <v>03</v>
      </c>
      <c r="G532" s="13" t="s">
        <v>528</v>
      </c>
      <c r="H532" s="13" t="s">
        <v>2241</v>
      </c>
      <c r="I532" s="16" t="s">
        <v>2389</v>
      </c>
      <c r="J532" s="13"/>
      <c r="K532" s="13"/>
      <c r="L532" s="13"/>
      <c r="M532" s="16"/>
    </row>
    <row r="533" spans="1:13" ht="25.5" x14ac:dyDescent="0.25">
      <c r="A533" s="13" t="str">
        <f t="shared" si="72"/>
        <v>1</v>
      </c>
      <c r="B533" s="13" t="str">
        <f t="shared" si="73"/>
        <v>6</v>
      </c>
      <c r="C533" s="13" t="str">
        <f t="shared" si="74"/>
        <v>0</v>
      </c>
      <c r="D533" s="13" t="str">
        <f t="shared" si="75"/>
        <v>0</v>
      </c>
      <c r="E533" s="13" t="str">
        <f t="shared" si="76"/>
        <v>23</v>
      </c>
      <c r="F533" s="13" t="str">
        <f t="shared" si="77"/>
        <v>04</v>
      </c>
      <c r="G533" s="13" t="s">
        <v>529</v>
      </c>
      <c r="H533" s="13" t="s">
        <v>2242</v>
      </c>
      <c r="I533" s="16" t="s">
        <v>2390</v>
      </c>
      <c r="J533" s="13"/>
      <c r="K533" s="13"/>
      <c r="L533" s="13"/>
      <c r="M533" s="16"/>
    </row>
    <row r="534" spans="1:13" ht="25.5" x14ac:dyDescent="0.25">
      <c r="A534" s="13" t="str">
        <f t="shared" si="72"/>
        <v>1</v>
      </c>
      <c r="B534" s="13" t="str">
        <f t="shared" si="73"/>
        <v>6</v>
      </c>
      <c r="C534" s="13" t="str">
        <f t="shared" si="74"/>
        <v>0</v>
      </c>
      <c r="D534" s="13" t="str">
        <f t="shared" si="75"/>
        <v>0</v>
      </c>
      <c r="E534" s="13" t="str">
        <f t="shared" si="76"/>
        <v>23</v>
      </c>
      <c r="F534" s="13" t="str">
        <f t="shared" si="77"/>
        <v>05</v>
      </c>
      <c r="G534" s="13" t="s">
        <v>530</v>
      </c>
      <c r="H534" s="13" t="s">
        <v>2243</v>
      </c>
      <c r="I534" s="16" t="s">
        <v>2391</v>
      </c>
      <c r="J534" s="13"/>
      <c r="K534" s="13"/>
      <c r="L534" s="13"/>
      <c r="M534" s="16"/>
    </row>
    <row r="535" spans="1:13" x14ac:dyDescent="0.25">
      <c r="A535" s="13" t="str">
        <f t="shared" si="72"/>
        <v>1</v>
      </c>
      <c r="B535" s="13" t="str">
        <f t="shared" si="73"/>
        <v>6</v>
      </c>
      <c r="C535" s="13" t="str">
        <f t="shared" si="74"/>
        <v>0</v>
      </c>
      <c r="D535" s="13" t="str">
        <f t="shared" si="75"/>
        <v>0</v>
      </c>
      <c r="E535" s="13" t="str">
        <f t="shared" si="76"/>
        <v>23</v>
      </c>
      <c r="F535" s="13" t="str">
        <f t="shared" si="77"/>
        <v>06</v>
      </c>
      <c r="G535" s="13" t="s">
        <v>531</v>
      </c>
      <c r="H535" s="13" t="s">
        <v>2244</v>
      </c>
      <c r="I535" s="16" t="s">
        <v>2392</v>
      </c>
      <c r="J535" s="13"/>
      <c r="K535" s="13"/>
      <c r="L535" s="13"/>
      <c r="M535" s="16"/>
    </row>
    <row r="536" spans="1:13" ht="25.5" x14ac:dyDescent="0.25">
      <c r="A536" s="13" t="str">
        <f t="shared" si="72"/>
        <v>1</v>
      </c>
      <c r="B536" s="13" t="str">
        <f t="shared" si="73"/>
        <v>6</v>
      </c>
      <c r="C536" s="13" t="str">
        <f t="shared" si="74"/>
        <v>0</v>
      </c>
      <c r="D536" s="13" t="str">
        <f t="shared" si="75"/>
        <v>0</v>
      </c>
      <c r="E536" s="13" t="str">
        <f t="shared" si="76"/>
        <v>23</v>
      </c>
      <c r="F536" s="13" t="str">
        <f t="shared" si="77"/>
        <v>07</v>
      </c>
      <c r="G536" s="13" t="s">
        <v>532</v>
      </c>
      <c r="H536" s="13" t="s">
        <v>2245</v>
      </c>
      <c r="I536" s="16" t="s">
        <v>2393</v>
      </c>
      <c r="J536" s="13"/>
      <c r="K536" s="13"/>
      <c r="L536" s="13"/>
      <c r="M536" s="16"/>
    </row>
    <row r="537" spans="1:13" x14ac:dyDescent="0.25">
      <c r="A537" s="13" t="str">
        <f t="shared" si="72"/>
        <v>1</v>
      </c>
      <c r="B537" s="13" t="str">
        <f t="shared" si="73"/>
        <v>6</v>
      </c>
      <c r="C537" s="13" t="str">
        <f t="shared" si="74"/>
        <v>0</v>
      </c>
      <c r="D537" s="13" t="str">
        <f t="shared" si="75"/>
        <v>0</v>
      </c>
      <c r="E537" s="13" t="str">
        <f t="shared" si="76"/>
        <v>23</v>
      </c>
      <c r="F537" s="13" t="str">
        <f t="shared" si="77"/>
        <v>08</v>
      </c>
      <c r="G537" s="13" t="s">
        <v>533</v>
      </c>
      <c r="H537" s="13" t="s">
        <v>2246</v>
      </c>
      <c r="I537" s="16" t="s">
        <v>2394</v>
      </c>
      <c r="J537" s="13"/>
      <c r="K537" s="13"/>
      <c r="L537" s="13"/>
      <c r="M537" s="16"/>
    </row>
    <row r="538" spans="1:13" ht="25.5" x14ac:dyDescent="0.25">
      <c r="A538" s="13" t="str">
        <f t="shared" si="72"/>
        <v>1</v>
      </c>
      <c r="B538" s="13" t="str">
        <f t="shared" si="73"/>
        <v>6</v>
      </c>
      <c r="C538" s="13" t="str">
        <f t="shared" si="74"/>
        <v>0</v>
      </c>
      <c r="D538" s="13" t="str">
        <f t="shared" si="75"/>
        <v>0</v>
      </c>
      <c r="E538" s="13" t="str">
        <f t="shared" si="76"/>
        <v>23</v>
      </c>
      <c r="F538" s="13" t="str">
        <f t="shared" si="77"/>
        <v>99</v>
      </c>
      <c r="G538" s="13" t="s">
        <v>534</v>
      </c>
      <c r="H538" s="13" t="s">
        <v>2247</v>
      </c>
      <c r="I538" s="16" t="s">
        <v>2395</v>
      </c>
      <c r="J538" s="13"/>
      <c r="K538" s="13"/>
      <c r="L538" s="13"/>
      <c r="M538" s="16"/>
    </row>
    <row r="539" spans="1:13" x14ac:dyDescent="0.25">
      <c r="A539" s="21" t="str">
        <f t="shared" si="72"/>
        <v>1</v>
      </c>
      <c r="B539" s="21" t="str">
        <f t="shared" si="73"/>
        <v>6</v>
      </c>
      <c r="C539" s="21" t="str">
        <f t="shared" si="74"/>
        <v>0</v>
      </c>
      <c r="D539" s="21" t="str">
        <f t="shared" si="75"/>
        <v>0</v>
      </c>
      <c r="E539" s="21" t="str">
        <f t="shared" si="76"/>
        <v>24</v>
      </c>
      <c r="F539" s="21" t="str">
        <f t="shared" si="77"/>
        <v>00</v>
      </c>
      <c r="G539" s="21" t="s">
        <v>535</v>
      </c>
      <c r="H539" s="21" t="s">
        <v>2248</v>
      </c>
      <c r="I539" s="22" t="s">
        <v>2396</v>
      </c>
      <c r="J539" s="21"/>
      <c r="K539" s="21"/>
      <c r="L539" s="21"/>
      <c r="M539" s="21"/>
    </row>
    <row r="540" spans="1:13" ht="25.5" x14ac:dyDescent="0.25">
      <c r="A540" s="21" t="str">
        <f t="shared" si="72"/>
        <v>1</v>
      </c>
      <c r="B540" s="21" t="str">
        <f t="shared" si="73"/>
        <v>6</v>
      </c>
      <c r="C540" s="21" t="str">
        <f t="shared" si="74"/>
        <v>0</v>
      </c>
      <c r="D540" s="21" t="str">
        <f t="shared" si="75"/>
        <v>0</v>
      </c>
      <c r="E540" s="21" t="str">
        <f t="shared" si="76"/>
        <v>25</v>
      </c>
      <c r="F540" s="21" t="str">
        <f t="shared" si="77"/>
        <v>00</v>
      </c>
      <c r="G540" s="21" t="s">
        <v>536</v>
      </c>
      <c r="H540" s="21" t="s">
        <v>2249</v>
      </c>
      <c r="I540" s="22" t="s">
        <v>2397</v>
      </c>
      <c r="J540" s="21"/>
      <c r="K540" s="21"/>
      <c r="L540" s="21"/>
      <c r="M540" s="21"/>
    </row>
    <row r="541" spans="1:13" ht="25.5" x14ac:dyDescent="0.25">
      <c r="A541" s="21" t="str">
        <f t="shared" si="72"/>
        <v>1</v>
      </c>
      <c r="B541" s="21" t="str">
        <f t="shared" si="73"/>
        <v>6</v>
      </c>
      <c r="C541" s="21" t="str">
        <f t="shared" si="74"/>
        <v>0</v>
      </c>
      <c r="D541" s="21" t="str">
        <f t="shared" si="75"/>
        <v>0</v>
      </c>
      <c r="E541" s="21" t="str">
        <f t="shared" si="76"/>
        <v>26</v>
      </c>
      <c r="F541" s="21" t="str">
        <f t="shared" si="77"/>
        <v>00</v>
      </c>
      <c r="G541" s="21" t="s">
        <v>537</v>
      </c>
      <c r="H541" s="21" t="s">
        <v>2250</v>
      </c>
      <c r="I541" s="22" t="s">
        <v>2398</v>
      </c>
      <c r="J541" s="21"/>
      <c r="K541" s="21"/>
      <c r="L541" s="21"/>
      <c r="M541" s="21"/>
    </row>
    <row r="542" spans="1:13" ht="25.5" x14ac:dyDescent="0.25">
      <c r="A542" s="21" t="str">
        <f t="shared" si="72"/>
        <v>1</v>
      </c>
      <c r="B542" s="21" t="str">
        <f t="shared" si="73"/>
        <v>6</v>
      </c>
      <c r="C542" s="21" t="str">
        <f t="shared" si="74"/>
        <v>0</v>
      </c>
      <c r="D542" s="21" t="str">
        <f t="shared" si="75"/>
        <v>0</v>
      </c>
      <c r="E542" s="21" t="str">
        <f t="shared" si="76"/>
        <v>27</v>
      </c>
      <c r="F542" s="21" t="str">
        <f t="shared" si="77"/>
        <v>00</v>
      </c>
      <c r="G542" s="21" t="s">
        <v>538</v>
      </c>
      <c r="H542" s="21" t="s">
        <v>2251</v>
      </c>
      <c r="I542" s="22" t="s">
        <v>2399</v>
      </c>
      <c r="J542" s="21"/>
      <c r="K542" s="21"/>
      <c r="L542" s="21"/>
      <c r="M542" s="21"/>
    </row>
    <row r="543" spans="1:13" ht="25.5" x14ac:dyDescent="0.25">
      <c r="A543" s="21" t="str">
        <f t="shared" si="72"/>
        <v>1</v>
      </c>
      <c r="B543" s="21" t="str">
        <f t="shared" si="73"/>
        <v>6</v>
      </c>
      <c r="C543" s="21" t="str">
        <f t="shared" si="74"/>
        <v>0</v>
      </c>
      <c r="D543" s="21" t="str">
        <f t="shared" si="75"/>
        <v>0</v>
      </c>
      <c r="E543" s="21" t="str">
        <f t="shared" si="76"/>
        <v>28</v>
      </c>
      <c r="F543" s="21" t="str">
        <f t="shared" si="77"/>
        <v>00</v>
      </c>
      <c r="G543" s="21" t="s">
        <v>539</v>
      </c>
      <c r="H543" s="21" t="s">
        <v>2252</v>
      </c>
      <c r="I543" s="22" t="s">
        <v>2400</v>
      </c>
      <c r="J543" s="21"/>
      <c r="K543" s="21"/>
      <c r="L543" s="21"/>
      <c r="M543" s="21"/>
    </row>
    <row r="544" spans="1:13" ht="25.5" x14ac:dyDescent="0.25">
      <c r="A544" s="21" t="str">
        <f t="shared" si="72"/>
        <v>1</v>
      </c>
      <c r="B544" s="21" t="str">
        <f t="shared" si="73"/>
        <v>6</v>
      </c>
      <c r="C544" s="21" t="str">
        <f t="shared" si="74"/>
        <v>0</v>
      </c>
      <c r="D544" s="21" t="str">
        <f t="shared" si="75"/>
        <v>0</v>
      </c>
      <c r="E544" s="21" t="str">
        <f t="shared" si="76"/>
        <v>29</v>
      </c>
      <c r="F544" s="21" t="str">
        <f t="shared" si="77"/>
        <v>00</v>
      </c>
      <c r="G544" s="21" t="s">
        <v>540</v>
      </c>
      <c r="H544" s="21" t="s">
        <v>2253</v>
      </c>
      <c r="I544" s="22" t="s">
        <v>2401</v>
      </c>
      <c r="J544" s="21"/>
      <c r="K544" s="21"/>
      <c r="L544" s="21"/>
      <c r="M544" s="21"/>
    </row>
    <row r="545" spans="1:13" ht="38.25" x14ac:dyDescent="0.25">
      <c r="A545" s="21" t="str">
        <f t="shared" si="72"/>
        <v>1</v>
      </c>
      <c r="B545" s="21" t="str">
        <f t="shared" si="73"/>
        <v>6</v>
      </c>
      <c r="C545" s="21" t="str">
        <f t="shared" si="74"/>
        <v>0</v>
      </c>
      <c r="D545" s="21" t="str">
        <f t="shared" si="75"/>
        <v>0</v>
      </c>
      <c r="E545" s="21" t="str">
        <f t="shared" si="76"/>
        <v>30</v>
      </c>
      <c r="F545" s="21" t="str">
        <f t="shared" si="77"/>
        <v>00</v>
      </c>
      <c r="G545" s="21" t="s">
        <v>541</v>
      </c>
      <c r="H545" s="21" t="s">
        <v>2254</v>
      </c>
      <c r="I545" s="22" t="s">
        <v>2402</v>
      </c>
      <c r="J545" s="21"/>
      <c r="K545" s="21"/>
      <c r="L545" s="21"/>
      <c r="M545" s="21"/>
    </row>
    <row r="546" spans="1:13" ht="38.25" x14ac:dyDescent="0.25">
      <c r="A546" s="21" t="str">
        <f t="shared" si="72"/>
        <v>1</v>
      </c>
      <c r="B546" s="21" t="str">
        <f t="shared" si="73"/>
        <v>6</v>
      </c>
      <c r="C546" s="21" t="str">
        <f t="shared" si="74"/>
        <v>0</v>
      </c>
      <c r="D546" s="21" t="str">
        <f t="shared" si="75"/>
        <v>0</v>
      </c>
      <c r="E546" s="21" t="str">
        <f t="shared" si="76"/>
        <v>31</v>
      </c>
      <c r="F546" s="21" t="str">
        <f t="shared" si="77"/>
        <v>00</v>
      </c>
      <c r="G546" s="21" t="s">
        <v>542</v>
      </c>
      <c r="H546" s="21" t="s">
        <v>2255</v>
      </c>
      <c r="I546" s="22" t="s">
        <v>2403</v>
      </c>
      <c r="J546" s="21"/>
      <c r="K546" s="21"/>
      <c r="L546" s="21"/>
      <c r="M546" s="21"/>
    </row>
    <row r="547" spans="1:13" ht="38.25" x14ac:dyDescent="0.25">
      <c r="A547" s="13" t="str">
        <f t="shared" si="72"/>
        <v>1</v>
      </c>
      <c r="B547" s="13" t="str">
        <f t="shared" si="73"/>
        <v>6</v>
      </c>
      <c r="C547" s="13" t="str">
        <f t="shared" si="74"/>
        <v>0</v>
      </c>
      <c r="D547" s="13" t="str">
        <f t="shared" si="75"/>
        <v>0</v>
      </c>
      <c r="E547" s="13" t="str">
        <f t="shared" si="76"/>
        <v>31</v>
      </c>
      <c r="F547" s="13" t="str">
        <f t="shared" si="77"/>
        <v>01</v>
      </c>
      <c r="G547" s="13" t="s">
        <v>543</v>
      </c>
      <c r="H547" s="13" t="s">
        <v>2256</v>
      </c>
      <c r="I547" s="16" t="s">
        <v>2404</v>
      </c>
      <c r="J547" s="13"/>
      <c r="K547" s="13"/>
      <c r="L547" s="13"/>
      <c r="M547" s="16"/>
    </row>
    <row r="548" spans="1:13" ht="25.5" x14ac:dyDescent="0.25">
      <c r="A548" s="13" t="str">
        <f t="shared" si="72"/>
        <v>1</v>
      </c>
      <c r="B548" s="13" t="str">
        <f t="shared" si="73"/>
        <v>6</v>
      </c>
      <c r="C548" s="13" t="str">
        <f t="shared" si="74"/>
        <v>0</v>
      </c>
      <c r="D548" s="13" t="str">
        <f t="shared" si="75"/>
        <v>0</v>
      </c>
      <c r="E548" s="13" t="str">
        <f t="shared" si="76"/>
        <v>31</v>
      </c>
      <c r="F548" s="13" t="str">
        <f t="shared" si="77"/>
        <v>02</v>
      </c>
      <c r="G548" s="13" t="s">
        <v>544</v>
      </c>
      <c r="H548" s="13" t="s">
        <v>2257</v>
      </c>
      <c r="I548" s="16" t="s">
        <v>4126</v>
      </c>
      <c r="J548" s="13"/>
      <c r="K548" s="13" t="s">
        <v>4021</v>
      </c>
      <c r="L548" s="13" t="s">
        <v>4219</v>
      </c>
      <c r="M548" s="16"/>
    </row>
    <row r="549" spans="1:13" ht="38.25" x14ac:dyDescent="0.25">
      <c r="A549" s="13" t="str">
        <f t="shared" si="72"/>
        <v>1</v>
      </c>
      <c r="B549" s="13" t="str">
        <f t="shared" si="73"/>
        <v>6</v>
      </c>
      <c r="C549" s="13" t="str">
        <f t="shared" si="74"/>
        <v>0</v>
      </c>
      <c r="D549" s="13" t="str">
        <f t="shared" si="75"/>
        <v>0</v>
      </c>
      <c r="E549" s="13" t="str">
        <f t="shared" si="76"/>
        <v>31</v>
      </c>
      <c r="F549" s="13" t="str">
        <f t="shared" si="77"/>
        <v>03</v>
      </c>
      <c r="G549" s="13" t="s">
        <v>545</v>
      </c>
      <c r="H549" s="13" t="s">
        <v>2258</v>
      </c>
      <c r="I549" s="16" t="s">
        <v>2405</v>
      </c>
      <c r="J549" s="13"/>
      <c r="K549" s="13"/>
      <c r="L549" s="13"/>
      <c r="M549" s="16"/>
    </row>
    <row r="550" spans="1:13" x14ac:dyDescent="0.25">
      <c r="A550" s="21" t="str">
        <f t="shared" si="72"/>
        <v>1</v>
      </c>
      <c r="B550" s="21" t="str">
        <f t="shared" si="73"/>
        <v>6</v>
      </c>
      <c r="C550" s="21" t="str">
        <f t="shared" si="74"/>
        <v>0</v>
      </c>
      <c r="D550" s="21" t="str">
        <f t="shared" si="75"/>
        <v>0</v>
      </c>
      <c r="E550" s="21" t="str">
        <f t="shared" si="76"/>
        <v>32</v>
      </c>
      <c r="F550" s="21" t="str">
        <f t="shared" si="77"/>
        <v>00</v>
      </c>
      <c r="G550" s="21" t="s">
        <v>546</v>
      </c>
      <c r="H550" s="21" t="s">
        <v>2259</v>
      </c>
      <c r="I550" s="22" t="s">
        <v>2406</v>
      </c>
      <c r="J550" s="21"/>
      <c r="K550" s="21"/>
      <c r="L550" s="21"/>
      <c r="M550" s="21"/>
    </row>
    <row r="551" spans="1:13" ht="51" x14ac:dyDescent="0.25">
      <c r="A551" s="21" t="str">
        <f t="shared" si="72"/>
        <v>1</v>
      </c>
      <c r="B551" s="21" t="str">
        <f t="shared" si="73"/>
        <v>6</v>
      </c>
      <c r="C551" s="21" t="str">
        <f t="shared" si="74"/>
        <v>0</v>
      </c>
      <c r="D551" s="21" t="str">
        <f t="shared" si="75"/>
        <v>0</v>
      </c>
      <c r="E551" s="21" t="str">
        <f t="shared" si="76"/>
        <v>33</v>
      </c>
      <c r="F551" s="21" t="str">
        <f t="shared" si="77"/>
        <v>00</v>
      </c>
      <c r="G551" s="21" t="s">
        <v>547</v>
      </c>
      <c r="H551" s="21" t="s">
        <v>2260</v>
      </c>
      <c r="I551" s="22" t="s">
        <v>2407</v>
      </c>
      <c r="J551" s="21"/>
      <c r="K551" s="21"/>
      <c r="L551" s="21"/>
      <c r="M551" s="21"/>
    </row>
    <row r="552" spans="1:13" ht="25.5" x14ac:dyDescent="0.25">
      <c r="A552" s="13" t="str">
        <f t="shared" si="72"/>
        <v>1</v>
      </c>
      <c r="B552" s="13" t="str">
        <f t="shared" si="73"/>
        <v>6</v>
      </c>
      <c r="C552" s="13" t="str">
        <f t="shared" si="74"/>
        <v>0</v>
      </c>
      <c r="D552" s="13" t="str">
        <f t="shared" si="75"/>
        <v>0</v>
      </c>
      <c r="E552" s="13" t="str">
        <f t="shared" si="76"/>
        <v>33</v>
      </c>
      <c r="F552" s="13" t="str">
        <f t="shared" si="77"/>
        <v>01</v>
      </c>
      <c r="G552" s="13" t="s">
        <v>548</v>
      </c>
      <c r="H552" s="13" t="s">
        <v>2261</v>
      </c>
      <c r="I552" s="16" t="s">
        <v>2408</v>
      </c>
      <c r="J552" s="13"/>
      <c r="K552" s="13"/>
      <c r="L552" s="13"/>
      <c r="M552" s="16"/>
    </row>
    <row r="553" spans="1:13" ht="38.25" x14ac:dyDescent="0.25">
      <c r="A553" s="13" t="str">
        <f t="shared" si="72"/>
        <v>1</v>
      </c>
      <c r="B553" s="13" t="str">
        <f t="shared" si="73"/>
        <v>6</v>
      </c>
      <c r="C553" s="13" t="str">
        <f t="shared" si="74"/>
        <v>0</v>
      </c>
      <c r="D553" s="13" t="str">
        <f t="shared" si="75"/>
        <v>0</v>
      </c>
      <c r="E553" s="13" t="str">
        <f t="shared" si="76"/>
        <v>33</v>
      </c>
      <c r="F553" s="13" t="str">
        <f t="shared" si="77"/>
        <v>02</v>
      </c>
      <c r="G553" s="13" t="s">
        <v>549</v>
      </c>
      <c r="H553" s="13" t="s">
        <v>2262</v>
      </c>
      <c r="I553" s="16" t="s">
        <v>2409</v>
      </c>
      <c r="J553" s="13"/>
      <c r="K553" s="13"/>
      <c r="L553" s="13"/>
      <c r="M553" s="16"/>
    </row>
    <row r="554" spans="1:13" ht="38.25" x14ac:dyDescent="0.25">
      <c r="A554" s="21" t="str">
        <f t="shared" si="72"/>
        <v>1</v>
      </c>
      <c r="B554" s="21" t="str">
        <f t="shared" si="73"/>
        <v>6</v>
      </c>
      <c r="C554" s="21" t="str">
        <f t="shared" si="74"/>
        <v>0</v>
      </c>
      <c r="D554" s="21" t="str">
        <f t="shared" si="75"/>
        <v>0</v>
      </c>
      <c r="E554" s="21" t="str">
        <f t="shared" si="76"/>
        <v>34</v>
      </c>
      <c r="F554" s="21" t="str">
        <f t="shared" si="77"/>
        <v>00</v>
      </c>
      <c r="G554" s="21" t="s">
        <v>550</v>
      </c>
      <c r="H554" s="21" t="s">
        <v>2263</v>
      </c>
      <c r="I554" s="22" t="s">
        <v>2410</v>
      </c>
      <c r="J554" s="21"/>
      <c r="K554" s="21"/>
      <c r="L554" s="21"/>
      <c r="M554" s="21"/>
    </row>
    <row r="555" spans="1:13" ht="25.5" x14ac:dyDescent="0.25">
      <c r="A555" s="21" t="str">
        <f t="shared" si="72"/>
        <v>1</v>
      </c>
      <c r="B555" s="21" t="str">
        <f t="shared" si="73"/>
        <v>6</v>
      </c>
      <c r="C555" s="21" t="str">
        <f t="shared" si="74"/>
        <v>0</v>
      </c>
      <c r="D555" s="21" t="str">
        <f t="shared" si="75"/>
        <v>0</v>
      </c>
      <c r="E555" s="21" t="str">
        <f t="shared" si="76"/>
        <v>35</v>
      </c>
      <c r="F555" s="21" t="str">
        <f t="shared" si="77"/>
        <v>00</v>
      </c>
      <c r="G555" s="21" t="s">
        <v>551</v>
      </c>
      <c r="H555" s="21" t="s">
        <v>2264</v>
      </c>
      <c r="I555" s="22" t="s">
        <v>2411</v>
      </c>
      <c r="J555" s="21"/>
      <c r="K555" s="21"/>
      <c r="L555" s="21"/>
      <c r="M555" s="21"/>
    </row>
    <row r="556" spans="1:13" ht="25.5" x14ac:dyDescent="0.25">
      <c r="A556" s="21" t="str">
        <f t="shared" si="72"/>
        <v>1</v>
      </c>
      <c r="B556" s="21" t="str">
        <f t="shared" si="73"/>
        <v>6</v>
      </c>
      <c r="C556" s="21" t="str">
        <f t="shared" si="74"/>
        <v>0</v>
      </c>
      <c r="D556" s="21" t="str">
        <f t="shared" si="75"/>
        <v>0</v>
      </c>
      <c r="E556" s="21" t="str">
        <f t="shared" si="76"/>
        <v>36</v>
      </c>
      <c r="F556" s="21" t="str">
        <f t="shared" si="77"/>
        <v>00</v>
      </c>
      <c r="G556" s="21" t="s">
        <v>552</v>
      </c>
      <c r="H556" s="21" t="s">
        <v>2265</v>
      </c>
      <c r="I556" s="22" t="s">
        <v>2412</v>
      </c>
      <c r="J556" s="21"/>
      <c r="K556" s="21"/>
      <c r="L556" s="21"/>
      <c r="M556" s="21"/>
    </row>
    <row r="557" spans="1:13" ht="25.5" x14ac:dyDescent="0.25">
      <c r="A557" s="13" t="str">
        <f t="shared" si="72"/>
        <v>1</v>
      </c>
      <c r="B557" s="13" t="str">
        <f t="shared" si="73"/>
        <v>6</v>
      </c>
      <c r="C557" s="13" t="str">
        <f t="shared" si="74"/>
        <v>0</v>
      </c>
      <c r="D557" s="13" t="str">
        <f t="shared" si="75"/>
        <v>0</v>
      </c>
      <c r="E557" s="13" t="str">
        <f t="shared" si="76"/>
        <v>36</v>
      </c>
      <c r="F557" s="13" t="str">
        <f t="shared" si="77"/>
        <v>01</v>
      </c>
      <c r="G557" s="13" t="s">
        <v>553</v>
      </c>
      <c r="H557" s="13" t="s">
        <v>2266</v>
      </c>
      <c r="I557" s="16" t="s">
        <v>2413</v>
      </c>
      <c r="J557" s="13"/>
      <c r="K557" s="13"/>
      <c r="L557" s="13"/>
      <c r="M557" s="16"/>
    </row>
    <row r="558" spans="1:13" ht="25.5" x14ac:dyDescent="0.25">
      <c r="A558" s="13" t="str">
        <f t="shared" si="72"/>
        <v>1</v>
      </c>
      <c r="B558" s="13" t="str">
        <f t="shared" si="73"/>
        <v>6</v>
      </c>
      <c r="C558" s="13" t="str">
        <f t="shared" si="74"/>
        <v>0</v>
      </c>
      <c r="D558" s="13" t="str">
        <f t="shared" si="75"/>
        <v>0</v>
      </c>
      <c r="E558" s="13" t="str">
        <f t="shared" si="76"/>
        <v>36</v>
      </c>
      <c r="F558" s="13" t="str">
        <f t="shared" si="77"/>
        <v>02</v>
      </c>
      <c r="G558" s="13" t="s">
        <v>554</v>
      </c>
      <c r="H558" s="13" t="s">
        <v>2267</v>
      </c>
      <c r="I558" s="16" t="s">
        <v>2414</v>
      </c>
      <c r="J558" s="13"/>
      <c r="K558" s="13"/>
      <c r="L558" s="13"/>
      <c r="M558" s="16"/>
    </row>
    <row r="559" spans="1:13" x14ac:dyDescent="0.25">
      <c r="A559" s="21" t="str">
        <f t="shared" si="72"/>
        <v>1</v>
      </c>
      <c r="B559" s="21" t="str">
        <f t="shared" si="73"/>
        <v>6</v>
      </c>
      <c r="C559" s="21" t="str">
        <f t="shared" si="74"/>
        <v>0</v>
      </c>
      <c r="D559" s="21" t="str">
        <f t="shared" si="75"/>
        <v>0</v>
      </c>
      <c r="E559" s="21" t="str">
        <f t="shared" si="76"/>
        <v>37</v>
      </c>
      <c r="F559" s="21" t="str">
        <f t="shared" si="77"/>
        <v>00</v>
      </c>
      <c r="G559" s="21" t="s">
        <v>555</v>
      </c>
      <c r="H559" s="21" t="s">
        <v>2268</v>
      </c>
      <c r="I559" s="22" t="s">
        <v>2415</v>
      </c>
      <c r="J559" s="21"/>
      <c r="K559" s="21"/>
      <c r="L559" s="21"/>
      <c r="M559" s="21"/>
    </row>
    <row r="560" spans="1:13" ht="25.5" x14ac:dyDescent="0.25">
      <c r="A560" s="13" t="str">
        <f t="shared" si="72"/>
        <v>1</v>
      </c>
      <c r="B560" s="13" t="str">
        <f t="shared" si="73"/>
        <v>6</v>
      </c>
      <c r="C560" s="13" t="str">
        <f t="shared" si="74"/>
        <v>0</v>
      </c>
      <c r="D560" s="13" t="str">
        <f t="shared" si="75"/>
        <v>0</v>
      </c>
      <c r="E560" s="13" t="str">
        <f t="shared" si="76"/>
        <v>37</v>
      </c>
      <c r="F560" s="13" t="str">
        <f t="shared" si="77"/>
        <v>01</v>
      </c>
      <c r="G560" s="13" t="s">
        <v>556</v>
      </c>
      <c r="H560" s="13" t="s">
        <v>2269</v>
      </c>
      <c r="I560" s="16" t="s">
        <v>2416</v>
      </c>
      <c r="J560" s="13"/>
      <c r="K560" s="13"/>
      <c r="L560" s="13"/>
      <c r="M560" s="16"/>
    </row>
    <row r="561" spans="1:13" ht="25.5" x14ac:dyDescent="0.25">
      <c r="A561" s="13" t="str">
        <f t="shared" si="72"/>
        <v>1</v>
      </c>
      <c r="B561" s="13" t="str">
        <f t="shared" si="73"/>
        <v>6</v>
      </c>
      <c r="C561" s="13" t="str">
        <f t="shared" si="74"/>
        <v>0</v>
      </c>
      <c r="D561" s="13" t="str">
        <f t="shared" si="75"/>
        <v>0</v>
      </c>
      <c r="E561" s="13" t="str">
        <f t="shared" si="76"/>
        <v>37</v>
      </c>
      <c r="F561" s="13" t="str">
        <f t="shared" si="77"/>
        <v>02</v>
      </c>
      <c r="G561" s="13" t="s">
        <v>557</v>
      </c>
      <c r="H561" s="13" t="s">
        <v>2270</v>
      </c>
      <c r="I561" s="16" t="s">
        <v>2417</v>
      </c>
      <c r="J561" s="13"/>
      <c r="K561" s="13"/>
      <c r="L561" s="13"/>
      <c r="M561" s="16"/>
    </row>
    <row r="562" spans="1:13" ht="25.5" x14ac:dyDescent="0.25">
      <c r="A562" s="13" t="str">
        <f t="shared" si="72"/>
        <v>1</v>
      </c>
      <c r="B562" s="13" t="str">
        <f t="shared" si="73"/>
        <v>6</v>
      </c>
      <c r="C562" s="13" t="str">
        <f t="shared" si="74"/>
        <v>0</v>
      </c>
      <c r="D562" s="13" t="str">
        <f t="shared" si="75"/>
        <v>0</v>
      </c>
      <c r="E562" s="13" t="str">
        <f t="shared" si="76"/>
        <v>37</v>
      </c>
      <c r="F562" s="13" t="str">
        <f t="shared" si="77"/>
        <v>03</v>
      </c>
      <c r="G562" s="13" t="s">
        <v>558</v>
      </c>
      <c r="H562" s="13" t="s">
        <v>2271</v>
      </c>
      <c r="I562" s="16" t="s">
        <v>2418</v>
      </c>
      <c r="J562" s="13"/>
      <c r="K562" s="13"/>
      <c r="L562" s="13"/>
      <c r="M562" s="16"/>
    </row>
    <row r="563" spans="1:13" ht="25.5" x14ac:dyDescent="0.25">
      <c r="A563" s="45" t="str">
        <f t="shared" si="72"/>
        <v>1</v>
      </c>
      <c r="B563" s="45" t="str">
        <f t="shared" si="73"/>
        <v>6</v>
      </c>
      <c r="C563" s="45" t="str">
        <f t="shared" si="74"/>
        <v>0</v>
      </c>
      <c r="D563" s="45" t="str">
        <f t="shared" si="75"/>
        <v>0</v>
      </c>
      <c r="E563" s="45" t="str">
        <f t="shared" si="76"/>
        <v>37</v>
      </c>
      <c r="F563" s="45" t="str">
        <f t="shared" si="77"/>
        <v>04</v>
      </c>
      <c r="G563" s="45" t="s">
        <v>559</v>
      </c>
      <c r="H563" s="45" t="s">
        <v>2272</v>
      </c>
      <c r="I563" s="46" t="s">
        <v>2419</v>
      </c>
      <c r="J563" s="13"/>
      <c r="K563" s="13" t="s">
        <v>3947</v>
      </c>
      <c r="L563" s="13" t="s">
        <v>4220</v>
      </c>
      <c r="M563" s="16"/>
    </row>
    <row r="564" spans="1:13" ht="25.5" x14ac:dyDescent="0.25">
      <c r="A564" s="13" t="str">
        <f t="shared" si="72"/>
        <v>1</v>
      </c>
      <c r="B564" s="13" t="str">
        <f t="shared" si="73"/>
        <v>6</v>
      </c>
      <c r="C564" s="13" t="str">
        <f t="shared" si="74"/>
        <v>0</v>
      </c>
      <c r="D564" s="13" t="str">
        <f t="shared" si="75"/>
        <v>0</v>
      </c>
      <c r="E564" s="13" t="str">
        <f t="shared" si="76"/>
        <v>37</v>
      </c>
      <c r="F564" s="13" t="str">
        <f t="shared" si="77"/>
        <v>05</v>
      </c>
      <c r="G564" s="13" t="s">
        <v>560</v>
      </c>
      <c r="H564" s="13" t="s">
        <v>2273</v>
      </c>
      <c r="I564" s="16" t="s">
        <v>2420</v>
      </c>
      <c r="J564" s="13"/>
      <c r="K564" s="13"/>
      <c r="L564" s="13"/>
      <c r="M564" s="16"/>
    </row>
    <row r="565" spans="1:13" ht="25.5" x14ac:dyDescent="0.25">
      <c r="A565" s="21" t="str">
        <f t="shared" si="72"/>
        <v>1</v>
      </c>
      <c r="B565" s="21" t="str">
        <f t="shared" si="73"/>
        <v>6</v>
      </c>
      <c r="C565" s="21" t="str">
        <f t="shared" si="74"/>
        <v>0</v>
      </c>
      <c r="D565" s="21" t="str">
        <f t="shared" si="75"/>
        <v>0</v>
      </c>
      <c r="E565" s="21" t="str">
        <f t="shared" si="76"/>
        <v>38</v>
      </c>
      <c r="F565" s="21" t="str">
        <f t="shared" si="77"/>
        <v>00</v>
      </c>
      <c r="G565" s="21" t="s">
        <v>561</v>
      </c>
      <c r="H565" s="21" t="s">
        <v>2274</v>
      </c>
      <c r="I565" s="22" t="s">
        <v>2421</v>
      </c>
      <c r="J565" s="21"/>
      <c r="K565" s="21"/>
      <c r="L565" s="21"/>
      <c r="M565" s="21"/>
    </row>
    <row r="566" spans="1:13" x14ac:dyDescent="0.25">
      <c r="A566" s="21" t="str">
        <f t="shared" si="72"/>
        <v>1</v>
      </c>
      <c r="B566" s="21" t="str">
        <f t="shared" si="73"/>
        <v>6</v>
      </c>
      <c r="C566" s="21" t="str">
        <f t="shared" si="74"/>
        <v>0</v>
      </c>
      <c r="D566" s="21" t="str">
        <f t="shared" si="75"/>
        <v>0</v>
      </c>
      <c r="E566" s="21" t="str">
        <f t="shared" si="76"/>
        <v>39</v>
      </c>
      <c r="F566" s="21" t="str">
        <f t="shared" si="77"/>
        <v>00</v>
      </c>
      <c r="G566" s="21" t="s">
        <v>562</v>
      </c>
      <c r="H566" s="21" t="s">
        <v>2275</v>
      </c>
      <c r="I566" s="22" t="s">
        <v>2422</v>
      </c>
      <c r="J566" s="21"/>
      <c r="K566" s="21"/>
      <c r="L566" s="21"/>
      <c r="M566" s="21"/>
    </row>
    <row r="567" spans="1:13" ht="25.5" x14ac:dyDescent="0.25">
      <c r="A567" s="21" t="str">
        <f t="shared" si="72"/>
        <v>1</v>
      </c>
      <c r="B567" s="21" t="str">
        <f t="shared" si="73"/>
        <v>6</v>
      </c>
      <c r="C567" s="21" t="str">
        <f t="shared" si="74"/>
        <v>0</v>
      </c>
      <c r="D567" s="21" t="str">
        <f t="shared" si="75"/>
        <v>0</v>
      </c>
      <c r="E567" s="21" t="str">
        <f t="shared" si="76"/>
        <v>40</v>
      </c>
      <c r="F567" s="21" t="str">
        <f t="shared" si="77"/>
        <v>00</v>
      </c>
      <c r="G567" s="21" t="s">
        <v>563</v>
      </c>
      <c r="H567" s="21" t="s">
        <v>2276</v>
      </c>
      <c r="I567" s="22" t="s">
        <v>2423</v>
      </c>
      <c r="J567" s="21"/>
      <c r="K567" s="21"/>
      <c r="L567" s="21"/>
      <c r="M567" s="21"/>
    </row>
    <row r="568" spans="1:13" ht="25.5" x14ac:dyDescent="0.25">
      <c r="A568" s="21" t="str">
        <f t="shared" si="72"/>
        <v>1</v>
      </c>
      <c r="B568" s="21" t="str">
        <f t="shared" si="73"/>
        <v>6</v>
      </c>
      <c r="C568" s="21" t="str">
        <f t="shared" si="74"/>
        <v>0</v>
      </c>
      <c r="D568" s="21" t="str">
        <f t="shared" si="75"/>
        <v>0</v>
      </c>
      <c r="E568" s="21" t="str">
        <f t="shared" si="76"/>
        <v>41</v>
      </c>
      <c r="F568" s="21" t="str">
        <f t="shared" si="77"/>
        <v>00</v>
      </c>
      <c r="G568" s="21" t="s">
        <v>564</v>
      </c>
      <c r="H568" s="21" t="s">
        <v>2277</v>
      </c>
      <c r="I568" s="22" t="s">
        <v>2424</v>
      </c>
      <c r="J568" s="21"/>
      <c r="K568" s="21"/>
      <c r="L568" s="21"/>
      <c r="M568" s="21"/>
    </row>
    <row r="569" spans="1:13" ht="25.5" x14ac:dyDescent="0.25">
      <c r="A569" s="21" t="str">
        <f t="shared" si="72"/>
        <v>1</v>
      </c>
      <c r="B569" s="21" t="str">
        <f t="shared" si="73"/>
        <v>6</v>
      </c>
      <c r="C569" s="21" t="str">
        <f t="shared" si="74"/>
        <v>0</v>
      </c>
      <c r="D569" s="21" t="str">
        <f t="shared" si="75"/>
        <v>0</v>
      </c>
      <c r="E569" s="21" t="str">
        <f t="shared" si="76"/>
        <v>42</v>
      </c>
      <c r="F569" s="21" t="str">
        <f t="shared" si="77"/>
        <v>00</v>
      </c>
      <c r="G569" s="21" t="s">
        <v>565</v>
      </c>
      <c r="H569" s="21" t="s">
        <v>2278</v>
      </c>
      <c r="I569" s="22" t="s">
        <v>2425</v>
      </c>
      <c r="J569" s="21"/>
      <c r="K569" s="21"/>
      <c r="L569" s="21"/>
      <c r="M569" s="21"/>
    </row>
    <row r="570" spans="1:13" ht="25.5" x14ac:dyDescent="0.25">
      <c r="A570" s="21" t="str">
        <f t="shared" si="72"/>
        <v>1</v>
      </c>
      <c r="B570" s="21" t="str">
        <f t="shared" si="73"/>
        <v>6</v>
      </c>
      <c r="C570" s="21" t="str">
        <f t="shared" si="74"/>
        <v>0</v>
      </c>
      <c r="D570" s="21" t="str">
        <f t="shared" si="75"/>
        <v>0</v>
      </c>
      <c r="E570" s="21" t="str">
        <f t="shared" si="76"/>
        <v>43</v>
      </c>
      <c r="F570" s="21" t="str">
        <f t="shared" si="77"/>
        <v>00</v>
      </c>
      <c r="G570" s="21" t="s">
        <v>566</v>
      </c>
      <c r="H570" s="21" t="s">
        <v>2279</v>
      </c>
      <c r="I570" s="22" t="s">
        <v>2426</v>
      </c>
      <c r="J570" s="21"/>
      <c r="K570" s="21"/>
      <c r="L570" s="21"/>
      <c r="M570" s="21"/>
    </row>
    <row r="571" spans="1:13" x14ac:dyDescent="0.25">
      <c r="A571" s="21" t="str">
        <f t="shared" si="72"/>
        <v>1</v>
      </c>
      <c r="B571" s="21" t="str">
        <f t="shared" si="73"/>
        <v>6</v>
      </c>
      <c r="C571" s="21" t="str">
        <f t="shared" si="74"/>
        <v>0</v>
      </c>
      <c r="D571" s="21" t="str">
        <f t="shared" si="75"/>
        <v>0</v>
      </c>
      <c r="E571" s="21" t="str">
        <f t="shared" si="76"/>
        <v>44</v>
      </c>
      <c r="F571" s="21" t="str">
        <f t="shared" si="77"/>
        <v>00</v>
      </c>
      <c r="G571" s="21" t="s">
        <v>567</v>
      </c>
      <c r="H571" s="21" t="s">
        <v>2280</v>
      </c>
      <c r="I571" s="22" t="s">
        <v>2427</v>
      </c>
      <c r="J571" s="21"/>
      <c r="K571" s="21"/>
      <c r="L571" s="21"/>
      <c r="M571" s="21"/>
    </row>
    <row r="572" spans="1:13" ht="25.5" x14ac:dyDescent="0.25">
      <c r="A572" s="21" t="str">
        <f t="shared" si="72"/>
        <v>1</v>
      </c>
      <c r="B572" s="21" t="str">
        <f t="shared" si="73"/>
        <v>6</v>
      </c>
      <c r="C572" s="21" t="str">
        <f t="shared" si="74"/>
        <v>0</v>
      </c>
      <c r="D572" s="21" t="str">
        <f t="shared" si="75"/>
        <v>0</v>
      </c>
      <c r="E572" s="21" t="str">
        <f t="shared" si="76"/>
        <v>45</v>
      </c>
      <c r="F572" s="21" t="str">
        <f t="shared" si="77"/>
        <v>00</v>
      </c>
      <c r="G572" s="21" t="s">
        <v>568</v>
      </c>
      <c r="H572" s="21" t="s">
        <v>2281</v>
      </c>
      <c r="I572" s="22" t="s">
        <v>2428</v>
      </c>
      <c r="J572" s="21"/>
      <c r="K572" s="21"/>
      <c r="L572" s="21"/>
      <c r="M572" s="21"/>
    </row>
    <row r="573" spans="1:13" x14ac:dyDescent="0.25">
      <c r="A573" s="21" t="str">
        <f t="shared" si="72"/>
        <v>1</v>
      </c>
      <c r="B573" s="21" t="str">
        <f t="shared" si="73"/>
        <v>6</v>
      </c>
      <c r="C573" s="21" t="str">
        <f t="shared" si="74"/>
        <v>0</v>
      </c>
      <c r="D573" s="21" t="str">
        <f t="shared" si="75"/>
        <v>0</v>
      </c>
      <c r="E573" s="21" t="str">
        <f t="shared" si="76"/>
        <v>46</v>
      </c>
      <c r="F573" s="21" t="str">
        <f t="shared" si="77"/>
        <v>00</v>
      </c>
      <c r="G573" s="21" t="s">
        <v>569</v>
      </c>
      <c r="H573" s="21" t="s">
        <v>2282</v>
      </c>
      <c r="I573" s="22" t="s">
        <v>2429</v>
      </c>
      <c r="J573" s="21"/>
      <c r="K573" s="21"/>
      <c r="L573" s="21"/>
      <c r="M573" s="21"/>
    </row>
    <row r="574" spans="1:13" ht="25.5" x14ac:dyDescent="0.25">
      <c r="A574" s="21" t="str">
        <f t="shared" si="72"/>
        <v>1</v>
      </c>
      <c r="B574" s="21" t="str">
        <f t="shared" si="73"/>
        <v>6</v>
      </c>
      <c r="C574" s="21" t="str">
        <f t="shared" si="74"/>
        <v>0</v>
      </c>
      <c r="D574" s="21" t="str">
        <f t="shared" si="75"/>
        <v>0</v>
      </c>
      <c r="E574" s="21" t="str">
        <f t="shared" si="76"/>
        <v>47</v>
      </c>
      <c r="F574" s="21" t="str">
        <f t="shared" si="77"/>
        <v>00</v>
      </c>
      <c r="G574" s="21" t="s">
        <v>570</v>
      </c>
      <c r="H574" s="21" t="s">
        <v>2283</v>
      </c>
      <c r="I574" s="22" t="s">
        <v>2430</v>
      </c>
      <c r="J574" s="21"/>
      <c r="K574" s="21"/>
      <c r="L574" s="21"/>
      <c r="M574" s="21"/>
    </row>
    <row r="575" spans="1:13" x14ac:dyDescent="0.25">
      <c r="A575" s="21" t="str">
        <f t="shared" ref="A575:A645" si="78">MID(G575,1,1)</f>
        <v>1</v>
      </c>
      <c r="B575" s="21" t="str">
        <f t="shared" ref="B575:B645" si="79">MID(G575,2,1)</f>
        <v>6</v>
      </c>
      <c r="C575" s="21" t="str">
        <f t="shared" ref="C575:C645" si="80">MID(G575,3,1)</f>
        <v>0</v>
      </c>
      <c r="D575" s="21" t="str">
        <f t="shared" ref="D575:D645" si="81">MID(G575,4,1)</f>
        <v>0</v>
      </c>
      <c r="E575" s="21" t="str">
        <f t="shared" ref="E575:E645" si="82">MID(G575,6,2)</f>
        <v>48</v>
      </c>
      <c r="F575" s="21" t="str">
        <f t="shared" ref="F575:F645" si="83">MID(G575,9,2)</f>
        <v>00</v>
      </c>
      <c r="G575" s="21" t="s">
        <v>571</v>
      </c>
      <c r="H575" s="21" t="s">
        <v>2284</v>
      </c>
      <c r="I575" s="22" t="s">
        <v>2431</v>
      </c>
      <c r="J575" s="21"/>
      <c r="K575" s="21"/>
      <c r="L575" s="21"/>
      <c r="M575" s="21"/>
    </row>
    <row r="576" spans="1:13" ht="25.5" x14ac:dyDescent="0.25">
      <c r="A576" s="21" t="str">
        <f t="shared" si="78"/>
        <v>1</v>
      </c>
      <c r="B576" s="21" t="str">
        <f t="shared" si="79"/>
        <v>6</v>
      </c>
      <c r="C576" s="21" t="str">
        <f t="shared" si="80"/>
        <v>0</v>
      </c>
      <c r="D576" s="21" t="str">
        <f t="shared" si="81"/>
        <v>0</v>
      </c>
      <c r="E576" s="21" t="str">
        <f t="shared" si="82"/>
        <v>50</v>
      </c>
      <c r="F576" s="21" t="str">
        <f t="shared" si="83"/>
        <v>00</v>
      </c>
      <c r="G576" s="21" t="s">
        <v>572</v>
      </c>
      <c r="H576" s="21" t="s">
        <v>2285</v>
      </c>
      <c r="I576" s="22" t="s">
        <v>2432</v>
      </c>
      <c r="J576" s="21"/>
      <c r="K576" s="21"/>
      <c r="L576" s="21"/>
      <c r="M576" s="21"/>
    </row>
    <row r="577" spans="1:13" ht="51" x14ac:dyDescent="0.25">
      <c r="A577" s="21" t="str">
        <f t="shared" si="78"/>
        <v>1</v>
      </c>
      <c r="B577" s="21" t="str">
        <f t="shared" si="79"/>
        <v>6</v>
      </c>
      <c r="C577" s="21" t="str">
        <f t="shared" si="80"/>
        <v>0</v>
      </c>
      <c r="D577" s="21" t="str">
        <f t="shared" si="81"/>
        <v>0</v>
      </c>
      <c r="E577" s="21" t="str">
        <f t="shared" si="82"/>
        <v>51</v>
      </c>
      <c r="F577" s="21" t="str">
        <f t="shared" si="83"/>
        <v>00</v>
      </c>
      <c r="G577" s="21" t="s">
        <v>573</v>
      </c>
      <c r="H577" s="21" t="s">
        <v>2286</v>
      </c>
      <c r="I577" s="22" t="s">
        <v>2433</v>
      </c>
      <c r="J577" s="21"/>
      <c r="K577" s="21"/>
      <c r="L577" s="21"/>
      <c r="M577" s="21"/>
    </row>
    <row r="578" spans="1:13" ht="38.25" x14ac:dyDescent="0.25">
      <c r="A578" s="13" t="str">
        <f t="shared" si="78"/>
        <v>1</v>
      </c>
      <c r="B578" s="13" t="str">
        <f t="shared" si="79"/>
        <v>6</v>
      </c>
      <c r="C578" s="13" t="str">
        <f t="shared" si="80"/>
        <v>0</v>
      </c>
      <c r="D578" s="13" t="str">
        <f t="shared" si="81"/>
        <v>0</v>
      </c>
      <c r="E578" s="13" t="str">
        <f t="shared" si="82"/>
        <v>51</v>
      </c>
      <c r="F578" s="13" t="str">
        <f t="shared" si="83"/>
        <v>01</v>
      </c>
      <c r="G578" s="13" t="s">
        <v>574</v>
      </c>
      <c r="H578" s="13" t="s">
        <v>2287</v>
      </c>
      <c r="I578" s="16" t="s">
        <v>2434</v>
      </c>
      <c r="J578" s="13"/>
      <c r="K578" s="13"/>
      <c r="L578" s="13"/>
      <c r="M578" s="16"/>
    </row>
    <row r="579" spans="1:13" ht="51" x14ac:dyDescent="0.25">
      <c r="A579" s="13" t="str">
        <f t="shared" si="78"/>
        <v>1</v>
      </c>
      <c r="B579" s="13" t="str">
        <f t="shared" si="79"/>
        <v>6</v>
      </c>
      <c r="C579" s="13" t="str">
        <f t="shared" si="80"/>
        <v>0</v>
      </c>
      <c r="D579" s="13" t="str">
        <f t="shared" si="81"/>
        <v>0</v>
      </c>
      <c r="E579" s="13" t="str">
        <f t="shared" si="82"/>
        <v>51</v>
      </c>
      <c r="F579" s="13" t="str">
        <f t="shared" si="83"/>
        <v>02</v>
      </c>
      <c r="G579" s="13" t="s">
        <v>575</v>
      </c>
      <c r="H579" s="13" t="s">
        <v>2288</v>
      </c>
      <c r="I579" s="16" t="s">
        <v>2435</v>
      </c>
      <c r="J579" s="13"/>
      <c r="K579" s="13"/>
      <c r="L579" s="13"/>
      <c r="M579" s="16"/>
    </row>
    <row r="580" spans="1:13" ht="25.5" x14ac:dyDescent="0.25">
      <c r="A580" s="21" t="str">
        <f t="shared" si="78"/>
        <v>1</v>
      </c>
      <c r="B580" s="21" t="str">
        <f t="shared" si="79"/>
        <v>6</v>
      </c>
      <c r="C580" s="21" t="str">
        <f t="shared" si="80"/>
        <v>0</v>
      </c>
      <c r="D580" s="21" t="str">
        <f t="shared" si="81"/>
        <v>0</v>
      </c>
      <c r="E580" s="21" t="str">
        <f t="shared" si="82"/>
        <v>56</v>
      </c>
      <c r="F580" s="21" t="str">
        <f t="shared" si="83"/>
        <v>00</v>
      </c>
      <c r="G580" s="21" t="s">
        <v>576</v>
      </c>
      <c r="H580" s="21" t="s">
        <v>2289</v>
      </c>
      <c r="I580" s="22" t="s">
        <v>2436</v>
      </c>
      <c r="J580" s="21"/>
      <c r="K580" s="21"/>
      <c r="L580" s="21"/>
      <c r="M580" s="21"/>
    </row>
    <row r="581" spans="1:13" ht="38.25" x14ac:dyDescent="0.25">
      <c r="A581" s="21" t="str">
        <f t="shared" si="78"/>
        <v>1</v>
      </c>
      <c r="B581" s="21" t="str">
        <f t="shared" si="79"/>
        <v>6</v>
      </c>
      <c r="C581" s="21" t="str">
        <f t="shared" si="80"/>
        <v>0</v>
      </c>
      <c r="D581" s="21" t="str">
        <f t="shared" si="81"/>
        <v>0</v>
      </c>
      <c r="E581" s="21" t="str">
        <f t="shared" si="82"/>
        <v>60</v>
      </c>
      <c r="F581" s="21" t="str">
        <f t="shared" si="83"/>
        <v>00</v>
      </c>
      <c r="G581" s="21" t="s">
        <v>577</v>
      </c>
      <c r="H581" s="21" t="s">
        <v>2290</v>
      </c>
      <c r="I581" s="22" t="s">
        <v>2437</v>
      </c>
      <c r="J581" s="21"/>
      <c r="K581" s="21"/>
      <c r="L581" s="21"/>
      <c r="M581" s="21"/>
    </row>
    <row r="582" spans="1:13" ht="25.5" x14ac:dyDescent="0.25">
      <c r="A582" s="13" t="str">
        <f t="shared" si="78"/>
        <v>1</v>
      </c>
      <c r="B582" s="13" t="str">
        <f t="shared" si="79"/>
        <v>6</v>
      </c>
      <c r="C582" s="13" t="str">
        <f t="shared" si="80"/>
        <v>0</v>
      </c>
      <c r="D582" s="13" t="str">
        <f t="shared" si="81"/>
        <v>0</v>
      </c>
      <c r="E582" s="13" t="str">
        <f t="shared" si="82"/>
        <v>60</v>
      </c>
      <c r="F582" s="13" t="str">
        <f t="shared" si="83"/>
        <v>01</v>
      </c>
      <c r="G582" s="13" t="s">
        <v>578</v>
      </c>
      <c r="H582" s="13" t="s">
        <v>2291</v>
      </c>
      <c r="I582" s="16" t="s">
        <v>2438</v>
      </c>
      <c r="J582" s="13"/>
      <c r="K582" s="13"/>
      <c r="L582" s="13"/>
      <c r="M582" s="16"/>
    </row>
    <row r="583" spans="1:13" ht="25.5" x14ac:dyDescent="0.25">
      <c r="A583" s="13" t="str">
        <f t="shared" si="78"/>
        <v>1</v>
      </c>
      <c r="B583" s="13" t="str">
        <f t="shared" si="79"/>
        <v>6</v>
      </c>
      <c r="C583" s="13" t="str">
        <f t="shared" si="80"/>
        <v>0</v>
      </c>
      <c r="D583" s="13" t="str">
        <f t="shared" si="81"/>
        <v>0</v>
      </c>
      <c r="E583" s="13" t="str">
        <f t="shared" si="82"/>
        <v>60</v>
      </c>
      <c r="F583" s="13" t="str">
        <f t="shared" si="83"/>
        <v>02</v>
      </c>
      <c r="G583" s="13" t="s">
        <v>579</v>
      </c>
      <c r="H583" s="13" t="s">
        <v>2292</v>
      </c>
      <c r="I583" s="16" t="s">
        <v>2439</v>
      </c>
      <c r="J583" s="13"/>
      <c r="K583" s="13"/>
      <c r="L583" s="13"/>
      <c r="M583" s="16"/>
    </row>
    <row r="584" spans="1:13" ht="38.25" x14ac:dyDescent="0.25">
      <c r="A584" s="21" t="str">
        <f t="shared" si="78"/>
        <v>1</v>
      </c>
      <c r="B584" s="21" t="str">
        <f t="shared" si="79"/>
        <v>6</v>
      </c>
      <c r="C584" s="21" t="str">
        <f t="shared" si="80"/>
        <v>0</v>
      </c>
      <c r="D584" s="21" t="str">
        <f t="shared" si="81"/>
        <v>0</v>
      </c>
      <c r="E584" s="21" t="str">
        <f t="shared" si="82"/>
        <v>70</v>
      </c>
      <c r="F584" s="21" t="str">
        <f t="shared" si="83"/>
        <v>00</v>
      </c>
      <c r="G584" s="21" t="s">
        <v>580</v>
      </c>
      <c r="H584" s="21" t="s">
        <v>2293</v>
      </c>
      <c r="I584" s="22" t="s">
        <v>2440</v>
      </c>
      <c r="J584" s="21"/>
      <c r="K584" s="21"/>
      <c r="L584" s="21"/>
      <c r="M584" s="21"/>
    </row>
    <row r="585" spans="1:13" ht="38.25" x14ac:dyDescent="0.25">
      <c r="A585" s="13" t="str">
        <f t="shared" si="78"/>
        <v>1</v>
      </c>
      <c r="B585" s="13" t="str">
        <f t="shared" si="79"/>
        <v>6</v>
      </c>
      <c r="C585" s="13" t="str">
        <f t="shared" si="80"/>
        <v>0</v>
      </c>
      <c r="D585" s="13" t="str">
        <f t="shared" si="81"/>
        <v>0</v>
      </c>
      <c r="E585" s="13" t="str">
        <f t="shared" si="82"/>
        <v>70</v>
      </c>
      <c r="F585" s="13" t="str">
        <f t="shared" si="83"/>
        <v>01</v>
      </c>
      <c r="G585" s="13" t="s">
        <v>581</v>
      </c>
      <c r="H585" s="13" t="s">
        <v>2294</v>
      </c>
      <c r="I585" s="16" t="s">
        <v>2441</v>
      </c>
      <c r="J585" s="13"/>
      <c r="K585" s="13"/>
      <c r="L585" s="13"/>
      <c r="M585" s="16"/>
    </row>
    <row r="586" spans="1:13" ht="51" x14ac:dyDescent="0.25">
      <c r="A586" s="13" t="str">
        <f t="shared" si="78"/>
        <v>1</v>
      </c>
      <c r="B586" s="13" t="str">
        <f t="shared" si="79"/>
        <v>6</v>
      </c>
      <c r="C586" s="13" t="str">
        <f t="shared" si="80"/>
        <v>0</v>
      </c>
      <c r="D586" s="13" t="str">
        <f t="shared" si="81"/>
        <v>0</v>
      </c>
      <c r="E586" s="13" t="str">
        <f t="shared" si="82"/>
        <v>70</v>
      </c>
      <c r="F586" s="13" t="str">
        <f t="shared" si="83"/>
        <v>02</v>
      </c>
      <c r="G586" s="13" t="s">
        <v>582</v>
      </c>
      <c r="H586" s="13" t="s">
        <v>2295</v>
      </c>
      <c r="I586" s="16" t="s">
        <v>2442</v>
      </c>
      <c r="J586" s="13"/>
      <c r="K586" s="13"/>
      <c r="L586" s="13"/>
      <c r="M586" s="16"/>
    </row>
    <row r="587" spans="1:13" x14ac:dyDescent="0.25">
      <c r="A587" s="21" t="str">
        <f t="shared" si="78"/>
        <v>1</v>
      </c>
      <c r="B587" s="21" t="str">
        <f t="shared" si="79"/>
        <v>6</v>
      </c>
      <c r="C587" s="21" t="str">
        <f t="shared" si="80"/>
        <v>0</v>
      </c>
      <c r="D587" s="21" t="str">
        <f t="shared" si="81"/>
        <v>0</v>
      </c>
      <c r="E587" s="21" t="str">
        <f t="shared" si="82"/>
        <v>99</v>
      </c>
      <c r="F587" s="21" t="str">
        <f t="shared" si="83"/>
        <v>00</v>
      </c>
      <c r="G587" s="21" t="s">
        <v>583</v>
      </c>
      <c r="H587" s="21" t="s">
        <v>2296</v>
      </c>
      <c r="I587" s="22" t="s">
        <v>2443</v>
      </c>
      <c r="J587" s="21"/>
      <c r="K587" s="21"/>
      <c r="L587" s="21"/>
      <c r="M587" s="21"/>
    </row>
    <row r="588" spans="1:13" x14ac:dyDescent="0.25">
      <c r="A588" s="10" t="str">
        <f t="shared" si="78"/>
        <v>1</v>
      </c>
      <c r="B588" s="10" t="str">
        <f t="shared" si="79"/>
        <v>7</v>
      </c>
      <c r="C588" s="10" t="str">
        <f t="shared" si="80"/>
        <v>0</v>
      </c>
      <c r="D588" s="10" t="str">
        <f t="shared" si="81"/>
        <v>0</v>
      </c>
      <c r="E588" s="10" t="str">
        <f t="shared" si="82"/>
        <v>00</v>
      </c>
      <c r="F588" s="10" t="str">
        <f t="shared" si="83"/>
        <v>00</v>
      </c>
      <c r="G588" s="10" t="s">
        <v>584</v>
      </c>
      <c r="H588" s="10" t="s">
        <v>2444</v>
      </c>
      <c r="I588" s="14" t="s">
        <v>2516</v>
      </c>
      <c r="J588" s="10"/>
      <c r="K588" s="10"/>
      <c r="L588" s="10"/>
      <c r="M588" s="14"/>
    </row>
    <row r="589" spans="1:13" x14ac:dyDescent="0.25">
      <c r="A589" s="12" t="str">
        <f t="shared" si="78"/>
        <v>1</v>
      </c>
      <c r="B589" s="12" t="str">
        <f t="shared" si="79"/>
        <v>7</v>
      </c>
      <c r="C589" s="12" t="str">
        <f t="shared" si="80"/>
        <v>2</v>
      </c>
      <c r="D589" s="12" t="str">
        <f t="shared" si="81"/>
        <v>0</v>
      </c>
      <c r="E589" s="12" t="str">
        <f t="shared" si="82"/>
        <v>00</v>
      </c>
      <c r="F589" s="12" t="str">
        <f t="shared" si="83"/>
        <v>00</v>
      </c>
      <c r="G589" s="12" t="s">
        <v>585</v>
      </c>
      <c r="H589" s="12" t="s">
        <v>2445</v>
      </c>
      <c r="I589" s="15" t="s">
        <v>2517</v>
      </c>
      <c r="J589" s="12"/>
      <c r="K589" s="12"/>
      <c r="L589" s="12"/>
      <c r="M589" s="15"/>
    </row>
    <row r="590" spans="1:13" x14ac:dyDescent="0.25">
      <c r="A590" s="19" t="str">
        <f t="shared" si="78"/>
        <v>1</v>
      </c>
      <c r="B590" s="19" t="str">
        <f t="shared" si="79"/>
        <v>7</v>
      </c>
      <c r="C590" s="19" t="str">
        <f t="shared" si="80"/>
        <v>2</v>
      </c>
      <c r="D590" s="19" t="str">
        <f t="shared" si="81"/>
        <v>1</v>
      </c>
      <c r="E590" s="19" t="str">
        <f t="shared" si="82"/>
        <v>00</v>
      </c>
      <c r="F590" s="19" t="str">
        <f t="shared" si="83"/>
        <v>00</v>
      </c>
      <c r="G590" s="19" t="s">
        <v>586</v>
      </c>
      <c r="H590" s="19" t="s">
        <v>2446</v>
      </c>
      <c r="I590" s="20" t="s">
        <v>2518</v>
      </c>
      <c r="J590" s="19"/>
      <c r="K590" s="19"/>
      <c r="L590" s="19"/>
      <c r="M590" s="20"/>
    </row>
    <row r="591" spans="1:13" x14ac:dyDescent="0.25">
      <c r="A591" s="21" t="str">
        <f t="shared" si="78"/>
        <v>1</v>
      </c>
      <c r="B591" s="21" t="str">
        <f t="shared" si="79"/>
        <v>7</v>
      </c>
      <c r="C591" s="21" t="str">
        <f t="shared" si="80"/>
        <v>2</v>
      </c>
      <c r="D591" s="21" t="str">
        <f t="shared" si="81"/>
        <v>1</v>
      </c>
      <c r="E591" s="21" t="str">
        <f t="shared" si="82"/>
        <v>01</v>
      </c>
      <c r="F591" s="21" t="str">
        <f t="shared" si="83"/>
        <v>00</v>
      </c>
      <c r="G591" s="21" t="s">
        <v>587</v>
      </c>
      <c r="H591" s="21" t="s">
        <v>2447</v>
      </c>
      <c r="I591" s="22" t="s">
        <v>2519</v>
      </c>
      <c r="J591" s="21"/>
      <c r="K591" s="21"/>
      <c r="L591" s="21"/>
      <c r="M591" s="21"/>
    </row>
    <row r="592" spans="1:13" ht="25.5" x14ac:dyDescent="0.25">
      <c r="A592" s="13" t="str">
        <f t="shared" si="78"/>
        <v>1</v>
      </c>
      <c r="B592" s="13" t="str">
        <f t="shared" si="79"/>
        <v>7</v>
      </c>
      <c r="C592" s="13" t="str">
        <f t="shared" si="80"/>
        <v>2</v>
      </c>
      <c r="D592" s="13" t="str">
        <f t="shared" si="81"/>
        <v>1</v>
      </c>
      <c r="E592" s="13" t="str">
        <f t="shared" si="82"/>
        <v>01</v>
      </c>
      <c r="F592" s="13" t="str">
        <f t="shared" si="83"/>
        <v>01</v>
      </c>
      <c r="G592" s="13" t="s">
        <v>588</v>
      </c>
      <c r="H592" s="13" t="s">
        <v>2448</v>
      </c>
      <c r="I592" s="16" t="s">
        <v>2520</v>
      </c>
      <c r="J592" s="13"/>
      <c r="K592" s="13"/>
      <c r="L592" s="13"/>
      <c r="M592" s="16"/>
    </row>
    <row r="593" spans="1:13" ht="25.5" x14ac:dyDescent="0.25">
      <c r="A593" s="13" t="str">
        <f t="shared" si="78"/>
        <v>1</v>
      </c>
      <c r="B593" s="13" t="str">
        <f t="shared" si="79"/>
        <v>7</v>
      </c>
      <c r="C593" s="13" t="str">
        <f t="shared" si="80"/>
        <v>2</v>
      </c>
      <c r="D593" s="13" t="str">
        <f t="shared" si="81"/>
        <v>1</v>
      </c>
      <c r="E593" s="13" t="str">
        <f t="shared" si="82"/>
        <v>01</v>
      </c>
      <c r="F593" s="13" t="str">
        <f t="shared" si="83"/>
        <v>02</v>
      </c>
      <c r="G593" s="13" t="s">
        <v>589</v>
      </c>
      <c r="H593" s="13" t="s">
        <v>4248</v>
      </c>
      <c r="I593" s="16" t="s">
        <v>4249</v>
      </c>
      <c r="J593" s="13"/>
      <c r="K593" s="13" t="s">
        <v>4018</v>
      </c>
      <c r="L593" s="13" t="s">
        <v>4250</v>
      </c>
      <c r="M593" s="16"/>
    </row>
    <row r="594" spans="1:13" ht="38.25" x14ac:dyDescent="0.25">
      <c r="A594" s="13" t="str">
        <f t="shared" ref="A594" si="84">MID(G594,1,1)</f>
        <v>1</v>
      </c>
      <c r="B594" s="13" t="str">
        <f t="shared" ref="B594" si="85">MID(G594,2,1)</f>
        <v>7</v>
      </c>
      <c r="C594" s="13" t="str">
        <f t="shared" ref="C594" si="86">MID(G594,3,1)</f>
        <v>2</v>
      </c>
      <c r="D594" s="13" t="str">
        <f t="shared" ref="D594" si="87">MID(G594,4,1)</f>
        <v>1</v>
      </c>
      <c r="E594" s="13" t="str">
        <f t="shared" ref="E594" si="88">MID(G594,6,2)</f>
        <v>01</v>
      </c>
      <c r="F594" s="13" t="str">
        <f t="shared" ref="F594" si="89">MID(G594,9,2)</f>
        <v>03</v>
      </c>
      <c r="G594" s="13" t="s">
        <v>4246</v>
      </c>
      <c r="H594" s="13" t="s">
        <v>4266</v>
      </c>
      <c r="I594" s="16" t="s">
        <v>4247</v>
      </c>
      <c r="J594" s="13"/>
      <c r="K594" s="13" t="s">
        <v>4018</v>
      </c>
      <c r="L594" s="13" t="s">
        <v>4278</v>
      </c>
      <c r="M594" s="16"/>
    </row>
    <row r="595" spans="1:13" ht="38.25" x14ac:dyDescent="0.25">
      <c r="A595" s="13">
        <v>1</v>
      </c>
      <c r="B595" s="13">
        <v>7</v>
      </c>
      <c r="C595" s="13">
        <v>2</v>
      </c>
      <c r="D595" s="13">
        <v>1</v>
      </c>
      <c r="E595" s="13" t="str">
        <f t="shared" si="82"/>
        <v>01</v>
      </c>
      <c r="F595" s="13" t="str">
        <f t="shared" si="83"/>
        <v>04</v>
      </c>
      <c r="G595" s="13" t="s">
        <v>4265</v>
      </c>
      <c r="H595" s="13" t="s">
        <v>4267</v>
      </c>
      <c r="I595" s="16" t="s">
        <v>4268</v>
      </c>
      <c r="J595" s="13"/>
      <c r="K595" s="13" t="s">
        <v>46</v>
      </c>
      <c r="L595" s="13" t="s">
        <v>4272</v>
      </c>
      <c r="M595" s="16"/>
    </row>
    <row r="596" spans="1:13" ht="25.5" x14ac:dyDescent="0.25">
      <c r="A596" s="13" t="str">
        <f t="shared" si="78"/>
        <v>1</v>
      </c>
      <c r="B596" s="13" t="str">
        <f t="shared" si="79"/>
        <v>7</v>
      </c>
      <c r="C596" s="13" t="str">
        <f t="shared" si="80"/>
        <v>2</v>
      </c>
      <c r="D596" s="13" t="str">
        <f t="shared" si="81"/>
        <v>1</v>
      </c>
      <c r="E596" s="13" t="str">
        <f t="shared" si="82"/>
        <v>01</v>
      </c>
      <c r="F596" s="13" t="str">
        <f t="shared" si="83"/>
        <v>05</v>
      </c>
      <c r="G596" s="13" t="s">
        <v>590</v>
      </c>
      <c r="H596" s="13" t="s">
        <v>2449</v>
      </c>
      <c r="I596" s="16" t="s">
        <v>2521</v>
      </c>
      <c r="J596" s="13"/>
      <c r="K596" s="13"/>
      <c r="L596" s="13"/>
      <c r="M596" s="16"/>
    </row>
    <row r="597" spans="1:13" ht="38.25" x14ac:dyDescent="0.25">
      <c r="A597" s="13" t="str">
        <f t="shared" si="78"/>
        <v>1</v>
      </c>
      <c r="B597" s="13" t="str">
        <f t="shared" si="79"/>
        <v>7</v>
      </c>
      <c r="C597" s="13" t="str">
        <f t="shared" si="80"/>
        <v>2</v>
      </c>
      <c r="D597" s="13" t="str">
        <f t="shared" si="81"/>
        <v>1</v>
      </c>
      <c r="E597" s="13" t="str">
        <f t="shared" si="82"/>
        <v>01</v>
      </c>
      <c r="F597" s="13" t="str">
        <f t="shared" si="83"/>
        <v>12</v>
      </c>
      <c r="G597" s="13" t="s">
        <v>591</v>
      </c>
      <c r="H597" s="13" t="s">
        <v>2450</v>
      </c>
      <c r="I597" s="16" t="s">
        <v>2522</v>
      </c>
      <c r="J597" s="13"/>
      <c r="K597" s="13"/>
      <c r="L597" s="13"/>
      <c r="M597" s="16"/>
    </row>
    <row r="598" spans="1:13" ht="25.5" x14ac:dyDescent="0.25">
      <c r="A598" s="13" t="str">
        <f t="shared" si="78"/>
        <v>1</v>
      </c>
      <c r="B598" s="13" t="str">
        <f t="shared" si="79"/>
        <v>7</v>
      </c>
      <c r="C598" s="13" t="str">
        <f t="shared" si="80"/>
        <v>2</v>
      </c>
      <c r="D598" s="13" t="str">
        <f t="shared" si="81"/>
        <v>1</v>
      </c>
      <c r="E598" s="13" t="str">
        <f t="shared" si="82"/>
        <v>01</v>
      </c>
      <c r="F598" s="13" t="str">
        <f t="shared" si="83"/>
        <v>13</v>
      </c>
      <c r="G598" s="13" t="s">
        <v>592</v>
      </c>
      <c r="H598" s="13" t="s">
        <v>2451</v>
      </c>
      <c r="I598" s="16" t="s">
        <v>2523</v>
      </c>
      <c r="J598" s="13"/>
      <c r="K598" s="13"/>
      <c r="L598" s="13"/>
      <c r="M598" s="16"/>
    </row>
    <row r="599" spans="1:13" ht="51" x14ac:dyDescent="0.25">
      <c r="A599" s="13" t="str">
        <f t="shared" si="78"/>
        <v>1</v>
      </c>
      <c r="B599" s="13" t="str">
        <f t="shared" si="79"/>
        <v>7</v>
      </c>
      <c r="C599" s="13" t="str">
        <f t="shared" si="80"/>
        <v>2</v>
      </c>
      <c r="D599" s="13" t="str">
        <f t="shared" si="81"/>
        <v>1</v>
      </c>
      <c r="E599" s="13" t="str">
        <f t="shared" si="82"/>
        <v>01</v>
      </c>
      <c r="F599" s="13" t="str">
        <f t="shared" si="83"/>
        <v>32</v>
      </c>
      <c r="G599" s="13" t="s">
        <v>593</v>
      </c>
      <c r="H599" s="13" t="s">
        <v>2452</v>
      </c>
      <c r="I599" s="16" t="s">
        <v>2524</v>
      </c>
      <c r="J599" s="13"/>
      <c r="K599" s="13"/>
      <c r="L599" s="13"/>
      <c r="M599" s="16"/>
    </row>
    <row r="600" spans="1:13" ht="25.5" x14ac:dyDescent="0.25">
      <c r="A600" s="21" t="str">
        <f t="shared" si="78"/>
        <v>1</v>
      </c>
      <c r="B600" s="21" t="str">
        <f t="shared" si="79"/>
        <v>7</v>
      </c>
      <c r="C600" s="21" t="str">
        <f t="shared" si="80"/>
        <v>2</v>
      </c>
      <c r="D600" s="21" t="str">
        <f t="shared" si="81"/>
        <v>1</v>
      </c>
      <c r="E600" s="21" t="str">
        <f t="shared" si="82"/>
        <v>22</v>
      </c>
      <c r="F600" s="21" t="str">
        <f t="shared" si="83"/>
        <v>00</v>
      </c>
      <c r="G600" s="21" t="s">
        <v>594</v>
      </c>
      <c r="H600" s="21" t="s">
        <v>2453</v>
      </c>
      <c r="I600" s="22" t="s">
        <v>2525</v>
      </c>
      <c r="J600" s="21"/>
      <c r="K600" s="21"/>
      <c r="L600" s="21"/>
      <c r="M600" s="21"/>
    </row>
    <row r="601" spans="1:13" ht="25.5" x14ac:dyDescent="0.25">
      <c r="A601" s="13" t="str">
        <f t="shared" si="78"/>
        <v>1</v>
      </c>
      <c r="B601" s="13" t="str">
        <f t="shared" si="79"/>
        <v>7</v>
      </c>
      <c r="C601" s="13" t="str">
        <f t="shared" si="80"/>
        <v>2</v>
      </c>
      <c r="D601" s="13" t="str">
        <f t="shared" si="81"/>
        <v>1</v>
      </c>
      <c r="E601" s="13" t="str">
        <f t="shared" si="82"/>
        <v>22</v>
      </c>
      <c r="F601" s="13" t="str">
        <f t="shared" si="83"/>
        <v>11</v>
      </c>
      <c r="G601" s="13" t="s">
        <v>595</v>
      </c>
      <c r="H601" s="13" t="s">
        <v>2454</v>
      </c>
      <c r="I601" s="16" t="s">
        <v>2526</v>
      </c>
      <c r="J601" s="13"/>
      <c r="K601" s="13"/>
      <c r="L601" s="13"/>
      <c r="M601" s="16"/>
    </row>
    <row r="602" spans="1:13" ht="25.5" x14ac:dyDescent="0.25">
      <c r="A602" s="13" t="str">
        <f t="shared" si="78"/>
        <v>1</v>
      </c>
      <c r="B602" s="13" t="str">
        <f t="shared" si="79"/>
        <v>7</v>
      </c>
      <c r="C602" s="13" t="str">
        <f t="shared" si="80"/>
        <v>2</v>
      </c>
      <c r="D602" s="13" t="str">
        <f t="shared" si="81"/>
        <v>1</v>
      </c>
      <c r="E602" s="13" t="str">
        <f t="shared" si="82"/>
        <v>22</v>
      </c>
      <c r="F602" s="13" t="str">
        <f t="shared" si="83"/>
        <v>20</v>
      </c>
      <c r="G602" s="13" t="s">
        <v>596</v>
      </c>
      <c r="H602" s="13" t="s">
        <v>2455</v>
      </c>
      <c r="I602" s="16" t="s">
        <v>2527</v>
      </c>
      <c r="J602" s="13"/>
      <c r="K602" s="13"/>
      <c r="L602" s="13"/>
      <c r="M602" s="16"/>
    </row>
    <row r="603" spans="1:13" ht="38.25" x14ac:dyDescent="0.25">
      <c r="A603" s="13" t="str">
        <f t="shared" si="78"/>
        <v>1</v>
      </c>
      <c r="B603" s="13" t="str">
        <f t="shared" si="79"/>
        <v>7</v>
      </c>
      <c r="C603" s="13" t="str">
        <f t="shared" si="80"/>
        <v>2</v>
      </c>
      <c r="D603" s="13" t="str">
        <f t="shared" si="81"/>
        <v>1</v>
      </c>
      <c r="E603" s="13" t="str">
        <f t="shared" si="82"/>
        <v>22</v>
      </c>
      <c r="F603" s="13" t="str">
        <f t="shared" si="83"/>
        <v>30</v>
      </c>
      <c r="G603" s="13" t="s">
        <v>597</v>
      </c>
      <c r="H603" s="13" t="s">
        <v>2456</v>
      </c>
      <c r="I603" s="16" t="s">
        <v>2528</v>
      </c>
      <c r="J603" s="13"/>
      <c r="K603" s="13"/>
      <c r="L603" s="13"/>
      <c r="M603" s="16"/>
    </row>
    <row r="604" spans="1:13" ht="38.25" x14ac:dyDescent="0.25">
      <c r="A604" s="13" t="str">
        <f t="shared" si="78"/>
        <v>1</v>
      </c>
      <c r="B604" s="13" t="str">
        <f t="shared" si="79"/>
        <v>7</v>
      </c>
      <c r="C604" s="13" t="str">
        <f t="shared" si="80"/>
        <v>2</v>
      </c>
      <c r="D604" s="13" t="str">
        <f t="shared" si="81"/>
        <v>1</v>
      </c>
      <c r="E604" s="13" t="str">
        <f t="shared" si="82"/>
        <v>22</v>
      </c>
      <c r="F604" s="13" t="str">
        <f t="shared" si="83"/>
        <v>40</v>
      </c>
      <c r="G604" s="13" t="s">
        <v>598</v>
      </c>
      <c r="H604" s="13" t="s">
        <v>2457</v>
      </c>
      <c r="I604" s="16" t="s">
        <v>2529</v>
      </c>
      <c r="J604" s="13"/>
      <c r="K604" s="13"/>
      <c r="L604" s="13"/>
      <c r="M604" s="16"/>
    </row>
    <row r="605" spans="1:13" ht="25.5" x14ac:dyDescent="0.25">
      <c r="A605" s="13" t="str">
        <f t="shared" si="78"/>
        <v>1</v>
      </c>
      <c r="B605" s="13" t="str">
        <f t="shared" si="79"/>
        <v>7</v>
      </c>
      <c r="C605" s="13" t="str">
        <f t="shared" si="80"/>
        <v>2</v>
      </c>
      <c r="D605" s="13" t="str">
        <f t="shared" si="81"/>
        <v>1</v>
      </c>
      <c r="E605" s="13" t="str">
        <f t="shared" si="82"/>
        <v>22</v>
      </c>
      <c r="F605" s="13" t="str">
        <f t="shared" si="83"/>
        <v>50</v>
      </c>
      <c r="G605" s="13" t="s">
        <v>599</v>
      </c>
      <c r="H605" s="13" t="s">
        <v>2458</v>
      </c>
      <c r="I605" s="16" t="s">
        <v>2530</v>
      </c>
      <c r="J605" s="13"/>
      <c r="K605" s="13"/>
      <c r="L605" s="13"/>
      <c r="M605" s="16"/>
    </row>
    <row r="606" spans="1:13" ht="25.5" x14ac:dyDescent="0.25">
      <c r="A606" s="13" t="str">
        <f t="shared" si="78"/>
        <v>1</v>
      </c>
      <c r="B606" s="13" t="str">
        <f t="shared" si="79"/>
        <v>7</v>
      </c>
      <c r="C606" s="13" t="str">
        <f t="shared" si="80"/>
        <v>2</v>
      </c>
      <c r="D606" s="13" t="str">
        <f t="shared" si="81"/>
        <v>1</v>
      </c>
      <c r="E606" s="13" t="str">
        <f t="shared" si="82"/>
        <v>22</v>
      </c>
      <c r="F606" s="13" t="str">
        <f t="shared" si="83"/>
        <v>70</v>
      </c>
      <c r="G606" s="13" t="s">
        <v>600</v>
      </c>
      <c r="H606" s="13" t="s">
        <v>2459</v>
      </c>
      <c r="I606" s="16" t="s">
        <v>2531</v>
      </c>
      <c r="J606" s="13"/>
      <c r="K606" s="13"/>
      <c r="L606" s="13"/>
      <c r="M606" s="16"/>
    </row>
    <row r="607" spans="1:13" ht="38.25" x14ac:dyDescent="0.25">
      <c r="A607" s="13" t="str">
        <f t="shared" si="78"/>
        <v>1</v>
      </c>
      <c r="B607" s="13" t="str">
        <f t="shared" si="79"/>
        <v>7</v>
      </c>
      <c r="C607" s="13" t="str">
        <f t="shared" si="80"/>
        <v>2</v>
      </c>
      <c r="D607" s="13" t="str">
        <f t="shared" si="81"/>
        <v>1</v>
      </c>
      <c r="E607" s="13" t="str">
        <f t="shared" si="82"/>
        <v>22</v>
      </c>
      <c r="F607" s="13" t="str">
        <f t="shared" si="83"/>
        <v>90</v>
      </c>
      <c r="G607" s="13" t="s">
        <v>601</v>
      </c>
      <c r="H607" s="13" t="s">
        <v>2460</v>
      </c>
      <c r="I607" s="16" t="s">
        <v>2532</v>
      </c>
      <c r="J607" s="13"/>
      <c r="K607" s="13"/>
      <c r="L607" s="13"/>
      <c r="M607" s="16"/>
    </row>
    <row r="608" spans="1:13" ht="51" x14ac:dyDescent="0.25">
      <c r="A608" s="21" t="str">
        <f t="shared" si="78"/>
        <v>1</v>
      </c>
      <c r="B608" s="21" t="str">
        <f t="shared" si="79"/>
        <v>7</v>
      </c>
      <c r="C608" s="21" t="str">
        <f t="shared" si="80"/>
        <v>2</v>
      </c>
      <c r="D608" s="21" t="str">
        <f t="shared" si="81"/>
        <v>1</v>
      </c>
      <c r="E608" s="21" t="str">
        <f t="shared" si="82"/>
        <v>33</v>
      </c>
      <c r="F608" s="21" t="str">
        <f t="shared" si="83"/>
        <v>00</v>
      </c>
      <c r="G608" s="21" t="s">
        <v>602</v>
      </c>
      <c r="H608" s="21" t="s">
        <v>2461</v>
      </c>
      <c r="I608" s="22" t="s">
        <v>2533</v>
      </c>
      <c r="J608" s="21"/>
      <c r="K608" s="21"/>
      <c r="L608" s="21"/>
      <c r="M608" s="21"/>
    </row>
    <row r="609" spans="1:14" ht="25.5" x14ac:dyDescent="0.25">
      <c r="A609" s="21" t="str">
        <f t="shared" si="78"/>
        <v>1</v>
      </c>
      <c r="B609" s="21" t="str">
        <f t="shared" si="79"/>
        <v>7</v>
      </c>
      <c r="C609" s="21" t="str">
        <f t="shared" si="80"/>
        <v>2</v>
      </c>
      <c r="D609" s="21" t="str">
        <f t="shared" si="81"/>
        <v>1</v>
      </c>
      <c r="E609" s="21" t="str">
        <f t="shared" si="82"/>
        <v>34</v>
      </c>
      <c r="F609" s="21" t="str">
        <f t="shared" si="83"/>
        <v>00</v>
      </c>
      <c r="G609" s="21" t="s">
        <v>603</v>
      </c>
      <c r="H609" s="21" t="s">
        <v>2462</v>
      </c>
      <c r="I609" s="22" t="s">
        <v>2534</v>
      </c>
      <c r="J609" s="21"/>
      <c r="K609" s="21"/>
      <c r="L609" s="21"/>
      <c r="M609" s="21"/>
    </row>
    <row r="610" spans="1:14" ht="38.25" x14ac:dyDescent="0.25">
      <c r="A610" s="21" t="str">
        <f t="shared" si="78"/>
        <v>1</v>
      </c>
      <c r="B610" s="21" t="str">
        <f t="shared" si="79"/>
        <v>7</v>
      </c>
      <c r="C610" s="21" t="str">
        <f t="shared" si="80"/>
        <v>2</v>
      </c>
      <c r="D610" s="21" t="str">
        <f t="shared" si="81"/>
        <v>1</v>
      </c>
      <c r="E610" s="21" t="str">
        <f t="shared" si="82"/>
        <v>35</v>
      </c>
      <c r="F610" s="21" t="str">
        <f t="shared" si="83"/>
        <v>00</v>
      </c>
      <c r="G610" s="21" t="s">
        <v>604</v>
      </c>
      <c r="H610" s="21" t="s">
        <v>2463</v>
      </c>
      <c r="I610" s="22" t="s">
        <v>2535</v>
      </c>
      <c r="J610" s="21"/>
      <c r="K610" s="21"/>
      <c r="L610" s="21"/>
      <c r="M610" s="21"/>
    </row>
    <row r="611" spans="1:14" x14ac:dyDescent="0.25">
      <c r="A611" s="13" t="str">
        <f t="shared" si="78"/>
        <v>1</v>
      </c>
      <c r="B611" s="13" t="str">
        <f t="shared" si="79"/>
        <v>7</v>
      </c>
      <c r="C611" s="13" t="str">
        <f t="shared" si="80"/>
        <v>2</v>
      </c>
      <c r="D611" s="13" t="str">
        <f t="shared" si="81"/>
        <v>1</v>
      </c>
      <c r="E611" s="13" t="str">
        <f t="shared" si="82"/>
        <v>35</v>
      </c>
      <c r="F611" s="13" t="str">
        <f t="shared" si="83"/>
        <v>01</v>
      </c>
      <c r="G611" s="13" t="s">
        <v>605</v>
      </c>
      <c r="H611" s="13" t="s">
        <v>2464</v>
      </c>
      <c r="I611" s="16" t="s">
        <v>2536</v>
      </c>
      <c r="J611" s="13"/>
      <c r="K611" s="13"/>
      <c r="L611" s="13"/>
      <c r="M611" s="16"/>
    </row>
    <row r="612" spans="1:14" ht="38.25" x14ac:dyDescent="0.25">
      <c r="A612" s="13" t="str">
        <f t="shared" si="78"/>
        <v>1</v>
      </c>
      <c r="B612" s="13" t="str">
        <f t="shared" si="79"/>
        <v>7</v>
      </c>
      <c r="C612" s="13" t="str">
        <f t="shared" si="80"/>
        <v>2</v>
      </c>
      <c r="D612" s="13" t="str">
        <f t="shared" si="81"/>
        <v>1</v>
      </c>
      <c r="E612" s="13" t="str">
        <f t="shared" si="82"/>
        <v>35</v>
      </c>
      <c r="F612" s="13" t="str">
        <f t="shared" si="83"/>
        <v>02</v>
      </c>
      <c r="G612" s="13" t="s">
        <v>606</v>
      </c>
      <c r="H612" s="13" t="s">
        <v>2465</v>
      </c>
      <c r="I612" s="16" t="s">
        <v>2537</v>
      </c>
      <c r="J612" s="13"/>
      <c r="K612" s="13"/>
      <c r="L612" s="13"/>
      <c r="M612" s="16"/>
    </row>
    <row r="613" spans="1:14" ht="38.25" x14ac:dyDescent="0.25">
      <c r="A613" s="13" t="str">
        <f t="shared" si="78"/>
        <v>1</v>
      </c>
      <c r="B613" s="13" t="str">
        <f t="shared" si="79"/>
        <v>7</v>
      </c>
      <c r="C613" s="13" t="str">
        <f t="shared" si="80"/>
        <v>2</v>
      </c>
      <c r="D613" s="13" t="str">
        <f t="shared" si="81"/>
        <v>1</v>
      </c>
      <c r="E613" s="13" t="str">
        <f t="shared" si="82"/>
        <v>35</v>
      </c>
      <c r="F613" s="13" t="str">
        <f t="shared" si="83"/>
        <v>03</v>
      </c>
      <c r="G613" s="13" t="s">
        <v>607</v>
      </c>
      <c r="H613" s="13" t="s">
        <v>2466</v>
      </c>
      <c r="I613" s="16" t="s">
        <v>2538</v>
      </c>
      <c r="J613" s="13"/>
      <c r="K613" s="13"/>
      <c r="L613" s="13"/>
      <c r="M613" s="16"/>
    </row>
    <row r="614" spans="1:14" ht="38.25" x14ac:dyDescent="0.25">
      <c r="A614" s="13" t="str">
        <f t="shared" si="78"/>
        <v>1</v>
      </c>
      <c r="B614" s="13" t="str">
        <f t="shared" si="79"/>
        <v>7</v>
      </c>
      <c r="C614" s="13" t="str">
        <f t="shared" si="80"/>
        <v>2</v>
      </c>
      <c r="D614" s="13" t="str">
        <f t="shared" si="81"/>
        <v>1</v>
      </c>
      <c r="E614" s="13" t="str">
        <f t="shared" si="82"/>
        <v>35</v>
      </c>
      <c r="F614" s="13" t="str">
        <f t="shared" si="83"/>
        <v>04</v>
      </c>
      <c r="G614" s="13" t="s">
        <v>608</v>
      </c>
      <c r="H614" s="13" t="s">
        <v>2467</v>
      </c>
      <c r="I614" s="16" t="s">
        <v>2539</v>
      </c>
      <c r="J614" s="13"/>
      <c r="K614" s="13"/>
      <c r="L614" s="13"/>
      <c r="M614" s="16"/>
    </row>
    <row r="615" spans="1:14" ht="38.25" x14ac:dyDescent="0.25">
      <c r="A615" s="13" t="str">
        <f t="shared" si="78"/>
        <v>1</v>
      </c>
      <c r="B615" s="13" t="str">
        <f t="shared" si="79"/>
        <v>7</v>
      </c>
      <c r="C615" s="13" t="str">
        <f t="shared" si="80"/>
        <v>2</v>
      </c>
      <c r="D615" s="13" t="str">
        <f t="shared" si="81"/>
        <v>1</v>
      </c>
      <c r="E615" s="13" t="str">
        <f t="shared" si="82"/>
        <v>35</v>
      </c>
      <c r="F615" s="13" t="str">
        <f t="shared" si="83"/>
        <v>99</v>
      </c>
      <c r="G615" s="13" t="s">
        <v>609</v>
      </c>
      <c r="H615" s="13" t="s">
        <v>2468</v>
      </c>
      <c r="I615" s="16" t="s">
        <v>2540</v>
      </c>
      <c r="J615" s="13"/>
      <c r="K615" s="13"/>
      <c r="L615" s="13"/>
      <c r="M615" s="16"/>
    </row>
    <row r="616" spans="1:14" ht="38.25" x14ac:dyDescent="0.25">
      <c r="A616" s="21" t="str">
        <f t="shared" si="78"/>
        <v>1</v>
      </c>
      <c r="B616" s="21" t="str">
        <f t="shared" si="79"/>
        <v>7</v>
      </c>
      <c r="C616" s="21" t="str">
        <f t="shared" si="80"/>
        <v>2</v>
      </c>
      <c r="D616" s="21" t="str">
        <f t="shared" si="81"/>
        <v>1</v>
      </c>
      <c r="E616" s="21" t="str">
        <f t="shared" si="82"/>
        <v>36</v>
      </c>
      <c r="F616" s="21" t="str">
        <f t="shared" si="83"/>
        <v>00</v>
      </c>
      <c r="G616" s="21" t="s">
        <v>610</v>
      </c>
      <c r="H616" s="21" t="s">
        <v>2469</v>
      </c>
      <c r="I616" s="22" t="s">
        <v>2541</v>
      </c>
      <c r="J616" s="21"/>
      <c r="K616" s="21"/>
      <c r="L616" s="21"/>
      <c r="M616" s="21"/>
    </row>
    <row r="617" spans="1:14" x14ac:dyDescent="0.25">
      <c r="A617" s="50" t="str">
        <f t="shared" si="78"/>
        <v>1</v>
      </c>
      <c r="B617" s="50" t="str">
        <f t="shared" si="79"/>
        <v>7</v>
      </c>
      <c r="C617" s="50" t="str">
        <f t="shared" si="80"/>
        <v>2</v>
      </c>
      <c r="D617" s="50" t="str">
        <f t="shared" si="81"/>
        <v>1</v>
      </c>
      <c r="E617" s="50" t="str">
        <f t="shared" si="82"/>
        <v>37</v>
      </c>
      <c r="F617" s="50" t="str">
        <f t="shared" si="83"/>
        <v>00</v>
      </c>
      <c r="G617" s="50" t="s">
        <v>611</v>
      </c>
      <c r="H617" s="50" t="s">
        <v>2470</v>
      </c>
      <c r="I617" s="51" t="s">
        <v>2542</v>
      </c>
      <c r="J617" s="40"/>
      <c r="K617" s="40"/>
      <c r="L617" s="40"/>
      <c r="M617" s="40"/>
      <c r="N617" t="s">
        <v>4201</v>
      </c>
    </row>
    <row r="618" spans="1:14" ht="25.5" x14ac:dyDescent="0.25">
      <c r="A618" s="21" t="str">
        <f>MID(G618,1,1)</f>
        <v>1</v>
      </c>
      <c r="B618" s="21" t="str">
        <f>MID(G618,2,1)</f>
        <v>7</v>
      </c>
      <c r="C618" s="21" t="str">
        <f>MID(G618,3,1)</f>
        <v>2</v>
      </c>
      <c r="D618" s="21" t="str">
        <f>MID(G618,4,1)</f>
        <v>1</v>
      </c>
      <c r="E618" s="21" t="str">
        <f>MID(G618,6,2)</f>
        <v>37</v>
      </c>
      <c r="F618" s="21" t="str">
        <f>MID(G618,9,2)</f>
        <v>00</v>
      </c>
      <c r="G618" s="21" t="s">
        <v>611</v>
      </c>
      <c r="H618" s="21" t="s">
        <v>4176</v>
      </c>
      <c r="I618" s="22" t="s">
        <v>2542</v>
      </c>
      <c r="J618" s="21"/>
      <c r="K618" s="21"/>
      <c r="L618" s="21"/>
      <c r="M618" s="21"/>
      <c r="N618" t="s">
        <v>4201</v>
      </c>
    </row>
    <row r="619" spans="1:14" x14ac:dyDescent="0.25">
      <c r="A619" s="21" t="str">
        <f t="shared" si="78"/>
        <v>1</v>
      </c>
      <c r="B619" s="21" t="str">
        <f t="shared" si="79"/>
        <v>7</v>
      </c>
      <c r="C619" s="21" t="str">
        <f t="shared" si="80"/>
        <v>2</v>
      </c>
      <c r="D619" s="21" t="str">
        <f t="shared" si="81"/>
        <v>1</v>
      </c>
      <c r="E619" s="21" t="str">
        <f t="shared" si="82"/>
        <v>99</v>
      </c>
      <c r="F619" s="21" t="str">
        <f t="shared" si="83"/>
        <v>00</v>
      </c>
      <c r="G619" s="21" t="s">
        <v>612</v>
      </c>
      <c r="H619" s="21" t="s">
        <v>2471</v>
      </c>
      <c r="I619" s="22" t="s">
        <v>2543</v>
      </c>
      <c r="J619" s="21"/>
      <c r="K619" s="21"/>
      <c r="L619" s="21"/>
      <c r="M619" s="21"/>
    </row>
    <row r="620" spans="1:14" ht="25.5" x14ac:dyDescent="0.25">
      <c r="A620" s="19" t="str">
        <f t="shared" si="78"/>
        <v>1</v>
      </c>
      <c r="B620" s="19" t="str">
        <f t="shared" si="79"/>
        <v>7</v>
      </c>
      <c r="C620" s="19" t="str">
        <f t="shared" si="80"/>
        <v>2</v>
      </c>
      <c r="D620" s="19" t="str">
        <f t="shared" si="81"/>
        <v>2</v>
      </c>
      <c r="E620" s="19" t="str">
        <f t="shared" si="82"/>
        <v>00</v>
      </c>
      <c r="F620" s="19" t="str">
        <f t="shared" si="83"/>
        <v>00</v>
      </c>
      <c r="G620" s="19" t="s">
        <v>613</v>
      </c>
      <c r="H620" s="19" t="s">
        <v>2472</v>
      </c>
      <c r="I620" s="20" t="s">
        <v>2544</v>
      </c>
      <c r="J620" s="19"/>
      <c r="K620" s="19"/>
      <c r="L620" s="19"/>
      <c r="M620" s="20"/>
    </row>
    <row r="621" spans="1:14" ht="51" x14ac:dyDescent="0.25">
      <c r="A621" s="21" t="str">
        <f t="shared" si="78"/>
        <v>1</v>
      </c>
      <c r="B621" s="21" t="str">
        <f t="shared" si="79"/>
        <v>7</v>
      </c>
      <c r="C621" s="21" t="str">
        <f t="shared" si="80"/>
        <v>2</v>
      </c>
      <c r="D621" s="21" t="str">
        <f t="shared" si="81"/>
        <v>2</v>
      </c>
      <c r="E621" s="21" t="str">
        <f t="shared" si="82"/>
        <v>01</v>
      </c>
      <c r="F621" s="21" t="str">
        <f t="shared" si="83"/>
        <v>00</v>
      </c>
      <c r="G621" s="21" t="s">
        <v>614</v>
      </c>
      <c r="H621" s="21" t="s">
        <v>2473</v>
      </c>
      <c r="I621" s="22" t="s">
        <v>2545</v>
      </c>
      <c r="J621" s="21"/>
      <c r="K621" s="21"/>
      <c r="L621" s="21"/>
      <c r="M621" s="21"/>
    </row>
    <row r="622" spans="1:14" ht="25.5" x14ac:dyDescent="0.25">
      <c r="A622" s="13" t="str">
        <f t="shared" si="78"/>
        <v>1</v>
      </c>
      <c r="B622" s="13" t="str">
        <f t="shared" si="79"/>
        <v>7</v>
      </c>
      <c r="C622" s="13" t="str">
        <f t="shared" si="80"/>
        <v>2</v>
      </c>
      <c r="D622" s="13" t="str">
        <f t="shared" si="81"/>
        <v>2</v>
      </c>
      <c r="E622" s="13" t="str">
        <f t="shared" si="82"/>
        <v>01</v>
      </c>
      <c r="F622" s="13" t="str">
        <f t="shared" si="83"/>
        <v>01</v>
      </c>
      <c r="G622" s="13" t="s">
        <v>615</v>
      </c>
      <c r="H622" s="13" t="s">
        <v>2474</v>
      </c>
      <c r="I622" s="16" t="s">
        <v>2546</v>
      </c>
      <c r="J622" s="13"/>
      <c r="K622" s="13"/>
      <c r="L622" s="13"/>
      <c r="M622" s="16"/>
    </row>
    <row r="623" spans="1:14" ht="25.5" x14ac:dyDescent="0.25">
      <c r="A623" s="13" t="str">
        <f t="shared" si="78"/>
        <v>1</v>
      </c>
      <c r="B623" s="13" t="str">
        <f t="shared" si="79"/>
        <v>7</v>
      </c>
      <c r="C623" s="13" t="str">
        <f t="shared" si="80"/>
        <v>2</v>
      </c>
      <c r="D623" s="13" t="str">
        <f t="shared" si="81"/>
        <v>2</v>
      </c>
      <c r="E623" s="13" t="str">
        <f t="shared" si="82"/>
        <v>01</v>
      </c>
      <c r="F623" s="13" t="str">
        <f t="shared" si="83"/>
        <v>02</v>
      </c>
      <c r="G623" s="13" t="s">
        <v>616</v>
      </c>
      <c r="H623" s="13" t="s">
        <v>2475</v>
      </c>
      <c r="I623" s="16" t="s">
        <v>2547</v>
      </c>
      <c r="J623" s="13"/>
      <c r="K623" s="13"/>
      <c r="L623" s="13"/>
      <c r="M623" s="16"/>
    </row>
    <row r="624" spans="1:14" ht="25.5" x14ac:dyDescent="0.25">
      <c r="A624" s="52" t="str">
        <f t="shared" si="78"/>
        <v>1</v>
      </c>
      <c r="B624" s="52" t="str">
        <f t="shared" si="79"/>
        <v>7</v>
      </c>
      <c r="C624" s="52" t="str">
        <f t="shared" si="80"/>
        <v>2</v>
      </c>
      <c r="D624" s="52" t="str">
        <f t="shared" si="81"/>
        <v>2</v>
      </c>
      <c r="E624" s="52" t="str">
        <f t="shared" si="82"/>
        <v>01</v>
      </c>
      <c r="F624" s="52" t="str">
        <f t="shared" si="83"/>
        <v>04</v>
      </c>
      <c r="G624" s="52" t="s">
        <v>617</v>
      </c>
      <c r="H624" s="52" t="s">
        <v>2476</v>
      </c>
      <c r="I624" s="53" t="s">
        <v>2548</v>
      </c>
      <c r="J624" s="38"/>
      <c r="K624" s="38"/>
      <c r="L624" s="38"/>
      <c r="M624" s="39"/>
      <c r="N624" t="s">
        <v>4201</v>
      </c>
    </row>
    <row r="625" spans="1:14" s="37" customFormat="1" ht="25.5" x14ac:dyDescent="0.25">
      <c r="A625" s="13" t="str">
        <f>MID(G625,1,1)</f>
        <v>1</v>
      </c>
      <c r="B625" s="13" t="str">
        <f>MID(G625,2,1)</f>
        <v>7</v>
      </c>
      <c r="C625" s="13" t="str">
        <f>MID(G625,3,1)</f>
        <v>2</v>
      </c>
      <c r="D625" s="13" t="str">
        <f>MID(G625,4,1)</f>
        <v>2</v>
      </c>
      <c r="E625" s="13" t="str">
        <f>MID(G625,6,2)</f>
        <v>01</v>
      </c>
      <c r="F625" s="13" t="str">
        <f>MID(G625,9,2)</f>
        <v>04</v>
      </c>
      <c r="G625" s="32" t="s">
        <v>617</v>
      </c>
      <c r="H625" s="32" t="s">
        <v>4172</v>
      </c>
      <c r="I625" s="35" t="s">
        <v>4173</v>
      </c>
      <c r="J625" s="32"/>
      <c r="K625" s="32"/>
      <c r="L625" s="32"/>
      <c r="M625" s="35"/>
      <c r="N625" t="s">
        <v>4201</v>
      </c>
    </row>
    <row r="626" spans="1:14" ht="25.5" x14ac:dyDescent="0.25">
      <c r="A626" s="13" t="str">
        <f t="shared" si="78"/>
        <v>1</v>
      </c>
      <c r="B626" s="13" t="str">
        <f t="shared" si="79"/>
        <v>7</v>
      </c>
      <c r="C626" s="13" t="str">
        <f t="shared" si="80"/>
        <v>2</v>
      </c>
      <c r="D626" s="13" t="str">
        <f t="shared" si="81"/>
        <v>2</v>
      </c>
      <c r="E626" s="13" t="str">
        <f t="shared" si="82"/>
        <v>01</v>
      </c>
      <c r="F626" s="13" t="str">
        <f t="shared" si="83"/>
        <v>13</v>
      </c>
      <c r="G626" s="13" t="s">
        <v>618</v>
      </c>
      <c r="H626" s="13" t="s">
        <v>2451</v>
      </c>
      <c r="I626" s="16" t="s">
        <v>2549</v>
      </c>
      <c r="J626" s="13"/>
      <c r="K626" s="13"/>
      <c r="L626" s="13"/>
      <c r="M626" s="16"/>
    </row>
    <row r="627" spans="1:14" ht="25.5" x14ac:dyDescent="0.25">
      <c r="A627" s="13" t="str">
        <f t="shared" si="78"/>
        <v>1</v>
      </c>
      <c r="B627" s="13" t="str">
        <f t="shared" si="79"/>
        <v>7</v>
      </c>
      <c r="C627" s="13" t="str">
        <f t="shared" si="80"/>
        <v>2</v>
      </c>
      <c r="D627" s="13" t="str">
        <f t="shared" si="81"/>
        <v>2</v>
      </c>
      <c r="E627" s="13" t="str">
        <f t="shared" si="82"/>
        <v>01</v>
      </c>
      <c r="F627" s="13" t="str">
        <f t="shared" si="83"/>
        <v>99</v>
      </c>
      <c r="G627" s="13" t="s">
        <v>619</v>
      </c>
      <c r="H627" s="13" t="s">
        <v>2477</v>
      </c>
      <c r="I627" s="16" t="s">
        <v>2550</v>
      </c>
      <c r="J627" s="13"/>
      <c r="K627" s="13"/>
      <c r="L627" s="13"/>
      <c r="M627" s="16"/>
    </row>
    <row r="628" spans="1:14" x14ac:dyDescent="0.25">
      <c r="A628" s="21" t="str">
        <f t="shared" ref="A628" si="90">MID(G628,1,1)</f>
        <v>1</v>
      </c>
      <c r="B628" s="21" t="str">
        <f t="shared" ref="B628" si="91">MID(G628,2,1)</f>
        <v>7</v>
      </c>
      <c r="C628" s="21" t="str">
        <f t="shared" ref="C628" si="92">MID(G628,3,1)</f>
        <v>2</v>
      </c>
      <c r="D628" s="21" t="str">
        <f t="shared" ref="D628" si="93">MID(G628,4,1)</f>
        <v>2</v>
      </c>
      <c r="E628" s="21" t="str">
        <f t="shared" ref="E628" si="94">MID(G628,6,2)</f>
        <v>09</v>
      </c>
      <c r="F628" s="21" t="str">
        <f t="shared" ref="F628" si="95">MID(G628,9,2)</f>
        <v>00</v>
      </c>
      <c r="G628" s="21" t="s">
        <v>4283</v>
      </c>
      <c r="H628" s="21" t="s">
        <v>2482</v>
      </c>
      <c r="I628" s="22" t="s">
        <v>4284</v>
      </c>
      <c r="J628" s="21"/>
      <c r="K628" s="21"/>
      <c r="L628" s="21"/>
      <c r="M628" s="21"/>
    </row>
    <row r="629" spans="1:14" ht="25.5" x14ac:dyDescent="0.25">
      <c r="A629" s="21" t="str">
        <f t="shared" si="78"/>
        <v>1</v>
      </c>
      <c r="B629" s="21" t="str">
        <f t="shared" si="79"/>
        <v>7</v>
      </c>
      <c r="C629" s="21" t="str">
        <f t="shared" si="80"/>
        <v>2</v>
      </c>
      <c r="D629" s="21" t="str">
        <f t="shared" si="81"/>
        <v>2</v>
      </c>
      <c r="E629" s="21" t="str">
        <f t="shared" si="82"/>
        <v>22</v>
      </c>
      <c r="F629" s="21" t="str">
        <f t="shared" si="83"/>
        <v>00</v>
      </c>
      <c r="G629" s="21" t="s">
        <v>620</v>
      </c>
      <c r="H629" s="21" t="s">
        <v>2478</v>
      </c>
      <c r="I629" s="22" t="s">
        <v>2551</v>
      </c>
      <c r="J629" s="21"/>
      <c r="K629" s="21"/>
      <c r="L629" s="21"/>
      <c r="M629" s="21"/>
    </row>
    <row r="630" spans="1:14" ht="25.5" x14ac:dyDescent="0.25">
      <c r="A630" s="13" t="str">
        <f t="shared" si="78"/>
        <v>1</v>
      </c>
      <c r="B630" s="13" t="str">
        <f t="shared" si="79"/>
        <v>7</v>
      </c>
      <c r="C630" s="13" t="str">
        <f t="shared" si="80"/>
        <v>2</v>
      </c>
      <c r="D630" s="13" t="str">
        <f t="shared" si="81"/>
        <v>2</v>
      </c>
      <c r="E630" s="13" t="str">
        <f t="shared" si="82"/>
        <v>22</v>
      </c>
      <c r="F630" s="13" t="str">
        <f t="shared" si="83"/>
        <v>11</v>
      </c>
      <c r="G630" s="13" t="s">
        <v>621</v>
      </c>
      <c r="H630" s="13" t="s">
        <v>2454</v>
      </c>
      <c r="I630" s="16" t="s">
        <v>2552</v>
      </c>
      <c r="J630" s="13"/>
      <c r="K630" s="13"/>
      <c r="L630" s="13"/>
      <c r="M630" s="16"/>
    </row>
    <row r="631" spans="1:14" ht="25.5" x14ac:dyDescent="0.25">
      <c r="A631" s="13" t="str">
        <f t="shared" si="78"/>
        <v>1</v>
      </c>
      <c r="B631" s="13" t="str">
        <f t="shared" si="79"/>
        <v>7</v>
      </c>
      <c r="C631" s="13" t="str">
        <f t="shared" si="80"/>
        <v>2</v>
      </c>
      <c r="D631" s="13" t="str">
        <f t="shared" si="81"/>
        <v>2</v>
      </c>
      <c r="E631" s="13" t="str">
        <f t="shared" si="82"/>
        <v>22</v>
      </c>
      <c r="F631" s="13" t="str">
        <f t="shared" si="83"/>
        <v>20</v>
      </c>
      <c r="G631" s="13" t="s">
        <v>622</v>
      </c>
      <c r="H631" s="13" t="s">
        <v>2455</v>
      </c>
      <c r="I631" s="16" t="s">
        <v>2553</v>
      </c>
      <c r="J631" s="13"/>
      <c r="K631" s="13"/>
      <c r="L631" s="13"/>
      <c r="M631" s="16"/>
    </row>
    <row r="632" spans="1:14" ht="38.25" x14ac:dyDescent="0.25">
      <c r="A632" s="13" t="str">
        <f t="shared" si="78"/>
        <v>1</v>
      </c>
      <c r="B632" s="13" t="str">
        <f t="shared" si="79"/>
        <v>7</v>
      </c>
      <c r="C632" s="13" t="str">
        <f t="shared" si="80"/>
        <v>2</v>
      </c>
      <c r="D632" s="13" t="str">
        <f t="shared" si="81"/>
        <v>2</v>
      </c>
      <c r="E632" s="13" t="str">
        <f t="shared" si="82"/>
        <v>22</v>
      </c>
      <c r="F632" s="13" t="str">
        <f t="shared" si="83"/>
        <v>30</v>
      </c>
      <c r="G632" s="13" t="s">
        <v>623</v>
      </c>
      <c r="H632" s="13" t="s">
        <v>2479</v>
      </c>
      <c r="I632" s="16" t="s">
        <v>2554</v>
      </c>
      <c r="J632" s="13"/>
      <c r="K632" s="13"/>
      <c r="L632" s="13"/>
      <c r="M632" s="16"/>
    </row>
    <row r="633" spans="1:14" ht="25.5" x14ac:dyDescent="0.25">
      <c r="A633" s="13" t="str">
        <f t="shared" si="78"/>
        <v>1</v>
      </c>
      <c r="B633" s="13" t="str">
        <f t="shared" si="79"/>
        <v>7</v>
      </c>
      <c r="C633" s="13" t="str">
        <f t="shared" si="80"/>
        <v>2</v>
      </c>
      <c r="D633" s="13" t="str">
        <f t="shared" si="81"/>
        <v>2</v>
      </c>
      <c r="E633" s="13" t="str">
        <f t="shared" si="82"/>
        <v>22</v>
      </c>
      <c r="F633" s="13" t="str">
        <f t="shared" si="83"/>
        <v>90</v>
      </c>
      <c r="G633" s="13" t="s">
        <v>624</v>
      </c>
      <c r="H633" s="13" t="s">
        <v>2480</v>
      </c>
      <c r="I633" s="16" t="s">
        <v>2555</v>
      </c>
      <c r="J633" s="13"/>
      <c r="K633" s="13"/>
      <c r="L633" s="13"/>
      <c r="M633" s="16"/>
    </row>
    <row r="634" spans="1:14" ht="51" x14ac:dyDescent="0.25">
      <c r="A634" s="21" t="str">
        <f t="shared" si="78"/>
        <v>1</v>
      </c>
      <c r="B634" s="21" t="str">
        <f t="shared" si="79"/>
        <v>7</v>
      </c>
      <c r="C634" s="21" t="str">
        <f t="shared" si="80"/>
        <v>2</v>
      </c>
      <c r="D634" s="21" t="str">
        <f t="shared" si="81"/>
        <v>2</v>
      </c>
      <c r="E634" s="21" t="str">
        <f t="shared" si="82"/>
        <v>33</v>
      </c>
      <c r="F634" s="21" t="str">
        <f t="shared" si="83"/>
        <v>00</v>
      </c>
      <c r="G634" s="21" t="s">
        <v>625</v>
      </c>
      <c r="H634" s="21" t="s">
        <v>2481</v>
      </c>
      <c r="I634" s="22" t="s">
        <v>2556</v>
      </c>
      <c r="J634" s="21"/>
      <c r="K634" s="21"/>
      <c r="L634" s="21"/>
      <c r="M634" s="21"/>
    </row>
    <row r="635" spans="1:14" x14ac:dyDescent="0.25">
      <c r="A635" s="50" t="str">
        <f t="shared" si="78"/>
        <v>1</v>
      </c>
      <c r="B635" s="50" t="str">
        <f t="shared" si="79"/>
        <v>7</v>
      </c>
      <c r="C635" s="50" t="str">
        <f t="shared" si="80"/>
        <v>2</v>
      </c>
      <c r="D635" s="50" t="str">
        <f t="shared" si="81"/>
        <v>2</v>
      </c>
      <c r="E635" s="50" t="str">
        <f t="shared" si="82"/>
        <v>37</v>
      </c>
      <c r="F635" s="50" t="str">
        <f t="shared" si="83"/>
        <v>00</v>
      </c>
      <c r="G635" s="50" t="s">
        <v>626</v>
      </c>
      <c r="H635" s="50" t="s">
        <v>2470</v>
      </c>
      <c r="I635" s="51" t="s">
        <v>2557</v>
      </c>
      <c r="J635" s="40"/>
      <c r="K635" s="40"/>
      <c r="L635" s="40"/>
      <c r="M635" s="40"/>
      <c r="N635" t="s">
        <v>4201</v>
      </c>
    </row>
    <row r="636" spans="1:14" ht="25.5" x14ac:dyDescent="0.25">
      <c r="A636" s="21" t="str">
        <f>MID(G636,1,1)</f>
        <v>1</v>
      </c>
      <c r="B636" s="21" t="str">
        <f>MID(G636,2,1)</f>
        <v>7</v>
      </c>
      <c r="C636" s="21" t="str">
        <f>MID(G636,3,1)</f>
        <v>2</v>
      </c>
      <c r="D636" s="21" t="str">
        <f>MID(G636,4,1)</f>
        <v>2</v>
      </c>
      <c r="E636" s="21" t="str">
        <f>MID(G636,6,2)</f>
        <v>37</v>
      </c>
      <c r="F636" s="21" t="str">
        <f t="shared" si="83"/>
        <v>00</v>
      </c>
      <c r="G636" s="31" t="s">
        <v>626</v>
      </c>
      <c r="H636" s="31" t="s">
        <v>4174</v>
      </c>
      <c r="I636" s="42" t="s">
        <v>2557</v>
      </c>
      <c r="J636" s="31"/>
      <c r="K636" s="31"/>
      <c r="L636" s="31"/>
      <c r="M636" s="31"/>
      <c r="N636" t="s">
        <v>4201</v>
      </c>
    </row>
    <row r="637" spans="1:14" ht="25.5" x14ac:dyDescent="0.25">
      <c r="A637" s="21" t="str">
        <f t="shared" si="78"/>
        <v>1</v>
      </c>
      <c r="B637" s="21" t="str">
        <f t="shared" si="79"/>
        <v>7</v>
      </c>
      <c r="C637" s="21" t="str">
        <f t="shared" si="80"/>
        <v>2</v>
      </c>
      <c r="D637" s="21" t="str">
        <f t="shared" si="81"/>
        <v>2</v>
      </c>
      <c r="E637" s="21" t="str">
        <f t="shared" si="82"/>
        <v>99</v>
      </c>
      <c r="F637" s="21" t="str">
        <f t="shared" si="83"/>
        <v>00</v>
      </c>
      <c r="G637" s="21" t="s">
        <v>627</v>
      </c>
      <c r="H637" s="21" t="s">
        <v>2482</v>
      </c>
      <c r="I637" s="22" t="s">
        <v>2558</v>
      </c>
      <c r="J637" s="21"/>
      <c r="K637" s="21"/>
      <c r="L637" s="21"/>
      <c r="M637" s="21"/>
    </row>
    <row r="638" spans="1:14" ht="25.5" x14ac:dyDescent="0.25">
      <c r="A638" s="19" t="str">
        <f t="shared" si="78"/>
        <v>1</v>
      </c>
      <c r="B638" s="19" t="str">
        <f t="shared" si="79"/>
        <v>7</v>
      </c>
      <c r="C638" s="19" t="str">
        <f t="shared" si="80"/>
        <v>2</v>
      </c>
      <c r="D638" s="19" t="str">
        <f t="shared" si="81"/>
        <v>3</v>
      </c>
      <c r="E638" s="19" t="str">
        <f t="shared" si="82"/>
        <v>00</v>
      </c>
      <c r="F638" s="19" t="str">
        <f t="shared" si="83"/>
        <v>00</v>
      </c>
      <c r="G638" s="19" t="s">
        <v>628</v>
      </c>
      <c r="H638" s="19" t="s">
        <v>2483</v>
      </c>
      <c r="I638" s="20" t="s">
        <v>2559</v>
      </c>
      <c r="J638" s="19"/>
      <c r="K638" s="19"/>
      <c r="L638" s="19"/>
      <c r="M638" s="20"/>
    </row>
    <row r="639" spans="1:14" ht="25.5" x14ac:dyDescent="0.25">
      <c r="A639" s="21" t="str">
        <f t="shared" si="78"/>
        <v>1</v>
      </c>
      <c r="B639" s="21" t="str">
        <f t="shared" si="79"/>
        <v>7</v>
      </c>
      <c r="C639" s="21" t="str">
        <f t="shared" si="80"/>
        <v>2</v>
      </c>
      <c r="D639" s="21" t="str">
        <f t="shared" si="81"/>
        <v>3</v>
      </c>
      <c r="E639" s="21" t="str">
        <f t="shared" si="82"/>
        <v>01</v>
      </c>
      <c r="F639" s="21" t="str">
        <f t="shared" si="83"/>
        <v>00</v>
      </c>
      <c r="G639" s="21" t="s">
        <v>629</v>
      </c>
      <c r="H639" s="21" t="s">
        <v>2484</v>
      </c>
      <c r="I639" s="22" t="s">
        <v>2560</v>
      </c>
      <c r="J639" s="21"/>
      <c r="K639" s="21"/>
      <c r="L639" s="21"/>
      <c r="M639" s="21"/>
    </row>
    <row r="640" spans="1:14" x14ac:dyDescent="0.25">
      <c r="A640" s="50" t="str">
        <f t="shared" si="78"/>
        <v>1</v>
      </c>
      <c r="B640" s="50" t="str">
        <f t="shared" si="79"/>
        <v>7</v>
      </c>
      <c r="C640" s="50" t="str">
        <f t="shared" si="80"/>
        <v>2</v>
      </c>
      <c r="D640" s="50" t="str">
        <f t="shared" si="81"/>
        <v>3</v>
      </c>
      <c r="E640" s="50" t="str">
        <f t="shared" si="82"/>
        <v>37</v>
      </c>
      <c r="F640" s="50" t="str">
        <f t="shared" si="83"/>
        <v>00</v>
      </c>
      <c r="G640" s="50" t="s">
        <v>630</v>
      </c>
      <c r="H640" s="50" t="s">
        <v>2470</v>
      </c>
      <c r="I640" s="51" t="s">
        <v>2561</v>
      </c>
      <c r="J640" s="40"/>
      <c r="K640" s="40"/>
      <c r="L640" s="40"/>
      <c r="M640" s="40"/>
      <c r="N640" t="s">
        <v>4201</v>
      </c>
    </row>
    <row r="641" spans="1:14" ht="25.5" x14ac:dyDescent="0.25">
      <c r="A641" s="21" t="str">
        <f>MID(G641,1,1)</f>
        <v>1</v>
      </c>
      <c r="B641" s="21" t="str">
        <f>MID(G641,2,1)</f>
        <v>7</v>
      </c>
      <c r="C641" s="21" t="str">
        <f>MID(G641,3,1)</f>
        <v>2</v>
      </c>
      <c r="D641" s="21" t="str">
        <f>MID(G641,4,1)</f>
        <v>3</v>
      </c>
      <c r="E641" s="21" t="str">
        <f>MID(G641,6,2)</f>
        <v>37</v>
      </c>
      <c r="F641" s="21" t="str">
        <f>MID(G641,9,2)</f>
        <v>00</v>
      </c>
      <c r="G641" s="21" t="s">
        <v>630</v>
      </c>
      <c r="H641" s="21" t="s">
        <v>4175</v>
      </c>
      <c r="I641" s="22" t="s">
        <v>2561</v>
      </c>
      <c r="J641" s="21"/>
      <c r="K641" s="21"/>
      <c r="L641" s="21"/>
      <c r="M641" s="21"/>
      <c r="N641" t="s">
        <v>4201</v>
      </c>
    </row>
    <row r="642" spans="1:14" ht="25.5" x14ac:dyDescent="0.25">
      <c r="A642" s="21" t="str">
        <f t="shared" si="78"/>
        <v>1</v>
      </c>
      <c r="B642" s="21" t="str">
        <f t="shared" si="79"/>
        <v>7</v>
      </c>
      <c r="C642" s="21" t="str">
        <f t="shared" si="80"/>
        <v>2</v>
      </c>
      <c r="D642" s="21" t="str">
        <f t="shared" si="81"/>
        <v>3</v>
      </c>
      <c r="E642" s="21" t="str">
        <f t="shared" si="82"/>
        <v>99</v>
      </c>
      <c r="F642" s="21" t="str">
        <f t="shared" si="83"/>
        <v>00</v>
      </c>
      <c r="G642" s="21" t="s">
        <v>631</v>
      </c>
      <c r="H642" s="21" t="s">
        <v>2485</v>
      </c>
      <c r="I642" s="22" t="s">
        <v>2562</v>
      </c>
      <c r="J642" s="21"/>
      <c r="K642" s="21" t="s">
        <v>4018</v>
      </c>
      <c r="L642" s="21" t="s">
        <v>4221</v>
      </c>
      <c r="M642" s="21"/>
    </row>
    <row r="643" spans="1:14" x14ac:dyDescent="0.25">
      <c r="A643" s="19" t="str">
        <f t="shared" si="78"/>
        <v>1</v>
      </c>
      <c r="B643" s="19" t="str">
        <f t="shared" si="79"/>
        <v>7</v>
      </c>
      <c r="C643" s="19" t="str">
        <f t="shared" si="80"/>
        <v>2</v>
      </c>
      <c r="D643" s="19" t="str">
        <f t="shared" si="81"/>
        <v>4</v>
      </c>
      <c r="E643" s="19" t="str">
        <f t="shared" si="82"/>
        <v>00</v>
      </c>
      <c r="F643" s="19" t="str">
        <f t="shared" si="83"/>
        <v>00</v>
      </c>
      <c r="G643" s="19" t="s">
        <v>632</v>
      </c>
      <c r="H643" s="19" t="s">
        <v>2486</v>
      </c>
      <c r="I643" s="20" t="s">
        <v>2563</v>
      </c>
      <c r="J643" s="19"/>
      <c r="K643" s="19"/>
      <c r="L643" s="19"/>
      <c r="M643" s="20"/>
    </row>
    <row r="644" spans="1:14" ht="51" x14ac:dyDescent="0.25">
      <c r="A644" s="21" t="str">
        <f t="shared" si="78"/>
        <v>1</v>
      </c>
      <c r="B644" s="21" t="str">
        <f t="shared" si="79"/>
        <v>7</v>
      </c>
      <c r="C644" s="21" t="str">
        <f t="shared" si="80"/>
        <v>2</v>
      </c>
      <c r="D644" s="21" t="str">
        <f t="shared" si="81"/>
        <v>4</v>
      </c>
      <c r="E644" s="21" t="str">
        <f t="shared" si="82"/>
        <v>01</v>
      </c>
      <c r="F644" s="21" t="str">
        <f t="shared" si="83"/>
        <v>00</v>
      </c>
      <c r="G644" s="21" t="s">
        <v>633</v>
      </c>
      <c r="H644" s="21" t="s">
        <v>2487</v>
      </c>
      <c r="I644" s="22" t="s">
        <v>2564</v>
      </c>
      <c r="J644" s="21"/>
      <c r="K644" s="21"/>
      <c r="L644" s="21"/>
      <c r="M644" s="21"/>
    </row>
    <row r="645" spans="1:14" ht="63.75" x14ac:dyDescent="0.25">
      <c r="A645" s="21" t="str">
        <f t="shared" si="78"/>
        <v>1</v>
      </c>
      <c r="B645" s="21" t="str">
        <f t="shared" si="79"/>
        <v>7</v>
      </c>
      <c r="C645" s="21" t="str">
        <f t="shared" si="80"/>
        <v>2</v>
      </c>
      <c r="D645" s="21" t="str">
        <f t="shared" si="81"/>
        <v>4</v>
      </c>
      <c r="E645" s="21" t="str">
        <f t="shared" si="82"/>
        <v>02</v>
      </c>
      <c r="F645" s="21" t="str">
        <f t="shared" si="83"/>
        <v>00</v>
      </c>
      <c r="G645" s="21" t="s">
        <v>634</v>
      </c>
      <c r="H645" s="21" t="s">
        <v>2488</v>
      </c>
      <c r="I645" s="22" t="s">
        <v>2565</v>
      </c>
      <c r="J645" s="21"/>
      <c r="K645" s="21"/>
      <c r="L645" s="21"/>
      <c r="M645" s="21"/>
    </row>
    <row r="646" spans="1:14" ht="25.5" x14ac:dyDescent="0.25">
      <c r="A646" s="21" t="str">
        <f t="shared" ref="A646:A709" si="96">MID(G646,1,1)</f>
        <v>1</v>
      </c>
      <c r="B646" s="21" t="str">
        <f t="shared" ref="B646:B709" si="97">MID(G646,2,1)</f>
        <v>7</v>
      </c>
      <c r="C646" s="21" t="str">
        <f t="shared" ref="C646:C709" si="98">MID(G646,3,1)</f>
        <v>2</v>
      </c>
      <c r="D646" s="21" t="str">
        <f t="shared" ref="D646:D709" si="99">MID(G646,4,1)</f>
        <v>4</v>
      </c>
      <c r="E646" s="21" t="str">
        <f t="shared" ref="E646:E709" si="100">MID(G646,6,2)</f>
        <v>99</v>
      </c>
      <c r="F646" s="21" t="str">
        <f t="shared" ref="F646:F709" si="101">MID(G646,9,2)</f>
        <v>00</v>
      </c>
      <c r="G646" s="21" t="s">
        <v>635</v>
      </c>
      <c r="H646" s="21" t="s">
        <v>2489</v>
      </c>
      <c r="I646" s="22" t="s">
        <v>2566</v>
      </c>
      <c r="J646" s="21"/>
      <c r="K646" s="21"/>
      <c r="L646" s="21"/>
      <c r="M646" s="21"/>
    </row>
    <row r="647" spans="1:14" ht="38.25" x14ac:dyDescent="0.25">
      <c r="A647" s="12" t="str">
        <f t="shared" si="96"/>
        <v>1</v>
      </c>
      <c r="B647" s="12" t="str">
        <f t="shared" si="97"/>
        <v>7</v>
      </c>
      <c r="C647" s="12" t="str">
        <f t="shared" si="98"/>
        <v>3</v>
      </c>
      <c r="D647" s="12" t="str">
        <f t="shared" si="99"/>
        <v>0</v>
      </c>
      <c r="E647" s="12" t="str">
        <f t="shared" si="100"/>
        <v>00</v>
      </c>
      <c r="F647" s="12" t="str">
        <f t="shared" si="101"/>
        <v>00</v>
      </c>
      <c r="G647" s="12" t="s">
        <v>636</v>
      </c>
      <c r="H647" s="12" t="s">
        <v>2490</v>
      </c>
      <c r="I647" s="15" t="s">
        <v>4075</v>
      </c>
      <c r="J647" s="12"/>
      <c r="K647" s="12" t="s">
        <v>4018</v>
      </c>
      <c r="L647" s="12" t="s">
        <v>4203</v>
      </c>
      <c r="M647" s="15"/>
    </row>
    <row r="648" spans="1:14" ht="25.5" x14ac:dyDescent="0.25">
      <c r="A648" s="12" t="str">
        <f t="shared" si="96"/>
        <v>1</v>
      </c>
      <c r="B648" s="12" t="str">
        <f t="shared" si="97"/>
        <v>7</v>
      </c>
      <c r="C648" s="12" t="str">
        <f t="shared" si="98"/>
        <v>4</v>
      </c>
      <c r="D648" s="12" t="str">
        <f t="shared" si="99"/>
        <v>0</v>
      </c>
      <c r="E648" s="12" t="str">
        <f t="shared" si="100"/>
        <v>00</v>
      </c>
      <c r="F648" s="12" t="str">
        <f t="shared" si="101"/>
        <v>00</v>
      </c>
      <c r="G648" s="12" t="s">
        <v>637</v>
      </c>
      <c r="H648" s="12" t="s">
        <v>2491</v>
      </c>
      <c r="I648" s="15" t="s">
        <v>2567</v>
      </c>
      <c r="J648" s="12"/>
      <c r="K648" s="12"/>
      <c r="L648" s="12"/>
      <c r="M648" s="15"/>
    </row>
    <row r="649" spans="1:14" ht="25.5" x14ac:dyDescent="0.25">
      <c r="A649" s="12" t="str">
        <f t="shared" si="96"/>
        <v>1</v>
      </c>
      <c r="B649" s="12" t="str">
        <f t="shared" si="97"/>
        <v>7</v>
      </c>
      <c r="C649" s="12" t="str">
        <f t="shared" si="98"/>
        <v>5</v>
      </c>
      <c r="D649" s="12" t="str">
        <f t="shared" si="99"/>
        <v>0</v>
      </c>
      <c r="E649" s="12" t="str">
        <f t="shared" si="100"/>
        <v>00</v>
      </c>
      <c r="F649" s="12" t="str">
        <f t="shared" si="101"/>
        <v>00</v>
      </c>
      <c r="G649" s="12" t="s">
        <v>638</v>
      </c>
      <c r="H649" s="12" t="s">
        <v>2492</v>
      </c>
      <c r="I649" s="15" t="s">
        <v>2568</v>
      </c>
      <c r="J649" s="12"/>
      <c r="K649" s="12"/>
      <c r="L649" s="12"/>
      <c r="M649" s="15"/>
    </row>
    <row r="650" spans="1:14" ht="38.25" x14ac:dyDescent="0.25">
      <c r="A650" s="12" t="str">
        <f t="shared" si="96"/>
        <v>1</v>
      </c>
      <c r="B650" s="12" t="str">
        <f t="shared" si="97"/>
        <v>7</v>
      </c>
      <c r="C650" s="12" t="str">
        <f t="shared" si="98"/>
        <v>6</v>
      </c>
      <c r="D650" s="12" t="str">
        <f t="shared" si="99"/>
        <v>0</v>
      </c>
      <c r="E650" s="12" t="str">
        <f t="shared" si="100"/>
        <v>00</v>
      </c>
      <c r="F650" s="12" t="str">
        <f t="shared" si="101"/>
        <v>00</v>
      </c>
      <c r="G650" s="12" t="s">
        <v>639</v>
      </c>
      <c r="H650" s="12" t="s">
        <v>2493</v>
      </c>
      <c r="I650" s="15" t="s">
        <v>2569</v>
      </c>
      <c r="J650" s="12"/>
      <c r="K650" s="12"/>
      <c r="L650" s="12"/>
      <c r="M650" s="15"/>
    </row>
    <row r="651" spans="1:14" ht="38.25" x14ac:dyDescent="0.25">
      <c r="A651" s="19" t="str">
        <f t="shared" si="96"/>
        <v>1</v>
      </c>
      <c r="B651" s="19" t="str">
        <f t="shared" si="97"/>
        <v>7</v>
      </c>
      <c r="C651" s="19" t="str">
        <f t="shared" si="98"/>
        <v>6</v>
      </c>
      <c r="D651" s="19" t="str">
        <f t="shared" si="99"/>
        <v>1</v>
      </c>
      <c r="E651" s="19" t="str">
        <f t="shared" si="100"/>
        <v>00</v>
      </c>
      <c r="F651" s="19" t="str">
        <f t="shared" si="101"/>
        <v>00</v>
      </c>
      <c r="G651" s="19" t="s">
        <v>640</v>
      </c>
      <c r="H651" s="19" t="s">
        <v>2494</v>
      </c>
      <c r="I651" s="20" t="s">
        <v>2570</v>
      </c>
      <c r="J651" s="19"/>
      <c r="K651" s="19"/>
      <c r="L651" s="19"/>
      <c r="M651" s="20"/>
    </row>
    <row r="652" spans="1:14" ht="38.25" x14ac:dyDescent="0.25">
      <c r="A652" s="21" t="str">
        <f t="shared" si="96"/>
        <v>1</v>
      </c>
      <c r="B652" s="21" t="str">
        <f t="shared" si="97"/>
        <v>7</v>
      </c>
      <c r="C652" s="21" t="str">
        <f t="shared" si="98"/>
        <v>6</v>
      </c>
      <c r="D652" s="21" t="str">
        <f t="shared" si="99"/>
        <v>1</v>
      </c>
      <c r="E652" s="21" t="str">
        <f t="shared" si="100"/>
        <v>01</v>
      </c>
      <c r="F652" s="21" t="str">
        <f t="shared" si="101"/>
        <v>00</v>
      </c>
      <c r="G652" s="21" t="s">
        <v>641</v>
      </c>
      <c r="H652" s="21" t="s">
        <v>2495</v>
      </c>
      <c r="I652" s="22" t="s">
        <v>2571</v>
      </c>
      <c r="J652" s="21"/>
      <c r="K652" s="21"/>
      <c r="L652" s="21"/>
      <c r="M652" s="21"/>
    </row>
    <row r="653" spans="1:14" ht="25.5" x14ac:dyDescent="0.25">
      <c r="A653" s="21" t="str">
        <f t="shared" si="96"/>
        <v>1</v>
      </c>
      <c r="B653" s="21" t="str">
        <f t="shared" si="97"/>
        <v>7</v>
      </c>
      <c r="C653" s="21" t="str">
        <f t="shared" si="98"/>
        <v>6</v>
      </c>
      <c r="D653" s="21" t="str">
        <f t="shared" si="99"/>
        <v>1</v>
      </c>
      <c r="E653" s="21" t="str">
        <f t="shared" si="100"/>
        <v>02</v>
      </c>
      <c r="F653" s="21" t="str">
        <f t="shared" si="101"/>
        <v>00</v>
      </c>
      <c r="G653" s="21" t="s">
        <v>642</v>
      </c>
      <c r="H653" s="21" t="s">
        <v>2496</v>
      </c>
      <c r="I653" s="22" t="s">
        <v>2572</v>
      </c>
      <c r="J653" s="21"/>
      <c r="K653" s="21"/>
      <c r="L653" s="21"/>
      <c r="M653" s="21"/>
    </row>
    <row r="654" spans="1:14" ht="38.25" x14ac:dyDescent="0.25">
      <c r="A654" s="21" t="str">
        <f t="shared" si="96"/>
        <v>1</v>
      </c>
      <c r="B654" s="21" t="str">
        <f t="shared" si="97"/>
        <v>7</v>
      </c>
      <c r="C654" s="21" t="str">
        <f t="shared" si="98"/>
        <v>6</v>
      </c>
      <c r="D654" s="21" t="str">
        <f t="shared" si="99"/>
        <v>1</v>
      </c>
      <c r="E654" s="21" t="str">
        <f t="shared" si="100"/>
        <v>03</v>
      </c>
      <c r="F654" s="21" t="str">
        <f t="shared" si="101"/>
        <v>00</v>
      </c>
      <c r="G654" s="21" t="s">
        <v>643</v>
      </c>
      <c r="H654" s="21" t="s">
        <v>2497</v>
      </c>
      <c r="I654" s="22" t="s">
        <v>2573</v>
      </c>
      <c r="J654" s="21"/>
      <c r="K654" s="21"/>
      <c r="L654" s="21"/>
      <c r="M654" s="21"/>
    </row>
    <row r="655" spans="1:14" ht="38.25" x14ac:dyDescent="0.25">
      <c r="A655" s="21" t="str">
        <f t="shared" si="96"/>
        <v>1</v>
      </c>
      <c r="B655" s="21" t="str">
        <f t="shared" si="97"/>
        <v>7</v>
      </c>
      <c r="C655" s="21" t="str">
        <f t="shared" si="98"/>
        <v>6</v>
      </c>
      <c r="D655" s="21" t="str">
        <f t="shared" si="99"/>
        <v>1</v>
      </c>
      <c r="E655" s="21" t="str">
        <f t="shared" si="100"/>
        <v>04</v>
      </c>
      <c r="F655" s="21" t="str">
        <f t="shared" si="101"/>
        <v>00</v>
      </c>
      <c r="G655" s="21" t="s">
        <v>644</v>
      </c>
      <c r="H655" s="21" t="s">
        <v>2498</v>
      </c>
      <c r="I655" s="22" t="s">
        <v>2574</v>
      </c>
      <c r="J655" s="21"/>
      <c r="K655" s="21"/>
      <c r="L655" s="21"/>
      <c r="M655" s="21"/>
    </row>
    <row r="656" spans="1:14" ht="38.25" x14ac:dyDescent="0.25">
      <c r="A656" s="21" t="str">
        <f t="shared" si="96"/>
        <v>1</v>
      </c>
      <c r="B656" s="21" t="str">
        <f t="shared" si="97"/>
        <v>7</v>
      </c>
      <c r="C656" s="21" t="str">
        <f t="shared" si="98"/>
        <v>6</v>
      </c>
      <c r="D656" s="21" t="str">
        <f t="shared" si="99"/>
        <v>1</v>
      </c>
      <c r="E656" s="21" t="str">
        <f t="shared" si="100"/>
        <v>05</v>
      </c>
      <c r="F656" s="21" t="str">
        <f t="shared" si="101"/>
        <v>00</v>
      </c>
      <c r="G656" s="21" t="s">
        <v>645</v>
      </c>
      <c r="H656" s="21" t="s">
        <v>2499</v>
      </c>
      <c r="I656" s="22" t="s">
        <v>2575</v>
      </c>
      <c r="J656" s="21"/>
      <c r="K656" s="21"/>
      <c r="L656" s="21"/>
      <c r="M656" s="21"/>
    </row>
    <row r="657" spans="1:13" ht="25.5" x14ac:dyDescent="0.25">
      <c r="A657" s="21" t="str">
        <f t="shared" si="96"/>
        <v>1</v>
      </c>
      <c r="B657" s="21" t="str">
        <f t="shared" si="97"/>
        <v>7</v>
      </c>
      <c r="C657" s="21" t="str">
        <f t="shared" si="98"/>
        <v>6</v>
      </c>
      <c r="D657" s="21" t="str">
        <f t="shared" si="99"/>
        <v>1</v>
      </c>
      <c r="E657" s="21" t="str">
        <f t="shared" si="100"/>
        <v>99</v>
      </c>
      <c r="F657" s="21" t="str">
        <f t="shared" si="101"/>
        <v>00</v>
      </c>
      <c r="G657" s="21" t="s">
        <v>646</v>
      </c>
      <c r="H657" s="21" t="s">
        <v>2500</v>
      </c>
      <c r="I657" s="22" t="s">
        <v>2576</v>
      </c>
      <c r="J657" s="21"/>
      <c r="K657" s="21"/>
      <c r="L657" s="21"/>
      <c r="M657" s="21"/>
    </row>
    <row r="658" spans="1:13" ht="25.5" x14ac:dyDescent="0.25">
      <c r="A658" s="19" t="str">
        <f t="shared" si="96"/>
        <v>1</v>
      </c>
      <c r="B658" s="19" t="str">
        <f t="shared" si="97"/>
        <v>7</v>
      </c>
      <c r="C658" s="19" t="str">
        <f t="shared" si="98"/>
        <v>6</v>
      </c>
      <c r="D658" s="19" t="str">
        <f t="shared" si="99"/>
        <v>2</v>
      </c>
      <c r="E658" s="19" t="str">
        <f t="shared" si="100"/>
        <v>00</v>
      </c>
      <c r="F658" s="19" t="str">
        <f t="shared" si="101"/>
        <v>00</v>
      </c>
      <c r="G658" s="19" t="s">
        <v>647</v>
      </c>
      <c r="H658" s="19" t="s">
        <v>2501</v>
      </c>
      <c r="I658" s="20" t="s">
        <v>2577</v>
      </c>
      <c r="J658" s="19"/>
      <c r="K658" s="19"/>
      <c r="L658" s="19"/>
      <c r="M658" s="20"/>
    </row>
    <row r="659" spans="1:13" ht="25.5" x14ac:dyDescent="0.25">
      <c r="A659" s="21" t="str">
        <f t="shared" si="96"/>
        <v>1</v>
      </c>
      <c r="B659" s="21" t="str">
        <f t="shared" si="97"/>
        <v>7</v>
      </c>
      <c r="C659" s="21" t="str">
        <f t="shared" si="98"/>
        <v>6</v>
      </c>
      <c r="D659" s="21" t="str">
        <f t="shared" si="99"/>
        <v>2</v>
      </c>
      <c r="E659" s="21" t="str">
        <f t="shared" si="100"/>
        <v>01</v>
      </c>
      <c r="F659" s="21" t="str">
        <f t="shared" si="101"/>
        <v>00</v>
      </c>
      <c r="G659" s="21" t="s">
        <v>648</v>
      </c>
      <c r="H659" s="21" t="s">
        <v>2502</v>
      </c>
      <c r="I659" s="22" t="s">
        <v>2578</v>
      </c>
      <c r="J659" s="21"/>
      <c r="K659" s="21"/>
      <c r="L659" s="21"/>
      <c r="M659" s="21"/>
    </row>
    <row r="660" spans="1:13" ht="25.5" x14ac:dyDescent="0.25">
      <c r="A660" s="21" t="str">
        <f t="shared" si="96"/>
        <v>1</v>
      </c>
      <c r="B660" s="21" t="str">
        <f t="shared" si="97"/>
        <v>7</v>
      </c>
      <c r="C660" s="21" t="str">
        <f t="shared" si="98"/>
        <v>6</v>
      </c>
      <c r="D660" s="21" t="str">
        <f t="shared" si="99"/>
        <v>2</v>
      </c>
      <c r="E660" s="21" t="str">
        <f t="shared" si="100"/>
        <v>02</v>
      </c>
      <c r="F660" s="21" t="str">
        <f t="shared" si="101"/>
        <v>00</v>
      </c>
      <c r="G660" s="21" t="s">
        <v>649</v>
      </c>
      <c r="H660" s="21" t="s">
        <v>2503</v>
      </c>
      <c r="I660" s="22" t="s">
        <v>2579</v>
      </c>
      <c r="J660" s="21"/>
      <c r="K660" s="21"/>
      <c r="L660" s="21"/>
      <c r="M660" s="21"/>
    </row>
    <row r="661" spans="1:13" ht="38.25" x14ac:dyDescent="0.25">
      <c r="A661" s="21" t="str">
        <f t="shared" si="96"/>
        <v>1</v>
      </c>
      <c r="B661" s="21" t="str">
        <f t="shared" si="97"/>
        <v>7</v>
      </c>
      <c r="C661" s="21" t="str">
        <f t="shared" si="98"/>
        <v>6</v>
      </c>
      <c r="D661" s="21" t="str">
        <f t="shared" si="99"/>
        <v>2</v>
      </c>
      <c r="E661" s="21" t="str">
        <f t="shared" si="100"/>
        <v>99</v>
      </c>
      <c r="F661" s="21" t="str">
        <f t="shared" si="101"/>
        <v>00</v>
      </c>
      <c r="G661" s="21" t="s">
        <v>650</v>
      </c>
      <c r="H661" s="21" t="s">
        <v>2504</v>
      </c>
      <c r="I661" s="22" t="s">
        <v>2580</v>
      </c>
      <c r="J661" s="21"/>
      <c r="K661" s="21"/>
      <c r="L661" s="21"/>
      <c r="M661" s="21"/>
    </row>
    <row r="662" spans="1:13" ht="25.5" x14ac:dyDescent="0.25">
      <c r="A662" s="19" t="str">
        <f t="shared" si="96"/>
        <v>1</v>
      </c>
      <c r="B662" s="19" t="str">
        <f t="shared" si="97"/>
        <v>7</v>
      </c>
      <c r="C662" s="19" t="str">
        <f t="shared" si="98"/>
        <v>6</v>
      </c>
      <c r="D662" s="19" t="str">
        <f t="shared" si="99"/>
        <v>3</v>
      </c>
      <c r="E662" s="19" t="str">
        <f t="shared" si="100"/>
        <v>00</v>
      </c>
      <c r="F662" s="19" t="str">
        <f t="shared" si="101"/>
        <v>00</v>
      </c>
      <c r="G662" s="19" t="s">
        <v>651</v>
      </c>
      <c r="H662" s="19" t="s">
        <v>2505</v>
      </c>
      <c r="I662" s="20" t="s">
        <v>2581</v>
      </c>
      <c r="J662" s="19"/>
      <c r="K662" s="19"/>
      <c r="L662" s="19"/>
      <c r="M662" s="20"/>
    </row>
    <row r="663" spans="1:13" ht="38.25" x14ac:dyDescent="0.25">
      <c r="A663" s="21" t="str">
        <f t="shared" si="96"/>
        <v>1</v>
      </c>
      <c r="B663" s="21" t="str">
        <f t="shared" si="97"/>
        <v>7</v>
      </c>
      <c r="C663" s="21" t="str">
        <f t="shared" si="98"/>
        <v>6</v>
      </c>
      <c r="D663" s="21" t="str">
        <f t="shared" si="99"/>
        <v>3</v>
      </c>
      <c r="E663" s="21" t="str">
        <f t="shared" si="100"/>
        <v>01</v>
      </c>
      <c r="F663" s="21" t="str">
        <f t="shared" si="101"/>
        <v>00</v>
      </c>
      <c r="G663" s="21" t="s">
        <v>652</v>
      </c>
      <c r="H663" s="21" t="s">
        <v>2506</v>
      </c>
      <c r="I663" s="22" t="s">
        <v>2582</v>
      </c>
      <c r="J663" s="21"/>
      <c r="K663" s="21"/>
      <c r="L663" s="21"/>
      <c r="M663" s="21"/>
    </row>
    <row r="664" spans="1:13" ht="38.25" x14ac:dyDescent="0.25">
      <c r="A664" s="21" t="str">
        <f t="shared" si="96"/>
        <v>1</v>
      </c>
      <c r="B664" s="21" t="str">
        <f t="shared" si="97"/>
        <v>7</v>
      </c>
      <c r="C664" s="21" t="str">
        <f t="shared" si="98"/>
        <v>6</v>
      </c>
      <c r="D664" s="21" t="str">
        <f t="shared" si="99"/>
        <v>3</v>
      </c>
      <c r="E664" s="21" t="str">
        <f t="shared" si="100"/>
        <v>02</v>
      </c>
      <c r="F664" s="21" t="str">
        <f t="shared" si="101"/>
        <v>00</v>
      </c>
      <c r="G664" s="21" t="s">
        <v>653</v>
      </c>
      <c r="H664" s="21" t="s">
        <v>2507</v>
      </c>
      <c r="I664" s="22" t="s">
        <v>2583</v>
      </c>
      <c r="J664" s="21"/>
      <c r="K664" s="21"/>
      <c r="L664" s="21"/>
      <c r="M664" s="21"/>
    </row>
    <row r="665" spans="1:13" ht="25.5" x14ac:dyDescent="0.25">
      <c r="A665" s="21" t="str">
        <f t="shared" si="96"/>
        <v>1</v>
      </c>
      <c r="B665" s="21" t="str">
        <f t="shared" si="97"/>
        <v>7</v>
      </c>
      <c r="C665" s="21" t="str">
        <f t="shared" si="98"/>
        <v>6</v>
      </c>
      <c r="D665" s="21" t="str">
        <f t="shared" si="99"/>
        <v>3</v>
      </c>
      <c r="E665" s="21" t="str">
        <f t="shared" si="100"/>
        <v>99</v>
      </c>
      <c r="F665" s="21" t="str">
        <f t="shared" si="101"/>
        <v>00</v>
      </c>
      <c r="G665" s="21" t="s">
        <v>654</v>
      </c>
      <c r="H665" s="21" t="s">
        <v>2508</v>
      </c>
      <c r="I665" s="22" t="s">
        <v>2584</v>
      </c>
      <c r="J665" s="21"/>
      <c r="K665" s="21"/>
      <c r="L665" s="21"/>
      <c r="M665" s="21"/>
    </row>
    <row r="666" spans="1:13" ht="25.5" x14ac:dyDescent="0.25">
      <c r="A666" s="19" t="str">
        <f t="shared" si="96"/>
        <v>1</v>
      </c>
      <c r="B666" s="19" t="str">
        <f t="shared" si="97"/>
        <v>7</v>
      </c>
      <c r="C666" s="19" t="str">
        <f t="shared" si="98"/>
        <v>6</v>
      </c>
      <c r="D666" s="19" t="str">
        <f t="shared" si="99"/>
        <v>4</v>
      </c>
      <c r="E666" s="19" t="str">
        <f t="shared" si="100"/>
        <v>00</v>
      </c>
      <c r="F666" s="19" t="str">
        <f t="shared" si="101"/>
        <v>00</v>
      </c>
      <c r="G666" s="19" t="s">
        <v>655</v>
      </c>
      <c r="H666" s="19" t="s">
        <v>2509</v>
      </c>
      <c r="I666" s="20" t="s">
        <v>2585</v>
      </c>
      <c r="J666" s="19"/>
      <c r="K666" s="19"/>
      <c r="L666" s="19"/>
      <c r="M666" s="20"/>
    </row>
    <row r="667" spans="1:13" ht="25.5" x14ac:dyDescent="0.25">
      <c r="A667" s="19" t="str">
        <f t="shared" si="96"/>
        <v>1</v>
      </c>
      <c r="B667" s="19" t="str">
        <f t="shared" si="97"/>
        <v>7</v>
      </c>
      <c r="C667" s="19" t="str">
        <f t="shared" si="98"/>
        <v>6</v>
      </c>
      <c r="D667" s="19" t="str">
        <f t="shared" si="99"/>
        <v>5</v>
      </c>
      <c r="E667" s="19" t="str">
        <f t="shared" si="100"/>
        <v>00</v>
      </c>
      <c r="F667" s="19" t="str">
        <f t="shared" si="101"/>
        <v>00</v>
      </c>
      <c r="G667" s="19" t="s">
        <v>656</v>
      </c>
      <c r="H667" s="19" t="s">
        <v>2510</v>
      </c>
      <c r="I667" s="20" t="s">
        <v>2586</v>
      </c>
      <c r="J667" s="19"/>
      <c r="K667" s="19"/>
      <c r="L667" s="19"/>
      <c r="M667" s="20"/>
    </row>
    <row r="668" spans="1:13" x14ac:dyDescent="0.25">
      <c r="A668" s="12" t="str">
        <f t="shared" si="96"/>
        <v>1</v>
      </c>
      <c r="B668" s="12" t="str">
        <f t="shared" si="97"/>
        <v>7</v>
      </c>
      <c r="C668" s="12" t="str">
        <f t="shared" si="98"/>
        <v>7</v>
      </c>
      <c r="D668" s="12" t="str">
        <f t="shared" si="99"/>
        <v>0</v>
      </c>
      <c r="E668" s="12" t="str">
        <f t="shared" si="100"/>
        <v>00</v>
      </c>
      <c r="F668" s="12" t="str">
        <f t="shared" si="101"/>
        <v>00</v>
      </c>
      <c r="G668" s="12" t="s">
        <v>657</v>
      </c>
      <c r="H668" s="12" t="s">
        <v>2511</v>
      </c>
      <c r="I668" s="15" t="s">
        <v>2587</v>
      </c>
      <c r="J668" s="12"/>
      <c r="K668" s="12"/>
      <c r="L668" s="12"/>
      <c r="M668" s="15"/>
    </row>
    <row r="669" spans="1:13" x14ac:dyDescent="0.25">
      <c r="A669" s="19" t="str">
        <f t="shared" si="96"/>
        <v>1</v>
      </c>
      <c r="B669" s="19" t="str">
        <f t="shared" si="97"/>
        <v>7</v>
      </c>
      <c r="C669" s="19" t="str">
        <f t="shared" si="98"/>
        <v>7</v>
      </c>
      <c r="D669" s="19" t="str">
        <f t="shared" si="99"/>
        <v>1</v>
      </c>
      <c r="E669" s="19" t="str">
        <f t="shared" si="100"/>
        <v>00</v>
      </c>
      <c r="F669" s="19" t="str">
        <f t="shared" si="101"/>
        <v>00</v>
      </c>
      <c r="G669" s="19" t="s">
        <v>658</v>
      </c>
      <c r="H669" s="19" t="s">
        <v>2512</v>
      </c>
      <c r="I669" s="20" t="s">
        <v>2588</v>
      </c>
      <c r="J669" s="19"/>
      <c r="K669" s="19"/>
      <c r="L669" s="19"/>
      <c r="M669" s="20"/>
    </row>
    <row r="670" spans="1:13" x14ac:dyDescent="0.25">
      <c r="A670" s="19" t="str">
        <f t="shared" si="96"/>
        <v>1</v>
      </c>
      <c r="B670" s="19" t="str">
        <f t="shared" si="97"/>
        <v>7</v>
      </c>
      <c r="C670" s="19" t="str">
        <f t="shared" si="98"/>
        <v>7</v>
      </c>
      <c r="D670" s="19" t="str">
        <f t="shared" si="99"/>
        <v>2</v>
      </c>
      <c r="E670" s="19" t="str">
        <f t="shared" si="100"/>
        <v>00</v>
      </c>
      <c r="F670" s="19" t="str">
        <f t="shared" si="101"/>
        <v>00</v>
      </c>
      <c r="G670" s="19" t="s">
        <v>659</v>
      </c>
      <c r="H670" s="19" t="s">
        <v>2513</v>
      </c>
      <c r="I670" s="20" t="s">
        <v>2589</v>
      </c>
      <c r="J670" s="19"/>
      <c r="K670" s="19"/>
      <c r="L670" s="19"/>
      <c r="M670" s="20"/>
    </row>
    <row r="671" spans="1:13" x14ac:dyDescent="0.25">
      <c r="A671" s="19" t="str">
        <f t="shared" si="96"/>
        <v>1</v>
      </c>
      <c r="B671" s="19" t="str">
        <f t="shared" si="97"/>
        <v>7</v>
      </c>
      <c r="C671" s="19" t="str">
        <f t="shared" si="98"/>
        <v>7</v>
      </c>
      <c r="D671" s="19" t="str">
        <f t="shared" si="99"/>
        <v>3</v>
      </c>
      <c r="E671" s="19" t="str">
        <f t="shared" si="100"/>
        <v>00</v>
      </c>
      <c r="F671" s="19" t="str">
        <f t="shared" si="101"/>
        <v>00</v>
      </c>
      <c r="G671" s="19" t="s">
        <v>660</v>
      </c>
      <c r="H671" s="19" t="s">
        <v>2514</v>
      </c>
      <c r="I671" s="20" t="s">
        <v>2590</v>
      </c>
      <c r="J671" s="19"/>
      <c r="K671" s="19"/>
      <c r="L671" s="19"/>
      <c r="M671" s="20"/>
    </row>
    <row r="672" spans="1:13" ht="25.5" x14ac:dyDescent="0.25">
      <c r="A672" s="19" t="str">
        <f t="shared" si="96"/>
        <v>1</v>
      </c>
      <c r="B672" s="19" t="str">
        <f t="shared" si="97"/>
        <v>7</v>
      </c>
      <c r="C672" s="19" t="str">
        <f t="shared" si="98"/>
        <v>7</v>
      </c>
      <c r="D672" s="19" t="str">
        <f t="shared" si="99"/>
        <v>4</v>
      </c>
      <c r="E672" s="19" t="str">
        <f t="shared" si="100"/>
        <v>00</v>
      </c>
      <c r="F672" s="19" t="str">
        <f t="shared" si="101"/>
        <v>00</v>
      </c>
      <c r="G672" s="19" t="s">
        <v>661</v>
      </c>
      <c r="H672" s="19" t="s">
        <v>2515</v>
      </c>
      <c r="I672" s="20" t="s">
        <v>2591</v>
      </c>
      <c r="J672" s="19"/>
      <c r="K672" s="19"/>
      <c r="L672" s="19"/>
      <c r="M672" s="20"/>
    </row>
    <row r="673" spans="1:13" ht="25.5" x14ac:dyDescent="0.25">
      <c r="A673" s="10" t="str">
        <f t="shared" si="96"/>
        <v>1</v>
      </c>
      <c r="B673" s="10" t="str">
        <f t="shared" si="97"/>
        <v>9</v>
      </c>
      <c r="C673" s="10" t="str">
        <f t="shared" si="98"/>
        <v>0</v>
      </c>
      <c r="D673" s="10" t="str">
        <f t="shared" si="99"/>
        <v>0</v>
      </c>
      <c r="E673" s="10" t="str">
        <f t="shared" si="100"/>
        <v>00</v>
      </c>
      <c r="F673" s="10" t="str">
        <f t="shared" si="101"/>
        <v>00</v>
      </c>
      <c r="G673" s="10" t="s">
        <v>662</v>
      </c>
      <c r="H673" s="10" t="s">
        <v>2592</v>
      </c>
      <c r="I673" s="14" t="s">
        <v>3182</v>
      </c>
      <c r="J673" s="10"/>
      <c r="K673" s="10"/>
      <c r="L673" s="10"/>
      <c r="M673" s="14"/>
    </row>
    <row r="674" spans="1:13" ht="51" x14ac:dyDescent="0.25">
      <c r="A674" s="12" t="str">
        <f t="shared" si="96"/>
        <v>1</v>
      </c>
      <c r="B674" s="12" t="str">
        <f t="shared" si="97"/>
        <v>9</v>
      </c>
      <c r="C674" s="12" t="str">
        <f t="shared" si="98"/>
        <v>1</v>
      </c>
      <c r="D674" s="12" t="str">
        <f t="shared" si="99"/>
        <v>0</v>
      </c>
      <c r="E674" s="12" t="str">
        <f t="shared" si="100"/>
        <v>00</v>
      </c>
      <c r="F674" s="12" t="str">
        <f t="shared" si="101"/>
        <v>00</v>
      </c>
      <c r="G674" s="12" t="s">
        <v>663</v>
      </c>
      <c r="H674" s="12" t="s">
        <v>2593</v>
      </c>
      <c r="I674" s="15" t="s">
        <v>3183</v>
      </c>
      <c r="J674" s="12"/>
      <c r="K674" s="12"/>
      <c r="L674" s="12"/>
      <c r="M674" s="15"/>
    </row>
    <row r="675" spans="1:13" ht="25.5" x14ac:dyDescent="0.25">
      <c r="A675" s="19" t="str">
        <f t="shared" si="96"/>
        <v>1</v>
      </c>
      <c r="B675" s="19" t="str">
        <f t="shared" si="97"/>
        <v>9</v>
      </c>
      <c r="C675" s="19" t="str">
        <f t="shared" si="98"/>
        <v>1</v>
      </c>
      <c r="D675" s="19" t="str">
        <f t="shared" si="99"/>
        <v>1</v>
      </c>
      <c r="E675" s="19" t="str">
        <f t="shared" si="100"/>
        <v>00</v>
      </c>
      <c r="F675" s="19" t="str">
        <f t="shared" si="101"/>
        <v>00</v>
      </c>
      <c r="G675" s="19" t="s">
        <v>664</v>
      </c>
      <c r="H675" s="19" t="s">
        <v>2594</v>
      </c>
      <c r="I675" s="20" t="s">
        <v>3184</v>
      </c>
      <c r="J675" s="19"/>
      <c r="K675" s="19"/>
      <c r="L675" s="19"/>
      <c r="M675" s="20"/>
    </row>
    <row r="676" spans="1:13" ht="25.5" x14ac:dyDescent="0.25">
      <c r="A676" s="21" t="str">
        <f t="shared" si="96"/>
        <v>1</v>
      </c>
      <c r="B676" s="21" t="str">
        <f t="shared" si="97"/>
        <v>9</v>
      </c>
      <c r="C676" s="21" t="str">
        <f t="shared" si="98"/>
        <v>1</v>
      </c>
      <c r="D676" s="21" t="str">
        <f t="shared" si="99"/>
        <v>1</v>
      </c>
      <c r="E676" s="21" t="str">
        <f t="shared" si="100"/>
        <v>01</v>
      </c>
      <c r="F676" s="21" t="str">
        <f t="shared" si="101"/>
        <v>00</v>
      </c>
      <c r="G676" s="21" t="s">
        <v>665</v>
      </c>
      <c r="H676" s="21" t="s">
        <v>2595</v>
      </c>
      <c r="I676" s="22" t="s">
        <v>3185</v>
      </c>
      <c r="J676" s="21"/>
      <c r="K676" s="21"/>
      <c r="L676" s="21"/>
      <c r="M676" s="21"/>
    </row>
    <row r="677" spans="1:13" ht="25.5" x14ac:dyDescent="0.25">
      <c r="A677" s="13" t="str">
        <f t="shared" si="96"/>
        <v>1</v>
      </c>
      <c r="B677" s="13" t="str">
        <f t="shared" si="97"/>
        <v>9</v>
      </c>
      <c r="C677" s="13" t="str">
        <f t="shared" si="98"/>
        <v>1</v>
      </c>
      <c r="D677" s="13" t="str">
        <f t="shared" si="99"/>
        <v>1</v>
      </c>
      <c r="E677" s="13" t="str">
        <f t="shared" si="100"/>
        <v>01</v>
      </c>
      <c r="F677" s="13" t="str">
        <f t="shared" si="101"/>
        <v>01</v>
      </c>
      <c r="G677" s="13" t="s">
        <v>666</v>
      </c>
      <c r="H677" s="13" t="s">
        <v>2596</v>
      </c>
      <c r="I677" s="16" t="s">
        <v>3186</v>
      </c>
      <c r="J677" s="13"/>
      <c r="K677" s="13"/>
      <c r="L677" s="13"/>
      <c r="M677" s="16"/>
    </row>
    <row r="678" spans="1:13" ht="25.5" x14ac:dyDescent="0.25">
      <c r="A678" s="13" t="str">
        <f t="shared" si="96"/>
        <v>1</v>
      </c>
      <c r="B678" s="13" t="str">
        <f t="shared" si="97"/>
        <v>9</v>
      </c>
      <c r="C678" s="13" t="str">
        <f t="shared" si="98"/>
        <v>1</v>
      </c>
      <c r="D678" s="13" t="str">
        <f t="shared" si="99"/>
        <v>1</v>
      </c>
      <c r="E678" s="13" t="str">
        <f t="shared" si="100"/>
        <v>01</v>
      </c>
      <c r="F678" s="13" t="str">
        <f t="shared" si="101"/>
        <v>02</v>
      </c>
      <c r="G678" s="13" t="s">
        <v>667</v>
      </c>
      <c r="H678" s="13" t="s">
        <v>2597</v>
      </c>
      <c r="I678" s="16" t="s">
        <v>3187</v>
      </c>
      <c r="J678" s="13"/>
      <c r="K678" s="13"/>
      <c r="L678" s="13"/>
      <c r="M678" s="16"/>
    </row>
    <row r="679" spans="1:13" ht="25.5" x14ac:dyDescent="0.25">
      <c r="A679" s="21" t="str">
        <f t="shared" si="96"/>
        <v>1</v>
      </c>
      <c r="B679" s="21" t="str">
        <f t="shared" si="97"/>
        <v>9</v>
      </c>
      <c r="C679" s="21" t="str">
        <f t="shared" si="98"/>
        <v>1</v>
      </c>
      <c r="D679" s="21" t="str">
        <f t="shared" si="99"/>
        <v>1</v>
      </c>
      <c r="E679" s="21" t="str">
        <f t="shared" si="100"/>
        <v>02</v>
      </c>
      <c r="F679" s="21" t="str">
        <f t="shared" si="101"/>
        <v>00</v>
      </c>
      <c r="G679" s="21" t="s">
        <v>668</v>
      </c>
      <c r="H679" s="21" t="s">
        <v>2598</v>
      </c>
      <c r="I679" s="22" t="s">
        <v>3188</v>
      </c>
      <c r="J679" s="21"/>
      <c r="K679" s="21"/>
      <c r="L679" s="21"/>
      <c r="M679" s="21"/>
    </row>
    <row r="680" spans="1:13" ht="25.5" x14ac:dyDescent="0.25">
      <c r="A680" s="13" t="str">
        <f t="shared" si="96"/>
        <v>1</v>
      </c>
      <c r="B680" s="13" t="str">
        <f t="shared" si="97"/>
        <v>9</v>
      </c>
      <c r="C680" s="13" t="str">
        <f t="shared" si="98"/>
        <v>1</v>
      </c>
      <c r="D680" s="13" t="str">
        <f t="shared" si="99"/>
        <v>1</v>
      </c>
      <c r="E680" s="13" t="str">
        <f t="shared" si="100"/>
        <v>02</v>
      </c>
      <c r="F680" s="13" t="str">
        <f t="shared" si="101"/>
        <v>01</v>
      </c>
      <c r="G680" s="13" t="s">
        <v>669</v>
      </c>
      <c r="H680" s="13" t="s">
        <v>2599</v>
      </c>
      <c r="I680" s="16" t="s">
        <v>3189</v>
      </c>
      <c r="J680" s="13"/>
      <c r="K680" s="13"/>
      <c r="L680" s="13"/>
      <c r="M680" s="16"/>
    </row>
    <row r="681" spans="1:13" ht="25.5" x14ac:dyDescent="0.25">
      <c r="A681" s="13" t="str">
        <f t="shared" si="96"/>
        <v>1</v>
      </c>
      <c r="B681" s="13" t="str">
        <f t="shared" si="97"/>
        <v>9</v>
      </c>
      <c r="C681" s="13" t="str">
        <f t="shared" si="98"/>
        <v>1</v>
      </c>
      <c r="D681" s="13" t="str">
        <f t="shared" si="99"/>
        <v>1</v>
      </c>
      <c r="E681" s="13" t="str">
        <f t="shared" si="100"/>
        <v>02</v>
      </c>
      <c r="F681" s="13" t="str">
        <f t="shared" si="101"/>
        <v>02</v>
      </c>
      <c r="G681" s="13" t="s">
        <v>670</v>
      </c>
      <c r="H681" s="13" t="s">
        <v>2600</v>
      </c>
      <c r="I681" s="16" t="s">
        <v>3190</v>
      </c>
      <c r="J681" s="13"/>
      <c r="K681" s="13"/>
      <c r="L681" s="13"/>
      <c r="M681" s="16"/>
    </row>
    <row r="682" spans="1:13" ht="25.5" x14ac:dyDescent="0.25">
      <c r="A682" s="13" t="str">
        <f t="shared" si="96"/>
        <v>1</v>
      </c>
      <c r="B682" s="13" t="str">
        <f t="shared" si="97"/>
        <v>9</v>
      </c>
      <c r="C682" s="13" t="str">
        <f t="shared" si="98"/>
        <v>1</v>
      </c>
      <c r="D682" s="13" t="str">
        <f t="shared" si="99"/>
        <v>1</v>
      </c>
      <c r="E682" s="13" t="str">
        <f t="shared" si="100"/>
        <v>02</v>
      </c>
      <c r="F682" s="13" t="str">
        <f t="shared" si="101"/>
        <v>03</v>
      </c>
      <c r="G682" s="13" t="s">
        <v>671</v>
      </c>
      <c r="H682" s="13" t="s">
        <v>2601</v>
      </c>
      <c r="I682" s="16" t="s">
        <v>3191</v>
      </c>
      <c r="J682" s="13"/>
      <c r="K682" s="13"/>
      <c r="L682" s="13"/>
      <c r="M682" s="16"/>
    </row>
    <row r="683" spans="1:13" ht="38.25" x14ac:dyDescent="0.25">
      <c r="A683" s="13" t="str">
        <f t="shared" si="96"/>
        <v>1</v>
      </c>
      <c r="B683" s="13" t="str">
        <f t="shared" si="97"/>
        <v>9</v>
      </c>
      <c r="C683" s="13" t="str">
        <f t="shared" si="98"/>
        <v>1</v>
      </c>
      <c r="D683" s="13" t="str">
        <f t="shared" si="99"/>
        <v>1</v>
      </c>
      <c r="E683" s="13" t="str">
        <f t="shared" si="100"/>
        <v>02</v>
      </c>
      <c r="F683" s="13" t="str">
        <f t="shared" si="101"/>
        <v>04</v>
      </c>
      <c r="G683" s="13" t="s">
        <v>672</v>
      </c>
      <c r="H683" s="13" t="s">
        <v>2602</v>
      </c>
      <c r="I683" s="16" t="s">
        <v>3192</v>
      </c>
      <c r="J683" s="13"/>
      <c r="K683" s="13"/>
      <c r="L683" s="13"/>
      <c r="M683" s="16"/>
    </row>
    <row r="684" spans="1:13" ht="38.25" x14ac:dyDescent="0.25">
      <c r="A684" s="13" t="str">
        <f t="shared" si="96"/>
        <v>1</v>
      </c>
      <c r="B684" s="13" t="str">
        <f t="shared" si="97"/>
        <v>9</v>
      </c>
      <c r="C684" s="13" t="str">
        <f t="shared" si="98"/>
        <v>1</v>
      </c>
      <c r="D684" s="13" t="str">
        <f t="shared" si="99"/>
        <v>1</v>
      </c>
      <c r="E684" s="13" t="str">
        <f t="shared" si="100"/>
        <v>02</v>
      </c>
      <c r="F684" s="13" t="str">
        <f t="shared" si="101"/>
        <v>05</v>
      </c>
      <c r="G684" s="13" t="s">
        <v>673</v>
      </c>
      <c r="H684" s="13" t="s">
        <v>2603</v>
      </c>
      <c r="I684" s="16" t="s">
        <v>3193</v>
      </c>
      <c r="J684" s="13"/>
      <c r="K684" s="13"/>
      <c r="L684" s="13"/>
      <c r="M684" s="16"/>
    </row>
    <row r="685" spans="1:13" ht="38.25" x14ac:dyDescent="0.25">
      <c r="A685" s="13" t="str">
        <f t="shared" si="96"/>
        <v>1</v>
      </c>
      <c r="B685" s="13" t="str">
        <f t="shared" si="97"/>
        <v>9</v>
      </c>
      <c r="C685" s="13" t="str">
        <f t="shared" si="98"/>
        <v>1</v>
      </c>
      <c r="D685" s="13" t="str">
        <f t="shared" si="99"/>
        <v>1</v>
      </c>
      <c r="E685" s="13" t="str">
        <f t="shared" si="100"/>
        <v>02</v>
      </c>
      <c r="F685" s="13" t="str">
        <f t="shared" si="101"/>
        <v>06</v>
      </c>
      <c r="G685" s="13" t="s">
        <v>674</v>
      </c>
      <c r="H685" s="13" t="s">
        <v>2604</v>
      </c>
      <c r="I685" s="16" t="s">
        <v>3194</v>
      </c>
      <c r="J685" s="13"/>
      <c r="K685" s="13"/>
      <c r="L685" s="13"/>
      <c r="M685" s="16"/>
    </row>
    <row r="686" spans="1:13" ht="25.5" x14ac:dyDescent="0.25">
      <c r="A686" s="13" t="str">
        <f t="shared" si="96"/>
        <v>1</v>
      </c>
      <c r="B686" s="13" t="str">
        <f t="shared" si="97"/>
        <v>9</v>
      </c>
      <c r="C686" s="13" t="str">
        <f t="shared" si="98"/>
        <v>1</v>
      </c>
      <c r="D686" s="13" t="str">
        <f t="shared" si="99"/>
        <v>1</v>
      </c>
      <c r="E686" s="13" t="str">
        <f t="shared" si="100"/>
        <v>02</v>
      </c>
      <c r="F686" s="13" t="str">
        <f t="shared" si="101"/>
        <v>07</v>
      </c>
      <c r="G686" s="13" t="s">
        <v>675</v>
      </c>
      <c r="H686" s="13" t="s">
        <v>2605</v>
      </c>
      <c r="I686" s="16" t="s">
        <v>3195</v>
      </c>
      <c r="J686" s="13"/>
      <c r="K686" s="13"/>
      <c r="L686" s="13"/>
      <c r="M686" s="16"/>
    </row>
    <row r="687" spans="1:13" ht="25.5" x14ac:dyDescent="0.25">
      <c r="A687" s="21" t="str">
        <f t="shared" si="96"/>
        <v>1</v>
      </c>
      <c r="B687" s="21" t="str">
        <f t="shared" si="97"/>
        <v>9</v>
      </c>
      <c r="C687" s="21" t="str">
        <f t="shared" si="98"/>
        <v>1</v>
      </c>
      <c r="D687" s="21" t="str">
        <f t="shared" si="99"/>
        <v>1</v>
      </c>
      <c r="E687" s="21" t="str">
        <f t="shared" si="100"/>
        <v>03</v>
      </c>
      <c r="F687" s="21" t="str">
        <f t="shared" si="101"/>
        <v>00</v>
      </c>
      <c r="G687" s="21" t="s">
        <v>676</v>
      </c>
      <c r="H687" s="21" t="s">
        <v>2606</v>
      </c>
      <c r="I687" s="22" t="s">
        <v>3196</v>
      </c>
      <c r="J687" s="21"/>
      <c r="K687" s="21"/>
      <c r="L687" s="21"/>
      <c r="M687" s="21"/>
    </row>
    <row r="688" spans="1:13" ht="25.5" x14ac:dyDescent="0.25">
      <c r="A688" s="13" t="str">
        <f t="shared" si="96"/>
        <v>1</v>
      </c>
      <c r="B688" s="13" t="str">
        <f t="shared" si="97"/>
        <v>9</v>
      </c>
      <c r="C688" s="13" t="str">
        <f t="shared" si="98"/>
        <v>1</v>
      </c>
      <c r="D688" s="13" t="str">
        <f t="shared" si="99"/>
        <v>1</v>
      </c>
      <c r="E688" s="13" t="str">
        <f t="shared" si="100"/>
        <v>03</v>
      </c>
      <c r="F688" s="13" t="str">
        <f t="shared" si="101"/>
        <v>01</v>
      </c>
      <c r="G688" s="13" t="s">
        <v>677</v>
      </c>
      <c r="H688" s="13" t="s">
        <v>2607</v>
      </c>
      <c r="I688" s="16" t="s">
        <v>3197</v>
      </c>
      <c r="J688" s="13"/>
      <c r="K688" s="13"/>
      <c r="L688" s="13"/>
      <c r="M688" s="16"/>
    </row>
    <row r="689" spans="1:13" ht="38.25" x14ac:dyDescent="0.25">
      <c r="A689" s="13" t="str">
        <f t="shared" si="96"/>
        <v>1</v>
      </c>
      <c r="B689" s="13" t="str">
        <f t="shared" si="97"/>
        <v>9</v>
      </c>
      <c r="C689" s="13" t="str">
        <f t="shared" si="98"/>
        <v>1</v>
      </c>
      <c r="D689" s="13" t="str">
        <f t="shared" si="99"/>
        <v>1</v>
      </c>
      <c r="E689" s="13" t="str">
        <f t="shared" si="100"/>
        <v>03</v>
      </c>
      <c r="F689" s="13" t="str">
        <f t="shared" si="101"/>
        <v>02</v>
      </c>
      <c r="G689" s="13" t="s">
        <v>678</v>
      </c>
      <c r="H689" s="13" t="s">
        <v>2608</v>
      </c>
      <c r="I689" s="16" t="s">
        <v>3198</v>
      </c>
      <c r="J689" s="13"/>
      <c r="K689" s="13"/>
      <c r="L689" s="13"/>
      <c r="M689" s="16"/>
    </row>
    <row r="690" spans="1:13" ht="25.5" x14ac:dyDescent="0.25">
      <c r="A690" s="13" t="str">
        <f t="shared" si="96"/>
        <v>1</v>
      </c>
      <c r="B690" s="13" t="str">
        <f t="shared" si="97"/>
        <v>9</v>
      </c>
      <c r="C690" s="13" t="str">
        <f t="shared" si="98"/>
        <v>1</v>
      </c>
      <c r="D690" s="13" t="str">
        <f t="shared" si="99"/>
        <v>1</v>
      </c>
      <c r="E690" s="13" t="str">
        <f t="shared" si="100"/>
        <v>03</v>
      </c>
      <c r="F690" s="13" t="str">
        <f t="shared" si="101"/>
        <v>03</v>
      </c>
      <c r="G690" s="13" t="s">
        <v>679</v>
      </c>
      <c r="H690" s="13" t="s">
        <v>2609</v>
      </c>
      <c r="I690" s="16" t="s">
        <v>3199</v>
      </c>
      <c r="J690" s="13"/>
      <c r="K690" s="13"/>
      <c r="L690" s="13"/>
      <c r="M690" s="16"/>
    </row>
    <row r="691" spans="1:13" ht="38.25" x14ac:dyDescent="0.25">
      <c r="A691" s="21" t="str">
        <f t="shared" si="96"/>
        <v>1</v>
      </c>
      <c r="B691" s="21" t="str">
        <f t="shared" si="97"/>
        <v>9</v>
      </c>
      <c r="C691" s="21" t="str">
        <f t="shared" si="98"/>
        <v>1</v>
      </c>
      <c r="D691" s="21" t="str">
        <f t="shared" si="99"/>
        <v>1</v>
      </c>
      <c r="E691" s="21" t="str">
        <f t="shared" si="100"/>
        <v>04</v>
      </c>
      <c r="F691" s="21" t="str">
        <f t="shared" si="101"/>
        <v>00</v>
      </c>
      <c r="G691" s="21" t="s">
        <v>680</v>
      </c>
      <c r="H691" s="21" t="s">
        <v>2610</v>
      </c>
      <c r="I691" s="22" t="s">
        <v>3200</v>
      </c>
      <c r="J691" s="21"/>
      <c r="K691" s="21"/>
      <c r="L691" s="21"/>
      <c r="M691" s="21"/>
    </row>
    <row r="692" spans="1:13" ht="51" x14ac:dyDescent="0.25">
      <c r="A692" s="13" t="str">
        <f t="shared" si="96"/>
        <v>1</v>
      </c>
      <c r="B692" s="13" t="str">
        <f t="shared" si="97"/>
        <v>9</v>
      </c>
      <c r="C692" s="13" t="str">
        <f t="shared" si="98"/>
        <v>1</v>
      </c>
      <c r="D692" s="13" t="str">
        <f t="shared" si="99"/>
        <v>1</v>
      </c>
      <c r="E692" s="13" t="str">
        <f t="shared" si="100"/>
        <v>04</v>
      </c>
      <c r="F692" s="13" t="str">
        <f t="shared" si="101"/>
        <v>01</v>
      </c>
      <c r="G692" s="13" t="s">
        <v>681</v>
      </c>
      <c r="H692" s="13" t="s">
        <v>2611</v>
      </c>
      <c r="I692" s="16" t="s">
        <v>3201</v>
      </c>
      <c r="J692" s="13"/>
      <c r="K692" s="13"/>
      <c r="L692" s="13"/>
      <c r="M692" s="16"/>
    </row>
    <row r="693" spans="1:13" ht="51" x14ac:dyDescent="0.25">
      <c r="A693" s="13" t="str">
        <f t="shared" si="96"/>
        <v>1</v>
      </c>
      <c r="B693" s="13" t="str">
        <f t="shared" si="97"/>
        <v>9</v>
      </c>
      <c r="C693" s="13" t="str">
        <f t="shared" si="98"/>
        <v>1</v>
      </c>
      <c r="D693" s="13" t="str">
        <f t="shared" si="99"/>
        <v>1</v>
      </c>
      <c r="E693" s="13" t="str">
        <f t="shared" si="100"/>
        <v>04</v>
      </c>
      <c r="F693" s="13" t="str">
        <f t="shared" si="101"/>
        <v>02</v>
      </c>
      <c r="G693" s="13" t="s">
        <v>682</v>
      </c>
      <c r="H693" s="13" t="s">
        <v>2612</v>
      </c>
      <c r="I693" s="16" t="s">
        <v>3202</v>
      </c>
      <c r="J693" s="13"/>
      <c r="K693" s="13"/>
      <c r="L693" s="13"/>
      <c r="M693" s="16"/>
    </row>
    <row r="694" spans="1:13" ht="25.5" x14ac:dyDescent="0.25">
      <c r="A694" s="21" t="str">
        <f t="shared" si="96"/>
        <v>1</v>
      </c>
      <c r="B694" s="21" t="str">
        <f t="shared" si="97"/>
        <v>9</v>
      </c>
      <c r="C694" s="21" t="str">
        <f t="shared" si="98"/>
        <v>1</v>
      </c>
      <c r="D694" s="21" t="str">
        <f t="shared" si="99"/>
        <v>1</v>
      </c>
      <c r="E694" s="21" t="str">
        <f t="shared" si="100"/>
        <v>07</v>
      </c>
      <c r="F694" s="21" t="str">
        <f t="shared" si="101"/>
        <v>00</v>
      </c>
      <c r="G694" s="21" t="s">
        <v>683</v>
      </c>
      <c r="H694" s="21" t="s">
        <v>2613</v>
      </c>
      <c r="I694" s="22" t="s">
        <v>3203</v>
      </c>
      <c r="J694" s="21"/>
      <c r="K694" s="21"/>
      <c r="L694" s="21"/>
      <c r="M694" s="21"/>
    </row>
    <row r="695" spans="1:13" ht="25.5" x14ac:dyDescent="0.25">
      <c r="A695" s="13" t="str">
        <f t="shared" si="96"/>
        <v>1</v>
      </c>
      <c r="B695" s="13" t="str">
        <f t="shared" si="97"/>
        <v>9</v>
      </c>
      <c r="C695" s="13" t="str">
        <f t="shared" si="98"/>
        <v>1</v>
      </c>
      <c r="D695" s="13" t="str">
        <f t="shared" si="99"/>
        <v>1</v>
      </c>
      <c r="E695" s="13" t="str">
        <f t="shared" si="100"/>
        <v>07</v>
      </c>
      <c r="F695" s="13" t="str">
        <f t="shared" si="101"/>
        <v>01</v>
      </c>
      <c r="G695" s="13" t="s">
        <v>684</v>
      </c>
      <c r="H695" s="13" t="s">
        <v>2614</v>
      </c>
      <c r="I695" s="16" t="s">
        <v>3204</v>
      </c>
      <c r="J695" s="13"/>
      <c r="K695" s="13"/>
      <c r="L695" s="13"/>
      <c r="M695" s="16"/>
    </row>
    <row r="696" spans="1:13" ht="25.5" x14ac:dyDescent="0.25">
      <c r="A696" s="13" t="str">
        <f t="shared" si="96"/>
        <v>1</v>
      </c>
      <c r="B696" s="13" t="str">
        <f t="shared" si="97"/>
        <v>9</v>
      </c>
      <c r="C696" s="13" t="str">
        <f t="shared" si="98"/>
        <v>1</v>
      </c>
      <c r="D696" s="13" t="str">
        <f t="shared" si="99"/>
        <v>1</v>
      </c>
      <c r="E696" s="13" t="str">
        <f t="shared" si="100"/>
        <v>07</v>
      </c>
      <c r="F696" s="13" t="str">
        <f t="shared" si="101"/>
        <v>02</v>
      </c>
      <c r="G696" s="13" t="s">
        <v>685</v>
      </c>
      <c r="H696" s="13" t="s">
        <v>2615</v>
      </c>
      <c r="I696" s="16" t="s">
        <v>3205</v>
      </c>
      <c r="J696" s="13"/>
      <c r="K696" s="13"/>
      <c r="L696" s="13"/>
      <c r="M696" s="16"/>
    </row>
    <row r="697" spans="1:13" ht="25.5" x14ac:dyDescent="0.25">
      <c r="A697" s="21" t="str">
        <f t="shared" si="96"/>
        <v>1</v>
      </c>
      <c r="B697" s="21" t="str">
        <f t="shared" si="97"/>
        <v>9</v>
      </c>
      <c r="C697" s="21" t="str">
        <f t="shared" si="98"/>
        <v>1</v>
      </c>
      <c r="D697" s="21" t="str">
        <f t="shared" si="99"/>
        <v>1</v>
      </c>
      <c r="E697" s="21" t="str">
        <f t="shared" si="100"/>
        <v>08</v>
      </c>
      <c r="F697" s="21" t="str">
        <f t="shared" si="101"/>
        <v>00</v>
      </c>
      <c r="G697" s="21" t="s">
        <v>686</v>
      </c>
      <c r="H697" s="21" t="s">
        <v>2616</v>
      </c>
      <c r="I697" s="22" t="s">
        <v>3206</v>
      </c>
      <c r="J697" s="21"/>
      <c r="K697" s="21"/>
      <c r="L697" s="21"/>
      <c r="M697" s="21"/>
    </row>
    <row r="698" spans="1:13" ht="38.25" x14ac:dyDescent="0.25">
      <c r="A698" s="13" t="str">
        <f t="shared" si="96"/>
        <v>1</v>
      </c>
      <c r="B698" s="13" t="str">
        <f t="shared" si="97"/>
        <v>9</v>
      </c>
      <c r="C698" s="13" t="str">
        <f t="shared" si="98"/>
        <v>1</v>
      </c>
      <c r="D698" s="13" t="str">
        <f t="shared" si="99"/>
        <v>1</v>
      </c>
      <c r="E698" s="13" t="str">
        <f t="shared" si="100"/>
        <v>08</v>
      </c>
      <c r="F698" s="13" t="str">
        <f t="shared" si="101"/>
        <v>01</v>
      </c>
      <c r="G698" s="13" t="s">
        <v>687</v>
      </c>
      <c r="H698" s="13" t="s">
        <v>2617</v>
      </c>
      <c r="I698" s="16" t="s">
        <v>3207</v>
      </c>
      <c r="J698" s="13"/>
      <c r="K698" s="13"/>
      <c r="L698" s="13"/>
      <c r="M698" s="16"/>
    </row>
    <row r="699" spans="1:13" ht="38.25" x14ac:dyDescent="0.25">
      <c r="A699" s="13" t="str">
        <f t="shared" si="96"/>
        <v>1</v>
      </c>
      <c r="B699" s="13" t="str">
        <f t="shared" si="97"/>
        <v>9</v>
      </c>
      <c r="C699" s="13" t="str">
        <f t="shared" si="98"/>
        <v>1</v>
      </c>
      <c r="D699" s="13" t="str">
        <f t="shared" si="99"/>
        <v>1</v>
      </c>
      <c r="E699" s="13" t="str">
        <f t="shared" si="100"/>
        <v>08</v>
      </c>
      <c r="F699" s="13" t="str">
        <f t="shared" si="101"/>
        <v>02</v>
      </c>
      <c r="G699" s="13" t="s">
        <v>688</v>
      </c>
      <c r="H699" s="13" t="s">
        <v>2618</v>
      </c>
      <c r="I699" s="16" t="s">
        <v>3208</v>
      </c>
      <c r="J699" s="13"/>
      <c r="K699" s="13"/>
      <c r="L699" s="13"/>
      <c r="M699" s="16"/>
    </row>
    <row r="700" spans="1:13" ht="38.25" x14ac:dyDescent="0.25">
      <c r="A700" s="21" t="str">
        <f t="shared" si="96"/>
        <v>1</v>
      </c>
      <c r="B700" s="21" t="str">
        <f t="shared" si="97"/>
        <v>9</v>
      </c>
      <c r="C700" s="21" t="str">
        <f t="shared" si="98"/>
        <v>1</v>
      </c>
      <c r="D700" s="21" t="str">
        <f t="shared" si="99"/>
        <v>1</v>
      </c>
      <c r="E700" s="21" t="str">
        <f t="shared" si="100"/>
        <v>20</v>
      </c>
      <c r="F700" s="21" t="str">
        <f t="shared" si="101"/>
        <v>00</v>
      </c>
      <c r="G700" s="21" t="s">
        <v>689</v>
      </c>
      <c r="H700" s="21" t="s">
        <v>2619</v>
      </c>
      <c r="I700" s="22" t="s">
        <v>3209</v>
      </c>
      <c r="J700" s="21"/>
      <c r="K700" s="21"/>
      <c r="L700" s="21"/>
      <c r="M700" s="21"/>
    </row>
    <row r="701" spans="1:13" ht="25.5" x14ac:dyDescent="0.25">
      <c r="A701" s="21" t="str">
        <f t="shared" si="96"/>
        <v>1</v>
      </c>
      <c r="B701" s="21" t="str">
        <f t="shared" si="97"/>
        <v>9</v>
      </c>
      <c r="C701" s="21" t="str">
        <f t="shared" si="98"/>
        <v>1</v>
      </c>
      <c r="D701" s="21" t="str">
        <f t="shared" si="99"/>
        <v>1</v>
      </c>
      <c r="E701" s="21" t="str">
        <f t="shared" si="100"/>
        <v>31</v>
      </c>
      <c r="F701" s="21" t="str">
        <f t="shared" si="101"/>
        <v>00</v>
      </c>
      <c r="G701" s="21" t="s">
        <v>690</v>
      </c>
      <c r="H701" s="21" t="s">
        <v>2620</v>
      </c>
      <c r="I701" s="22" t="s">
        <v>4023</v>
      </c>
      <c r="J701" s="21"/>
      <c r="K701" s="21" t="s">
        <v>4018</v>
      </c>
      <c r="L701" s="21" t="s">
        <v>4222</v>
      </c>
      <c r="M701" s="21"/>
    </row>
    <row r="702" spans="1:13" ht="25.5" x14ac:dyDescent="0.25">
      <c r="A702" s="13" t="str">
        <f t="shared" si="96"/>
        <v>1</v>
      </c>
      <c r="B702" s="13" t="str">
        <f t="shared" si="97"/>
        <v>9</v>
      </c>
      <c r="C702" s="13" t="str">
        <f t="shared" si="98"/>
        <v>1</v>
      </c>
      <c r="D702" s="13" t="str">
        <f t="shared" si="99"/>
        <v>1</v>
      </c>
      <c r="E702" s="13" t="str">
        <f t="shared" si="100"/>
        <v>31</v>
      </c>
      <c r="F702" s="13" t="str">
        <f t="shared" si="101"/>
        <v>01</v>
      </c>
      <c r="G702" s="13" t="s">
        <v>691</v>
      </c>
      <c r="H702" s="13" t="s">
        <v>2621</v>
      </c>
      <c r="I702" s="16" t="s">
        <v>3962</v>
      </c>
      <c r="J702" s="13"/>
      <c r="K702" s="13" t="s">
        <v>46</v>
      </c>
      <c r="L702" s="13" t="s">
        <v>4223</v>
      </c>
      <c r="M702" s="16"/>
    </row>
    <row r="703" spans="1:13" ht="25.5" x14ac:dyDescent="0.25">
      <c r="A703" s="13" t="str">
        <f t="shared" si="96"/>
        <v>1</v>
      </c>
      <c r="B703" s="13" t="str">
        <f t="shared" si="97"/>
        <v>9</v>
      </c>
      <c r="C703" s="13" t="str">
        <f t="shared" si="98"/>
        <v>1</v>
      </c>
      <c r="D703" s="13" t="str">
        <f t="shared" si="99"/>
        <v>1</v>
      </c>
      <c r="E703" s="13" t="str">
        <f t="shared" si="100"/>
        <v>31</v>
      </c>
      <c r="F703" s="13" t="str">
        <f t="shared" si="101"/>
        <v>02</v>
      </c>
      <c r="G703" s="13" t="s">
        <v>692</v>
      </c>
      <c r="H703" s="13" t="s">
        <v>2622</v>
      </c>
      <c r="I703" s="16" t="s">
        <v>3963</v>
      </c>
      <c r="J703" s="13"/>
      <c r="K703" s="13" t="s">
        <v>46</v>
      </c>
      <c r="L703" s="13" t="s">
        <v>4223</v>
      </c>
      <c r="M703" s="16"/>
    </row>
    <row r="704" spans="1:13" ht="38.25" x14ac:dyDescent="0.25">
      <c r="A704" s="21" t="str">
        <f t="shared" si="96"/>
        <v>1</v>
      </c>
      <c r="B704" s="21" t="str">
        <f t="shared" si="97"/>
        <v>9</v>
      </c>
      <c r="C704" s="21" t="str">
        <f t="shared" si="98"/>
        <v>1</v>
      </c>
      <c r="D704" s="21" t="str">
        <f t="shared" si="99"/>
        <v>1</v>
      </c>
      <c r="E704" s="21" t="str">
        <f t="shared" si="100"/>
        <v>32</v>
      </c>
      <c r="F704" s="21" t="str">
        <f t="shared" si="101"/>
        <v>00</v>
      </c>
      <c r="G704" s="21" t="s">
        <v>693</v>
      </c>
      <c r="H704" s="21" t="s">
        <v>2623</v>
      </c>
      <c r="I704" s="22" t="s">
        <v>3210</v>
      </c>
      <c r="J704" s="21"/>
      <c r="K704" s="21" t="s">
        <v>4018</v>
      </c>
      <c r="L704" s="21" t="s">
        <v>4202</v>
      </c>
      <c r="M704" s="21"/>
    </row>
    <row r="705" spans="1:13" ht="25.5" x14ac:dyDescent="0.25">
      <c r="A705" s="21" t="str">
        <f t="shared" si="96"/>
        <v>1</v>
      </c>
      <c r="B705" s="21" t="str">
        <f t="shared" si="97"/>
        <v>9</v>
      </c>
      <c r="C705" s="21" t="str">
        <f t="shared" si="98"/>
        <v>1</v>
      </c>
      <c r="D705" s="21" t="str">
        <f t="shared" si="99"/>
        <v>1</v>
      </c>
      <c r="E705" s="21" t="str">
        <f t="shared" si="100"/>
        <v>33</v>
      </c>
      <c r="F705" s="21" t="str">
        <f t="shared" si="101"/>
        <v>00</v>
      </c>
      <c r="G705" s="21" t="s">
        <v>694</v>
      </c>
      <c r="H705" s="21" t="s">
        <v>2624</v>
      </c>
      <c r="I705" s="22" t="s">
        <v>3211</v>
      </c>
      <c r="J705" s="21"/>
      <c r="K705" s="21"/>
      <c r="L705" s="21"/>
      <c r="M705" s="21"/>
    </row>
    <row r="706" spans="1:13" ht="51" x14ac:dyDescent="0.25">
      <c r="A706" s="21" t="str">
        <f t="shared" si="96"/>
        <v>1</v>
      </c>
      <c r="B706" s="21" t="str">
        <f t="shared" si="97"/>
        <v>9</v>
      </c>
      <c r="C706" s="21" t="str">
        <f t="shared" si="98"/>
        <v>1</v>
      </c>
      <c r="D706" s="21" t="str">
        <f t="shared" si="99"/>
        <v>1</v>
      </c>
      <c r="E706" s="21" t="str">
        <f t="shared" si="100"/>
        <v>34</v>
      </c>
      <c r="F706" s="21" t="str">
        <f t="shared" si="101"/>
        <v>00</v>
      </c>
      <c r="G706" s="21" t="s">
        <v>695</v>
      </c>
      <c r="H706" s="21" t="s">
        <v>2625</v>
      </c>
      <c r="I706" s="22" t="s">
        <v>3212</v>
      </c>
      <c r="J706" s="21"/>
      <c r="K706" s="21"/>
      <c r="L706" s="21"/>
      <c r="M706" s="21"/>
    </row>
    <row r="707" spans="1:13" ht="25.5" x14ac:dyDescent="0.25">
      <c r="A707" s="21" t="str">
        <f t="shared" si="96"/>
        <v>1</v>
      </c>
      <c r="B707" s="21" t="str">
        <f t="shared" si="97"/>
        <v>9</v>
      </c>
      <c r="C707" s="21" t="str">
        <f t="shared" si="98"/>
        <v>1</v>
      </c>
      <c r="D707" s="21" t="str">
        <f t="shared" si="99"/>
        <v>1</v>
      </c>
      <c r="E707" s="21" t="str">
        <f t="shared" si="100"/>
        <v>35</v>
      </c>
      <c r="F707" s="21" t="str">
        <f t="shared" si="101"/>
        <v>00</v>
      </c>
      <c r="G707" s="21" t="s">
        <v>696</v>
      </c>
      <c r="H707" s="21" t="s">
        <v>2626</v>
      </c>
      <c r="I707" s="22" t="s">
        <v>3213</v>
      </c>
      <c r="J707" s="21"/>
      <c r="K707" s="21"/>
      <c r="L707" s="21"/>
      <c r="M707" s="21"/>
    </row>
    <row r="708" spans="1:13" ht="25.5" x14ac:dyDescent="0.25">
      <c r="A708" s="21" t="str">
        <f t="shared" si="96"/>
        <v>1</v>
      </c>
      <c r="B708" s="21" t="str">
        <f t="shared" si="97"/>
        <v>9</v>
      </c>
      <c r="C708" s="21" t="str">
        <f t="shared" si="98"/>
        <v>1</v>
      </c>
      <c r="D708" s="21" t="str">
        <f t="shared" si="99"/>
        <v>1</v>
      </c>
      <c r="E708" s="21" t="str">
        <f t="shared" si="100"/>
        <v>36</v>
      </c>
      <c r="F708" s="21" t="str">
        <f t="shared" si="101"/>
        <v>00</v>
      </c>
      <c r="G708" s="21" t="s">
        <v>697</v>
      </c>
      <c r="H708" s="21" t="s">
        <v>2627</v>
      </c>
      <c r="I708" s="22" t="s">
        <v>3214</v>
      </c>
      <c r="J708" s="21"/>
      <c r="K708" s="21"/>
      <c r="L708" s="21"/>
      <c r="M708" s="21"/>
    </row>
    <row r="709" spans="1:13" ht="38.25" x14ac:dyDescent="0.25">
      <c r="A709" s="21" t="str">
        <f t="shared" si="96"/>
        <v>1</v>
      </c>
      <c r="B709" s="21" t="str">
        <f t="shared" si="97"/>
        <v>9</v>
      </c>
      <c r="C709" s="21" t="str">
        <f t="shared" si="98"/>
        <v>1</v>
      </c>
      <c r="D709" s="21" t="str">
        <f t="shared" si="99"/>
        <v>1</v>
      </c>
      <c r="E709" s="21" t="str">
        <f t="shared" si="100"/>
        <v>37</v>
      </c>
      <c r="F709" s="21" t="str">
        <f t="shared" si="101"/>
        <v>00</v>
      </c>
      <c r="G709" s="21" t="s">
        <v>698</v>
      </c>
      <c r="H709" s="21" t="s">
        <v>2628</v>
      </c>
      <c r="I709" s="22" t="s">
        <v>3215</v>
      </c>
      <c r="J709" s="21"/>
      <c r="K709" s="21"/>
      <c r="L709" s="21"/>
      <c r="M709" s="21"/>
    </row>
    <row r="710" spans="1:13" ht="38.25" x14ac:dyDescent="0.25">
      <c r="A710" s="21" t="str">
        <f t="shared" ref="A710:A773" si="102">MID(G710,1,1)</f>
        <v>1</v>
      </c>
      <c r="B710" s="21" t="str">
        <f t="shared" ref="B710:B773" si="103">MID(G710,2,1)</f>
        <v>9</v>
      </c>
      <c r="C710" s="21" t="str">
        <f t="shared" ref="C710:C773" si="104">MID(G710,3,1)</f>
        <v>1</v>
      </c>
      <c r="D710" s="21" t="str">
        <f t="shared" ref="D710:D773" si="105">MID(G710,4,1)</f>
        <v>1</v>
      </c>
      <c r="E710" s="21" t="str">
        <f t="shared" ref="E710:E773" si="106">MID(G710,6,2)</f>
        <v>38</v>
      </c>
      <c r="F710" s="21" t="str">
        <f t="shared" ref="F710:F773" si="107">MID(G710,9,2)</f>
        <v>00</v>
      </c>
      <c r="G710" s="21" t="s">
        <v>699</v>
      </c>
      <c r="H710" s="21" t="s">
        <v>2629</v>
      </c>
      <c r="I710" s="22" t="s">
        <v>3216</v>
      </c>
      <c r="J710" s="21"/>
      <c r="K710" s="21"/>
      <c r="L710" s="21"/>
      <c r="M710" s="21"/>
    </row>
    <row r="711" spans="1:13" ht="38.25" x14ac:dyDescent="0.25">
      <c r="A711" s="21" t="str">
        <f t="shared" si="102"/>
        <v>1</v>
      </c>
      <c r="B711" s="21" t="str">
        <f t="shared" si="103"/>
        <v>9</v>
      </c>
      <c r="C711" s="21" t="str">
        <f t="shared" si="104"/>
        <v>1</v>
      </c>
      <c r="D711" s="21" t="str">
        <f t="shared" si="105"/>
        <v>1</v>
      </c>
      <c r="E711" s="21" t="str">
        <f t="shared" si="106"/>
        <v>39</v>
      </c>
      <c r="F711" s="21" t="str">
        <f t="shared" si="107"/>
        <v>00</v>
      </c>
      <c r="G711" s="21" t="s">
        <v>700</v>
      </c>
      <c r="H711" s="21" t="s">
        <v>2630</v>
      </c>
      <c r="I711" s="22" t="s">
        <v>3217</v>
      </c>
      <c r="J711" s="21"/>
      <c r="K711" s="21"/>
      <c r="L711" s="21"/>
      <c r="M711" s="21"/>
    </row>
    <row r="712" spans="1:13" ht="25.5" x14ac:dyDescent="0.25">
      <c r="A712" s="21" t="str">
        <f t="shared" si="102"/>
        <v>1</v>
      </c>
      <c r="B712" s="21" t="str">
        <f t="shared" si="103"/>
        <v>9</v>
      </c>
      <c r="C712" s="21" t="str">
        <f t="shared" si="104"/>
        <v>1</v>
      </c>
      <c r="D712" s="21" t="str">
        <f t="shared" si="105"/>
        <v>1</v>
      </c>
      <c r="E712" s="21" t="str">
        <f t="shared" si="106"/>
        <v>40</v>
      </c>
      <c r="F712" s="21" t="str">
        <f t="shared" si="107"/>
        <v>00</v>
      </c>
      <c r="G712" s="21" t="s">
        <v>701</v>
      </c>
      <c r="H712" s="21" t="s">
        <v>2631</v>
      </c>
      <c r="I712" s="22" t="s">
        <v>3218</v>
      </c>
      <c r="J712" s="21"/>
      <c r="K712" s="21"/>
      <c r="L712" s="21"/>
      <c r="M712" s="21"/>
    </row>
    <row r="713" spans="1:13" ht="38.25" x14ac:dyDescent="0.25">
      <c r="A713" s="21" t="str">
        <f t="shared" si="102"/>
        <v>1</v>
      </c>
      <c r="B713" s="21" t="str">
        <f t="shared" si="103"/>
        <v>9</v>
      </c>
      <c r="C713" s="21" t="str">
        <f t="shared" si="104"/>
        <v>1</v>
      </c>
      <c r="D713" s="21" t="str">
        <f t="shared" si="105"/>
        <v>1</v>
      </c>
      <c r="E713" s="21" t="str">
        <f t="shared" si="106"/>
        <v>41</v>
      </c>
      <c r="F713" s="21" t="str">
        <f t="shared" si="107"/>
        <v>00</v>
      </c>
      <c r="G713" s="21" t="s">
        <v>702</v>
      </c>
      <c r="H713" s="21" t="s">
        <v>2632</v>
      </c>
      <c r="I713" s="22" t="s">
        <v>3219</v>
      </c>
      <c r="J713" s="21"/>
      <c r="K713" s="21"/>
      <c r="L713" s="21"/>
      <c r="M713" s="21"/>
    </row>
    <row r="714" spans="1:13" ht="38.25" x14ac:dyDescent="0.25">
      <c r="A714" s="21" t="str">
        <f t="shared" si="102"/>
        <v>1</v>
      </c>
      <c r="B714" s="21" t="str">
        <f t="shared" si="103"/>
        <v>9</v>
      </c>
      <c r="C714" s="21" t="str">
        <f t="shared" si="104"/>
        <v>1</v>
      </c>
      <c r="D714" s="21" t="str">
        <f t="shared" si="105"/>
        <v>1</v>
      </c>
      <c r="E714" s="21" t="str">
        <f t="shared" si="106"/>
        <v>42</v>
      </c>
      <c r="F714" s="21" t="str">
        <f t="shared" si="107"/>
        <v>00</v>
      </c>
      <c r="G714" s="21" t="s">
        <v>703</v>
      </c>
      <c r="H714" s="21" t="s">
        <v>2633</v>
      </c>
      <c r="I714" s="22" t="s">
        <v>3220</v>
      </c>
      <c r="J714" s="21"/>
      <c r="K714" s="21"/>
      <c r="L714" s="21"/>
      <c r="M714" s="21"/>
    </row>
    <row r="715" spans="1:13" ht="25.5" x14ac:dyDescent="0.25">
      <c r="A715" s="21" t="str">
        <f t="shared" si="102"/>
        <v>1</v>
      </c>
      <c r="B715" s="21" t="str">
        <f t="shared" si="103"/>
        <v>9</v>
      </c>
      <c r="C715" s="21" t="str">
        <f t="shared" si="104"/>
        <v>1</v>
      </c>
      <c r="D715" s="21" t="str">
        <f t="shared" si="105"/>
        <v>1</v>
      </c>
      <c r="E715" s="21" t="str">
        <f t="shared" si="106"/>
        <v>98</v>
      </c>
      <c r="F715" s="21" t="str">
        <f t="shared" si="107"/>
        <v>00</v>
      </c>
      <c r="G715" s="21" t="s">
        <v>704</v>
      </c>
      <c r="H715" s="21" t="s">
        <v>2634</v>
      </c>
      <c r="I715" s="22" t="s">
        <v>3221</v>
      </c>
      <c r="J715" s="21"/>
      <c r="K715" s="21"/>
      <c r="L715" s="21"/>
      <c r="M715" s="21"/>
    </row>
    <row r="716" spans="1:13" ht="25.5" x14ac:dyDescent="0.25">
      <c r="A716" s="21" t="str">
        <f t="shared" si="102"/>
        <v>1</v>
      </c>
      <c r="B716" s="21" t="str">
        <f t="shared" si="103"/>
        <v>9</v>
      </c>
      <c r="C716" s="21" t="str">
        <f t="shared" si="104"/>
        <v>1</v>
      </c>
      <c r="D716" s="21" t="str">
        <f t="shared" si="105"/>
        <v>1</v>
      </c>
      <c r="E716" s="21" t="str">
        <f t="shared" si="106"/>
        <v>99</v>
      </c>
      <c r="F716" s="21" t="str">
        <f t="shared" si="107"/>
        <v>00</v>
      </c>
      <c r="G716" s="21" t="s">
        <v>705</v>
      </c>
      <c r="H716" s="21" t="s">
        <v>2635</v>
      </c>
      <c r="I716" s="22" t="s">
        <v>3222</v>
      </c>
      <c r="J716" s="21"/>
      <c r="K716" s="21"/>
      <c r="L716" s="21"/>
      <c r="M716" s="21"/>
    </row>
    <row r="717" spans="1:13" ht="25.5" x14ac:dyDescent="0.25">
      <c r="A717" s="13" t="str">
        <f t="shared" si="102"/>
        <v>1</v>
      </c>
      <c r="B717" s="13" t="str">
        <f t="shared" si="103"/>
        <v>9</v>
      </c>
      <c r="C717" s="13" t="str">
        <f t="shared" si="104"/>
        <v>1</v>
      </c>
      <c r="D717" s="13" t="str">
        <f t="shared" si="105"/>
        <v>1</v>
      </c>
      <c r="E717" s="13" t="str">
        <f t="shared" si="106"/>
        <v>99</v>
      </c>
      <c r="F717" s="13" t="str">
        <f t="shared" si="107"/>
        <v>01</v>
      </c>
      <c r="G717" s="13" t="s">
        <v>706</v>
      </c>
      <c r="H717" s="13" t="s">
        <v>2635</v>
      </c>
      <c r="I717" s="16" t="s">
        <v>3223</v>
      </c>
      <c r="J717" s="13"/>
      <c r="K717" s="13"/>
      <c r="L717" s="13"/>
      <c r="M717" s="16"/>
    </row>
    <row r="718" spans="1:13" ht="25.5" x14ac:dyDescent="0.25">
      <c r="A718" s="13" t="str">
        <f t="shared" si="102"/>
        <v>1</v>
      </c>
      <c r="B718" s="13" t="str">
        <f t="shared" si="103"/>
        <v>9</v>
      </c>
      <c r="C718" s="13" t="str">
        <f t="shared" si="104"/>
        <v>1</v>
      </c>
      <c r="D718" s="13" t="str">
        <f t="shared" si="105"/>
        <v>1</v>
      </c>
      <c r="E718" s="13" t="str">
        <f t="shared" si="106"/>
        <v>99</v>
      </c>
      <c r="F718" s="13" t="str">
        <f t="shared" si="107"/>
        <v>02</v>
      </c>
      <c r="G718" s="13" t="s">
        <v>707</v>
      </c>
      <c r="H718" s="13" t="s">
        <v>2636</v>
      </c>
      <c r="I718" s="16" t="s">
        <v>3224</v>
      </c>
      <c r="J718" s="13"/>
      <c r="K718" s="13"/>
      <c r="L718" s="13"/>
      <c r="M718" s="16"/>
    </row>
    <row r="719" spans="1:13" ht="25.5" x14ac:dyDescent="0.25">
      <c r="A719" s="19" t="str">
        <f t="shared" si="102"/>
        <v>1</v>
      </c>
      <c r="B719" s="19" t="str">
        <f t="shared" si="103"/>
        <v>9</v>
      </c>
      <c r="C719" s="19" t="str">
        <f t="shared" si="104"/>
        <v>1</v>
      </c>
      <c r="D719" s="19" t="str">
        <f t="shared" si="105"/>
        <v>2</v>
      </c>
      <c r="E719" s="19" t="str">
        <f t="shared" si="106"/>
        <v>00</v>
      </c>
      <c r="F719" s="19" t="str">
        <f t="shared" si="107"/>
        <v>00</v>
      </c>
      <c r="G719" s="19" t="s">
        <v>708</v>
      </c>
      <c r="H719" s="19" t="s">
        <v>2637</v>
      </c>
      <c r="I719" s="20" t="s">
        <v>3225</v>
      </c>
      <c r="J719" s="19"/>
      <c r="K719" s="19"/>
      <c r="L719" s="19"/>
      <c r="M719" s="20"/>
    </row>
    <row r="720" spans="1:13" ht="38.25" x14ac:dyDescent="0.25">
      <c r="A720" s="21" t="str">
        <f t="shared" si="102"/>
        <v>1</v>
      </c>
      <c r="B720" s="21" t="str">
        <f t="shared" si="103"/>
        <v>9</v>
      </c>
      <c r="C720" s="21" t="str">
        <f t="shared" si="104"/>
        <v>1</v>
      </c>
      <c r="D720" s="21" t="str">
        <f t="shared" si="105"/>
        <v>2</v>
      </c>
      <c r="E720" s="21" t="str">
        <f t="shared" si="106"/>
        <v>01</v>
      </c>
      <c r="F720" s="21" t="str">
        <f t="shared" si="107"/>
        <v>00</v>
      </c>
      <c r="G720" s="21" t="s">
        <v>709</v>
      </c>
      <c r="H720" s="21" t="s">
        <v>2638</v>
      </c>
      <c r="I720" s="22" t="s">
        <v>3226</v>
      </c>
      <c r="J720" s="21"/>
      <c r="K720" s="21"/>
      <c r="L720" s="21"/>
      <c r="M720" s="21"/>
    </row>
    <row r="721" spans="1:13" ht="38.25" x14ac:dyDescent="0.25">
      <c r="A721" s="13" t="str">
        <f t="shared" si="102"/>
        <v>1</v>
      </c>
      <c r="B721" s="13" t="str">
        <f t="shared" si="103"/>
        <v>9</v>
      </c>
      <c r="C721" s="13" t="str">
        <f t="shared" si="104"/>
        <v>1</v>
      </c>
      <c r="D721" s="13" t="str">
        <f t="shared" si="105"/>
        <v>2</v>
      </c>
      <c r="E721" s="13" t="str">
        <f t="shared" si="106"/>
        <v>01</v>
      </c>
      <c r="F721" s="13" t="str">
        <f t="shared" si="107"/>
        <v>01</v>
      </c>
      <c r="G721" s="13" t="s">
        <v>710</v>
      </c>
      <c r="H721" s="13" t="s">
        <v>2639</v>
      </c>
      <c r="I721" s="16" t="s">
        <v>3227</v>
      </c>
      <c r="J721" s="13"/>
      <c r="K721" s="13"/>
      <c r="L721" s="13"/>
      <c r="M721" s="16"/>
    </row>
    <row r="722" spans="1:13" ht="38.25" x14ac:dyDescent="0.25">
      <c r="A722" s="13" t="str">
        <f t="shared" si="102"/>
        <v>1</v>
      </c>
      <c r="B722" s="13" t="str">
        <f t="shared" si="103"/>
        <v>9</v>
      </c>
      <c r="C722" s="13" t="str">
        <f t="shared" si="104"/>
        <v>1</v>
      </c>
      <c r="D722" s="13" t="str">
        <f t="shared" si="105"/>
        <v>2</v>
      </c>
      <c r="E722" s="13" t="str">
        <f t="shared" si="106"/>
        <v>01</v>
      </c>
      <c r="F722" s="13" t="str">
        <f t="shared" si="107"/>
        <v>02</v>
      </c>
      <c r="G722" s="13" t="s">
        <v>711</v>
      </c>
      <c r="H722" s="13" t="s">
        <v>2640</v>
      </c>
      <c r="I722" s="16" t="s">
        <v>3228</v>
      </c>
      <c r="J722" s="13"/>
      <c r="K722" s="13"/>
      <c r="L722" s="13"/>
      <c r="M722" s="16"/>
    </row>
    <row r="723" spans="1:13" ht="25.5" x14ac:dyDescent="0.25">
      <c r="A723" s="21" t="str">
        <f t="shared" si="102"/>
        <v>1</v>
      </c>
      <c r="B723" s="21" t="str">
        <f t="shared" si="103"/>
        <v>9</v>
      </c>
      <c r="C723" s="21" t="str">
        <f t="shared" si="104"/>
        <v>1</v>
      </c>
      <c r="D723" s="21" t="str">
        <f t="shared" si="105"/>
        <v>2</v>
      </c>
      <c r="E723" s="21" t="str">
        <f t="shared" si="106"/>
        <v>02</v>
      </c>
      <c r="F723" s="21" t="str">
        <f t="shared" si="107"/>
        <v>00</v>
      </c>
      <c r="G723" s="21" t="s">
        <v>712</v>
      </c>
      <c r="H723" s="21" t="s">
        <v>2641</v>
      </c>
      <c r="I723" s="22" t="s">
        <v>3229</v>
      </c>
      <c r="J723" s="21"/>
      <c r="K723" s="21"/>
      <c r="L723" s="21"/>
      <c r="M723" s="21"/>
    </row>
    <row r="724" spans="1:13" ht="51" x14ac:dyDescent="0.25">
      <c r="A724" s="21" t="str">
        <f t="shared" si="102"/>
        <v>1</v>
      </c>
      <c r="B724" s="21" t="str">
        <f t="shared" si="103"/>
        <v>9</v>
      </c>
      <c r="C724" s="21" t="str">
        <f t="shared" si="104"/>
        <v>1</v>
      </c>
      <c r="D724" s="21" t="str">
        <f t="shared" si="105"/>
        <v>2</v>
      </c>
      <c r="E724" s="21" t="str">
        <f t="shared" si="106"/>
        <v>03</v>
      </c>
      <c r="F724" s="21" t="str">
        <f t="shared" si="107"/>
        <v>00</v>
      </c>
      <c r="G724" s="21" t="s">
        <v>713</v>
      </c>
      <c r="H724" s="21" t="s">
        <v>2642</v>
      </c>
      <c r="I724" s="22" t="s">
        <v>3230</v>
      </c>
      <c r="J724" s="21"/>
      <c r="K724" s="21"/>
      <c r="L724" s="21"/>
      <c r="M724" s="21"/>
    </row>
    <row r="725" spans="1:13" ht="63.75" x14ac:dyDescent="0.25">
      <c r="A725" s="13" t="str">
        <f t="shared" si="102"/>
        <v>1</v>
      </c>
      <c r="B725" s="13" t="str">
        <f t="shared" si="103"/>
        <v>9</v>
      </c>
      <c r="C725" s="13" t="str">
        <f t="shared" si="104"/>
        <v>1</v>
      </c>
      <c r="D725" s="13" t="str">
        <f t="shared" si="105"/>
        <v>2</v>
      </c>
      <c r="E725" s="13" t="str">
        <f t="shared" si="106"/>
        <v>03</v>
      </c>
      <c r="F725" s="13" t="str">
        <f t="shared" si="107"/>
        <v>01</v>
      </c>
      <c r="G725" s="13" t="s">
        <v>714</v>
      </c>
      <c r="H725" s="13" t="s">
        <v>2643</v>
      </c>
      <c r="I725" s="16" t="s">
        <v>3231</v>
      </c>
      <c r="J725" s="13"/>
      <c r="K725" s="13"/>
      <c r="L725" s="13"/>
      <c r="M725" s="16"/>
    </row>
    <row r="726" spans="1:13" ht="63.75" x14ac:dyDescent="0.25">
      <c r="A726" s="13" t="str">
        <f t="shared" si="102"/>
        <v>1</v>
      </c>
      <c r="B726" s="13" t="str">
        <f t="shared" si="103"/>
        <v>9</v>
      </c>
      <c r="C726" s="13" t="str">
        <f t="shared" si="104"/>
        <v>1</v>
      </c>
      <c r="D726" s="13" t="str">
        <f t="shared" si="105"/>
        <v>2</v>
      </c>
      <c r="E726" s="13" t="str">
        <f t="shared" si="106"/>
        <v>03</v>
      </c>
      <c r="F726" s="13" t="str">
        <f t="shared" si="107"/>
        <v>02</v>
      </c>
      <c r="G726" s="13" t="s">
        <v>715</v>
      </c>
      <c r="H726" s="13" t="s">
        <v>2644</v>
      </c>
      <c r="I726" s="16" t="s">
        <v>3232</v>
      </c>
      <c r="J726" s="13"/>
      <c r="K726" s="13"/>
      <c r="L726" s="13"/>
      <c r="M726" s="16"/>
    </row>
    <row r="727" spans="1:13" ht="25.5" x14ac:dyDescent="0.25">
      <c r="A727" s="21" t="str">
        <f t="shared" si="102"/>
        <v>1</v>
      </c>
      <c r="B727" s="21" t="str">
        <f t="shared" si="103"/>
        <v>9</v>
      </c>
      <c r="C727" s="21" t="str">
        <f t="shared" si="104"/>
        <v>1</v>
      </c>
      <c r="D727" s="21" t="str">
        <f t="shared" si="105"/>
        <v>2</v>
      </c>
      <c r="E727" s="21" t="str">
        <f t="shared" si="106"/>
        <v>07</v>
      </c>
      <c r="F727" s="21" t="str">
        <f t="shared" si="107"/>
        <v>00</v>
      </c>
      <c r="G727" s="21" t="s">
        <v>716</v>
      </c>
      <c r="H727" s="21" t="s">
        <v>2645</v>
      </c>
      <c r="I727" s="22" t="s">
        <v>3233</v>
      </c>
      <c r="J727" s="21"/>
      <c r="K727" s="21"/>
      <c r="L727" s="21"/>
      <c r="M727" s="21"/>
    </row>
    <row r="728" spans="1:13" ht="38.25" x14ac:dyDescent="0.25">
      <c r="A728" s="13" t="str">
        <f t="shared" si="102"/>
        <v>1</v>
      </c>
      <c r="B728" s="13" t="str">
        <f t="shared" si="103"/>
        <v>9</v>
      </c>
      <c r="C728" s="13" t="str">
        <f t="shared" si="104"/>
        <v>1</v>
      </c>
      <c r="D728" s="13" t="str">
        <f t="shared" si="105"/>
        <v>2</v>
      </c>
      <c r="E728" s="13" t="str">
        <f t="shared" si="106"/>
        <v>07</v>
      </c>
      <c r="F728" s="13" t="str">
        <f t="shared" si="107"/>
        <v>01</v>
      </c>
      <c r="G728" s="13" t="s">
        <v>717</v>
      </c>
      <c r="H728" s="13" t="s">
        <v>2646</v>
      </c>
      <c r="I728" s="16" t="s">
        <v>3234</v>
      </c>
      <c r="J728" s="13"/>
      <c r="K728" s="13"/>
      <c r="L728" s="13"/>
      <c r="M728" s="16"/>
    </row>
    <row r="729" spans="1:13" ht="38.25" x14ac:dyDescent="0.25">
      <c r="A729" s="13" t="str">
        <f t="shared" si="102"/>
        <v>1</v>
      </c>
      <c r="B729" s="13" t="str">
        <f t="shared" si="103"/>
        <v>9</v>
      </c>
      <c r="C729" s="13" t="str">
        <f t="shared" si="104"/>
        <v>1</v>
      </c>
      <c r="D729" s="13" t="str">
        <f t="shared" si="105"/>
        <v>2</v>
      </c>
      <c r="E729" s="13" t="str">
        <f t="shared" si="106"/>
        <v>07</v>
      </c>
      <c r="F729" s="13" t="str">
        <f t="shared" si="107"/>
        <v>02</v>
      </c>
      <c r="G729" s="13" t="s">
        <v>718</v>
      </c>
      <c r="H729" s="13" t="s">
        <v>2647</v>
      </c>
      <c r="I729" s="16" t="s">
        <v>3235</v>
      </c>
      <c r="J729" s="13"/>
      <c r="K729" s="13"/>
      <c r="L729" s="13"/>
      <c r="M729" s="16"/>
    </row>
    <row r="730" spans="1:13" ht="38.25" x14ac:dyDescent="0.25">
      <c r="A730" s="21" t="str">
        <f t="shared" si="102"/>
        <v>1</v>
      </c>
      <c r="B730" s="21" t="str">
        <f t="shared" si="103"/>
        <v>9</v>
      </c>
      <c r="C730" s="21" t="str">
        <f t="shared" si="104"/>
        <v>1</v>
      </c>
      <c r="D730" s="21" t="str">
        <f t="shared" si="105"/>
        <v>2</v>
      </c>
      <c r="E730" s="21" t="str">
        <f t="shared" si="106"/>
        <v>10</v>
      </c>
      <c r="F730" s="21" t="str">
        <f t="shared" si="107"/>
        <v>00</v>
      </c>
      <c r="G730" s="21" t="s">
        <v>719</v>
      </c>
      <c r="H730" s="21" t="s">
        <v>2648</v>
      </c>
      <c r="I730" s="22" t="s">
        <v>4024</v>
      </c>
      <c r="J730" s="21"/>
      <c r="K730" s="21" t="s">
        <v>4018</v>
      </c>
      <c r="L730" s="21" t="s">
        <v>4222</v>
      </c>
      <c r="M730" s="21"/>
    </row>
    <row r="731" spans="1:13" ht="51" x14ac:dyDescent="0.25">
      <c r="A731" s="13" t="str">
        <f t="shared" si="102"/>
        <v>1</v>
      </c>
      <c r="B731" s="13" t="str">
        <f t="shared" si="103"/>
        <v>9</v>
      </c>
      <c r="C731" s="13" t="str">
        <f t="shared" si="104"/>
        <v>1</v>
      </c>
      <c r="D731" s="13" t="str">
        <f t="shared" si="105"/>
        <v>2</v>
      </c>
      <c r="E731" s="13" t="str">
        <f t="shared" si="106"/>
        <v>10</v>
      </c>
      <c r="F731" s="13" t="str">
        <f t="shared" si="107"/>
        <v>01</v>
      </c>
      <c r="G731" s="13" t="s">
        <v>720</v>
      </c>
      <c r="H731" s="13" t="s">
        <v>2649</v>
      </c>
      <c r="I731" s="16" t="s">
        <v>3964</v>
      </c>
      <c r="J731" s="13"/>
      <c r="K731" s="13" t="s">
        <v>46</v>
      </c>
      <c r="L731" s="13" t="s">
        <v>4223</v>
      </c>
      <c r="M731" s="16"/>
    </row>
    <row r="732" spans="1:13" ht="25.5" x14ac:dyDescent="0.25">
      <c r="A732" s="13" t="str">
        <f t="shared" si="102"/>
        <v>1</v>
      </c>
      <c r="B732" s="13" t="str">
        <f t="shared" si="103"/>
        <v>9</v>
      </c>
      <c r="C732" s="13" t="str">
        <f t="shared" si="104"/>
        <v>1</v>
      </c>
      <c r="D732" s="13" t="str">
        <f t="shared" si="105"/>
        <v>2</v>
      </c>
      <c r="E732" s="13" t="str">
        <f t="shared" si="106"/>
        <v>10</v>
      </c>
      <c r="F732" s="13" t="str">
        <f t="shared" si="107"/>
        <v>02</v>
      </c>
      <c r="G732" s="13" t="s">
        <v>721</v>
      </c>
      <c r="H732" s="13" t="s">
        <v>2650</v>
      </c>
      <c r="I732" s="16" t="s">
        <v>3965</v>
      </c>
      <c r="J732" s="13"/>
      <c r="K732" s="13" t="s">
        <v>46</v>
      </c>
      <c r="L732" s="13" t="s">
        <v>4223</v>
      </c>
      <c r="M732" s="16"/>
    </row>
    <row r="733" spans="1:13" ht="38.25" x14ac:dyDescent="0.25">
      <c r="A733" s="21" t="str">
        <f t="shared" si="102"/>
        <v>1</v>
      </c>
      <c r="B733" s="21" t="str">
        <f t="shared" si="103"/>
        <v>9</v>
      </c>
      <c r="C733" s="21" t="str">
        <f t="shared" si="104"/>
        <v>1</v>
      </c>
      <c r="D733" s="21" t="str">
        <f t="shared" si="105"/>
        <v>2</v>
      </c>
      <c r="E733" s="21" t="str">
        <f t="shared" si="106"/>
        <v>29</v>
      </c>
      <c r="F733" s="21" t="str">
        <f t="shared" si="107"/>
        <v>00</v>
      </c>
      <c r="G733" s="21" t="s">
        <v>722</v>
      </c>
      <c r="H733" s="21" t="s">
        <v>2651</v>
      </c>
      <c r="I733" s="22" t="s">
        <v>3236</v>
      </c>
      <c r="J733" s="21"/>
      <c r="K733" s="21"/>
      <c r="L733" s="21"/>
      <c r="M733" s="21"/>
    </row>
    <row r="734" spans="1:13" ht="38.25" x14ac:dyDescent="0.25">
      <c r="A734" s="13" t="str">
        <f t="shared" si="102"/>
        <v>1</v>
      </c>
      <c r="B734" s="13" t="str">
        <f t="shared" si="103"/>
        <v>9</v>
      </c>
      <c r="C734" s="13" t="str">
        <f t="shared" si="104"/>
        <v>1</v>
      </c>
      <c r="D734" s="13" t="str">
        <f t="shared" si="105"/>
        <v>2</v>
      </c>
      <c r="E734" s="13" t="str">
        <f t="shared" si="106"/>
        <v>29</v>
      </c>
      <c r="F734" s="13" t="str">
        <f t="shared" si="107"/>
        <v>01</v>
      </c>
      <c r="G734" s="13" t="s">
        <v>723</v>
      </c>
      <c r="H734" s="13" t="s">
        <v>2652</v>
      </c>
      <c r="I734" s="16" t="s">
        <v>3237</v>
      </c>
      <c r="J734" s="13"/>
      <c r="K734" s="13"/>
      <c r="L734" s="13"/>
      <c r="M734" s="16"/>
    </row>
    <row r="735" spans="1:13" ht="38.25" x14ac:dyDescent="0.25">
      <c r="A735" s="13" t="str">
        <f t="shared" si="102"/>
        <v>1</v>
      </c>
      <c r="B735" s="13" t="str">
        <f t="shared" si="103"/>
        <v>9</v>
      </c>
      <c r="C735" s="13" t="str">
        <f t="shared" si="104"/>
        <v>1</v>
      </c>
      <c r="D735" s="13" t="str">
        <f t="shared" si="105"/>
        <v>2</v>
      </c>
      <c r="E735" s="13" t="str">
        <f t="shared" si="106"/>
        <v>29</v>
      </c>
      <c r="F735" s="13" t="str">
        <f t="shared" si="107"/>
        <v>02</v>
      </c>
      <c r="G735" s="13" t="s">
        <v>724</v>
      </c>
      <c r="H735" s="13" t="s">
        <v>2653</v>
      </c>
      <c r="I735" s="16" t="s">
        <v>3238</v>
      </c>
      <c r="J735" s="13"/>
      <c r="K735" s="13"/>
      <c r="L735" s="13"/>
      <c r="M735" s="16"/>
    </row>
    <row r="736" spans="1:13" ht="38.25" x14ac:dyDescent="0.25">
      <c r="A736" s="21" t="str">
        <f t="shared" si="102"/>
        <v>1</v>
      </c>
      <c r="B736" s="21" t="str">
        <f t="shared" si="103"/>
        <v>9</v>
      </c>
      <c r="C736" s="21" t="str">
        <f t="shared" si="104"/>
        <v>1</v>
      </c>
      <c r="D736" s="21" t="str">
        <f t="shared" si="105"/>
        <v>2</v>
      </c>
      <c r="E736" s="21" t="str">
        <f t="shared" si="106"/>
        <v>30</v>
      </c>
      <c r="F736" s="21" t="str">
        <f t="shared" si="107"/>
        <v>00</v>
      </c>
      <c r="G736" s="21" t="s">
        <v>725</v>
      </c>
      <c r="H736" s="21" t="s">
        <v>2654</v>
      </c>
      <c r="I736" s="22" t="s">
        <v>3239</v>
      </c>
      <c r="J736" s="21"/>
      <c r="K736" s="21"/>
      <c r="L736" s="21"/>
      <c r="M736" s="21"/>
    </row>
    <row r="737" spans="1:13" ht="38.25" x14ac:dyDescent="0.25">
      <c r="A737" s="13" t="str">
        <f t="shared" si="102"/>
        <v>1</v>
      </c>
      <c r="B737" s="13" t="str">
        <f t="shared" si="103"/>
        <v>9</v>
      </c>
      <c r="C737" s="13" t="str">
        <f t="shared" si="104"/>
        <v>1</v>
      </c>
      <c r="D737" s="13" t="str">
        <f t="shared" si="105"/>
        <v>2</v>
      </c>
      <c r="E737" s="13" t="str">
        <f t="shared" si="106"/>
        <v>30</v>
      </c>
      <c r="F737" s="13" t="str">
        <f t="shared" si="107"/>
        <v>01</v>
      </c>
      <c r="G737" s="13" t="s">
        <v>726</v>
      </c>
      <c r="H737" s="13" t="s">
        <v>2655</v>
      </c>
      <c r="I737" s="16" t="s">
        <v>3240</v>
      </c>
      <c r="J737" s="13"/>
      <c r="K737" s="13"/>
      <c r="L737" s="13"/>
      <c r="M737" s="16"/>
    </row>
    <row r="738" spans="1:13" ht="25.5" x14ac:dyDescent="0.25">
      <c r="A738" s="13" t="str">
        <f t="shared" si="102"/>
        <v>1</v>
      </c>
      <c r="B738" s="13" t="str">
        <f t="shared" si="103"/>
        <v>9</v>
      </c>
      <c r="C738" s="13" t="str">
        <f t="shared" si="104"/>
        <v>1</v>
      </c>
      <c r="D738" s="13" t="str">
        <f t="shared" si="105"/>
        <v>2</v>
      </c>
      <c r="E738" s="13" t="str">
        <f t="shared" si="106"/>
        <v>30</v>
      </c>
      <c r="F738" s="13" t="str">
        <f t="shared" si="107"/>
        <v>02</v>
      </c>
      <c r="G738" s="13" t="s">
        <v>727</v>
      </c>
      <c r="H738" s="13" t="s">
        <v>2656</v>
      </c>
      <c r="I738" s="16" t="s">
        <v>3241</v>
      </c>
      <c r="J738" s="13"/>
      <c r="K738" s="13"/>
      <c r="L738" s="13"/>
      <c r="M738" s="16"/>
    </row>
    <row r="739" spans="1:13" ht="38.25" x14ac:dyDescent="0.25">
      <c r="A739" s="13" t="str">
        <f t="shared" si="102"/>
        <v>1</v>
      </c>
      <c r="B739" s="13" t="str">
        <f t="shared" si="103"/>
        <v>9</v>
      </c>
      <c r="C739" s="13" t="str">
        <f t="shared" si="104"/>
        <v>1</v>
      </c>
      <c r="D739" s="13" t="str">
        <f t="shared" si="105"/>
        <v>2</v>
      </c>
      <c r="E739" s="13" t="str">
        <f t="shared" si="106"/>
        <v>30</v>
      </c>
      <c r="F739" s="13" t="str">
        <f t="shared" si="107"/>
        <v>03</v>
      </c>
      <c r="G739" s="13" t="s">
        <v>728</v>
      </c>
      <c r="H739" s="13" t="s">
        <v>2657</v>
      </c>
      <c r="I739" s="16" t="s">
        <v>3242</v>
      </c>
      <c r="J739" s="13"/>
      <c r="K739" s="13"/>
      <c r="L739" s="13"/>
      <c r="M739" s="16"/>
    </row>
    <row r="740" spans="1:13" ht="38.25" x14ac:dyDescent="0.25">
      <c r="A740" s="13" t="str">
        <f t="shared" si="102"/>
        <v>1</v>
      </c>
      <c r="B740" s="13" t="str">
        <f t="shared" si="103"/>
        <v>9</v>
      </c>
      <c r="C740" s="13" t="str">
        <f t="shared" si="104"/>
        <v>1</v>
      </c>
      <c r="D740" s="13" t="str">
        <f t="shared" si="105"/>
        <v>2</v>
      </c>
      <c r="E740" s="13" t="str">
        <f t="shared" si="106"/>
        <v>30</v>
      </c>
      <c r="F740" s="13" t="str">
        <f t="shared" si="107"/>
        <v>04</v>
      </c>
      <c r="G740" s="13" t="s">
        <v>729</v>
      </c>
      <c r="H740" s="13" t="s">
        <v>2658</v>
      </c>
      <c r="I740" s="16" t="s">
        <v>3243</v>
      </c>
      <c r="J740" s="13"/>
      <c r="K740" s="13"/>
      <c r="L740" s="13"/>
      <c r="M740" s="16"/>
    </row>
    <row r="741" spans="1:13" ht="38.25" x14ac:dyDescent="0.25">
      <c r="A741" s="13" t="str">
        <f t="shared" si="102"/>
        <v>1</v>
      </c>
      <c r="B741" s="13" t="str">
        <f t="shared" si="103"/>
        <v>9</v>
      </c>
      <c r="C741" s="13" t="str">
        <f t="shared" si="104"/>
        <v>1</v>
      </c>
      <c r="D741" s="13" t="str">
        <f t="shared" si="105"/>
        <v>2</v>
      </c>
      <c r="E741" s="13" t="str">
        <f t="shared" si="106"/>
        <v>30</v>
      </c>
      <c r="F741" s="13" t="str">
        <f t="shared" si="107"/>
        <v>05</v>
      </c>
      <c r="G741" s="13" t="s">
        <v>730</v>
      </c>
      <c r="H741" s="13" t="s">
        <v>2659</v>
      </c>
      <c r="I741" s="16" t="s">
        <v>3244</v>
      </c>
      <c r="J741" s="13"/>
      <c r="K741" s="13"/>
      <c r="L741" s="13"/>
      <c r="M741" s="16"/>
    </row>
    <row r="742" spans="1:13" ht="25.5" x14ac:dyDescent="0.25">
      <c r="A742" s="13" t="str">
        <f t="shared" si="102"/>
        <v>1</v>
      </c>
      <c r="B742" s="13" t="str">
        <f t="shared" si="103"/>
        <v>9</v>
      </c>
      <c r="C742" s="13" t="str">
        <f t="shared" si="104"/>
        <v>1</v>
      </c>
      <c r="D742" s="13" t="str">
        <f t="shared" si="105"/>
        <v>2</v>
      </c>
      <c r="E742" s="13" t="str">
        <f t="shared" si="106"/>
        <v>30</v>
      </c>
      <c r="F742" s="13" t="str">
        <f t="shared" si="107"/>
        <v>06</v>
      </c>
      <c r="G742" s="13" t="s">
        <v>731</v>
      </c>
      <c r="H742" s="13" t="s">
        <v>2660</v>
      </c>
      <c r="I742" s="16" t="s">
        <v>3245</v>
      </c>
      <c r="J742" s="13"/>
      <c r="K742" s="13"/>
      <c r="L742" s="13"/>
      <c r="M742" s="16"/>
    </row>
    <row r="743" spans="1:13" ht="38.25" x14ac:dyDescent="0.25">
      <c r="A743" s="13" t="str">
        <f t="shared" si="102"/>
        <v>1</v>
      </c>
      <c r="B743" s="13" t="str">
        <f t="shared" si="103"/>
        <v>9</v>
      </c>
      <c r="C743" s="13" t="str">
        <f t="shared" si="104"/>
        <v>1</v>
      </c>
      <c r="D743" s="13" t="str">
        <f t="shared" si="105"/>
        <v>2</v>
      </c>
      <c r="E743" s="13" t="str">
        <f t="shared" si="106"/>
        <v>30</v>
      </c>
      <c r="F743" s="13" t="str">
        <f t="shared" si="107"/>
        <v>07</v>
      </c>
      <c r="G743" s="13" t="s">
        <v>732</v>
      </c>
      <c r="H743" s="13" t="s">
        <v>2661</v>
      </c>
      <c r="I743" s="16" t="s">
        <v>3246</v>
      </c>
      <c r="J743" s="13"/>
      <c r="K743" s="13"/>
      <c r="L743" s="13"/>
      <c r="M743" s="16"/>
    </row>
    <row r="744" spans="1:13" ht="38.25" x14ac:dyDescent="0.25">
      <c r="A744" s="13" t="str">
        <f t="shared" si="102"/>
        <v>1</v>
      </c>
      <c r="B744" s="13" t="str">
        <f t="shared" si="103"/>
        <v>9</v>
      </c>
      <c r="C744" s="13" t="str">
        <f t="shared" si="104"/>
        <v>1</v>
      </c>
      <c r="D744" s="13" t="str">
        <f t="shared" si="105"/>
        <v>2</v>
      </c>
      <c r="E744" s="13" t="str">
        <f t="shared" si="106"/>
        <v>30</v>
      </c>
      <c r="F744" s="13" t="str">
        <f t="shared" si="107"/>
        <v>08</v>
      </c>
      <c r="G744" s="13" t="s">
        <v>733</v>
      </c>
      <c r="H744" s="13" t="s">
        <v>2662</v>
      </c>
      <c r="I744" s="16" t="s">
        <v>3247</v>
      </c>
      <c r="J744" s="13"/>
      <c r="K744" s="13"/>
      <c r="L744" s="13"/>
      <c r="M744" s="16"/>
    </row>
    <row r="745" spans="1:13" ht="38.25" x14ac:dyDescent="0.25">
      <c r="A745" s="13" t="str">
        <f t="shared" si="102"/>
        <v>1</v>
      </c>
      <c r="B745" s="13" t="str">
        <f t="shared" si="103"/>
        <v>9</v>
      </c>
      <c r="C745" s="13" t="str">
        <f t="shared" si="104"/>
        <v>1</v>
      </c>
      <c r="D745" s="13" t="str">
        <f t="shared" si="105"/>
        <v>2</v>
      </c>
      <c r="E745" s="13" t="str">
        <f t="shared" si="106"/>
        <v>30</v>
      </c>
      <c r="F745" s="13" t="str">
        <f t="shared" si="107"/>
        <v>09</v>
      </c>
      <c r="G745" s="13" t="s">
        <v>734</v>
      </c>
      <c r="H745" s="13" t="s">
        <v>2663</v>
      </c>
      <c r="I745" s="16" t="s">
        <v>3248</v>
      </c>
      <c r="J745" s="13"/>
      <c r="K745" s="13"/>
      <c r="L745" s="13"/>
      <c r="M745" s="16"/>
    </row>
    <row r="746" spans="1:13" ht="38.25" x14ac:dyDescent="0.25">
      <c r="A746" s="13" t="str">
        <f t="shared" si="102"/>
        <v>1</v>
      </c>
      <c r="B746" s="13" t="str">
        <f t="shared" si="103"/>
        <v>9</v>
      </c>
      <c r="C746" s="13" t="str">
        <f t="shared" si="104"/>
        <v>1</v>
      </c>
      <c r="D746" s="13" t="str">
        <f t="shared" si="105"/>
        <v>2</v>
      </c>
      <c r="E746" s="13" t="str">
        <f t="shared" si="106"/>
        <v>30</v>
      </c>
      <c r="F746" s="13" t="str">
        <f t="shared" si="107"/>
        <v>10</v>
      </c>
      <c r="G746" s="13" t="s">
        <v>735</v>
      </c>
      <c r="H746" s="13" t="s">
        <v>2664</v>
      </c>
      <c r="I746" s="16" t="s">
        <v>3249</v>
      </c>
      <c r="J746" s="13"/>
      <c r="K746" s="13"/>
      <c r="L746" s="13"/>
      <c r="M746" s="16"/>
    </row>
    <row r="747" spans="1:13" ht="38.25" x14ac:dyDescent="0.25">
      <c r="A747" s="13" t="str">
        <f t="shared" si="102"/>
        <v>1</v>
      </c>
      <c r="B747" s="13" t="str">
        <f t="shared" si="103"/>
        <v>9</v>
      </c>
      <c r="C747" s="13" t="str">
        <f t="shared" si="104"/>
        <v>1</v>
      </c>
      <c r="D747" s="13" t="str">
        <f t="shared" si="105"/>
        <v>2</v>
      </c>
      <c r="E747" s="13" t="str">
        <f t="shared" si="106"/>
        <v>30</v>
      </c>
      <c r="F747" s="13" t="str">
        <f t="shared" si="107"/>
        <v>11</v>
      </c>
      <c r="G747" s="13" t="s">
        <v>736</v>
      </c>
      <c r="H747" s="13" t="s">
        <v>2665</v>
      </c>
      <c r="I747" s="16" t="s">
        <v>3250</v>
      </c>
      <c r="J747" s="13"/>
      <c r="K747" s="13"/>
      <c r="L747" s="13"/>
      <c r="M747" s="16"/>
    </row>
    <row r="748" spans="1:13" ht="25.5" x14ac:dyDescent="0.25">
      <c r="A748" s="13" t="str">
        <f t="shared" si="102"/>
        <v>1</v>
      </c>
      <c r="B748" s="13" t="str">
        <f t="shared" si="103"/>
        <v>9</v>
      </c>
      <c r="C748" s="13" t="str">
        <f t="shared" si="104"/>
        <v>1</v>
      </c>
      <c r="D748" s="13" t="str">
        <f t="shared" si="105"/>
        <v>2</v>
      </c>
      <c r="E748" s="13" t="str">
        <f t="shared" si="106"/>
        <v>30</v>
      </c>
      <c r="F748" s="13" t="str">
        <f t="shared" si="107"/>
        <v>12</v>
      </c>
      <c r="G748" s="13" t="s">
        <v>737</v>
      </c>
      <c r="H748" s="13" t="s">
        <v>2666</v>
      </c>
      <c r="I748" s="16" t="s">
        <v>3251</v>
      </c>
      <c r="J748" s="13"/>
      <c r="K748" s="13"/>
      <c r="L748" s="13"/>
      <c r="M748" s="16"/>
    </row>
    <row r="749" spans="1:13" ht="25.5" x14ac:dyDescent="0.25">
      <c r="A749" s="13" t="str">
        <f t="shared" si="102"/>
        <v>1</v>
      </c>
      <c r="B749" s="13" t="str">
        <f t="shared" si="103"/>
        <v>9</v>
      </c>
      <c r="C749" s="13" t="str">
        <f t="shared" si="104"/>
        <v>1</v>
      </c>
      <c r="D749" s="13" t="str">
        <f t="shared" si="105"/>
        <v>2</v>
      </c>
      <c r="E749" s="13" t="str">
        <f t="shared" si="106"/>
        <v>30</v>
      </c>
      <c r="F749" s="13" t="str">
        <f t="shared" si="107"/>
        <v>13</v>
      </c>
      <c r="G749" s="13" t="s">
        <v>738</v>
      </c>
      <c r="H749" s="13" t="s">
        <v>2667</v>
      </c>
      <c r="I749" s="16" t="s">
        <v>3252</v>
      </c>
      <c r="J749" s="13"/>
      <c r="K749" s="13"/>
      <c r="L749" s="13"/>
      <c r="M749" s="16"/>
    </row>
    <row r="750" spans="1:13" ht="38.25" x14ac:dyDescent="0.25">
      <c r="A750" s="13" t="str">
        <f t="shared" si="102"/>
        <v>1</v>
      </c>
      <c r="B750" s="13" t="str">
        <f t="shared" si="103"/>
        <v>9</v>
      </c>
      <c r="C750" s="13" t="str">
        <f t="shared" si="104"/>
        <v>1</v>
      </c>
      <c r="D750" s="13" t="str">
        <f t="shared" si="105"/>
        <v>2</v>
      </c>
      <c r="E750" s="13" t="str">
        <f t="shared" si="106"/>
        <v>30</v>
      </c>
      <c r="F750" s="13" t="str">
        <f t="shared" si="107"/>
        <v>14</v>
      </c>
      <c r="G750" s="13" t="s">
        <v>739</v>
      </c>
      <c r="H750" s="13" t="s">
        <v>2668</v>
      </c>
      <c r="I750" s="16" t="s">
        <v>3253</v>
      </c>
      <c r="J750" s="13"/>
      <c r="K750" s="13"/>
      <c r="L750" s="13"/>
      <c r="M750" s="16"/>
    </row>
    <row r="751" spans="1:13" ht="38.25" x14ac:dyDescent="0.25">
      <c r="A751" s="13" t="str">
        <f t="shared" si="102"/>
        <v>1</v>
      </c>
      <c r="B751" s="13" t="str">
        <f t="shared" si="103"/>
        <v>9</v>
      </c>
      <c r="C751" s="13" t="str">
        <f t="shared" si="104"/>
        <v>1</v>
      </c>
      <c r="D751" s="13" t="str">
        <f t="shared" si="105"/>
        <v>2</v>
      </c>
      <c r="E751" s="13" t="str">
        <f t="shared" si="106"/>
        <v>30</v>
      </c>
      <c r="F751" s="13" t="str">
        <f t="shared" si="107"/>
        <v>15</v>
      </c>
      <c r="G751" s="13" t="s">
        <v>740</v>
      </c>
      <c r="H751" s="13" t="s">
        <v>2669</v>
      </c>
      <c r="I751" s="16" t="s">
        <v>3254</v>
      </c>
      <c r="J751" s="13"/>
      <c r="K751" s="13"/>
      <c r="L751" s="13"/>
      <c r="M751" s="16"/>
    </row>
    <row r="752" spans="1:13" ht="25.5" x14ac:dyDescent="0.25">
      <c r="A752" s="13" t="str">
        <f t="shared" si="102"/>
        <v>1</v>
      </c>
      <c r="B752" s="13" t="str">
        <f t="shared" si="103"/>
        <v>9</v>
      </c>
      <c r="C752" s="13" t="str">
        <f t="shared" si="104"/>
        <v>1</v>
      </c>
      <c r="D752" s="13" t="str">
        <f t="shared" si="105"/>
        <v>2</v>
      </c>
      <c r="E752" s="13" t="str">
        <f t="shared" si="106"/>
        <v>30</v>
      </c>
      <c r="F752" s="13" t="str">
        <f t="shared" si="107"/>
        <v>16</v>
      </c>
      <c r="G752" s="13" t="s">
        <v>741</v>
      </c>
      <c r="H752" s="13" t="s">
        <v>2670</v>
      </c>
      <c r="I752" s="16" t="s">
        <v>3255</v>
      </c>
      <c r="J752" s="13"/>
      <c r="K752" s="13"/>
      <c r="L752" s="13"/>
      <c r="M752" s="16"/>
    </row>
    <row r="753" spans="1:13" ht="38.25" x14ac:dyDescent="0.25">
      <c r="A753" s="13" t="str">
        <f t="shared" si="102"/>
        <v>1</v>
      </c>
      <c r="B753" s="13" t="str">
        <f t="shared" si="103"/>
        <v>9</v>
      </c>
      <c r="C753" s="13" t="str">
        <f t="shared" si="104"/>
        <v>1</v>
      </c>
      <c r="D753" s="13" t="str">
        <f t="shared" si="105"/>
        <v>2</v>
      </c>
      <c r="E753" s="13" t="str">
        <f t="shared" si="106"/>
        <v>30</v>
      </c>
      <c r="F753" s="13" t="str">
        <f t="shared" si="107"/>
        <v>17</v>
      </c>
      <c r="G753" s="13" t="s">
        <v>742</v>
      </c>
      <c r="H753" s="13" t="s">
        <v>2671</v>
      </c>
      <c r="I753" s="16" t="s">
        <v>3256</v>
      </c>
      <c r="J753" s="13"/>
      <c r="K753" s="13"/>
      <c r="L753" s="13"/>
      <c r="M753" s="16"/>
    </row>
    <row r="754" spans="1:13" ht="38.25" x14ac:dyDescent="0.25">
      <c r="A754" s="13" t="str">
        <f t="shared" si="102"/>
        <v>1</v>
      </c>
      <c r="B754" s="13" t="str">
        <f t="shared" si="103"/>
        <v>9</v>
      </c>
      <c r="C754" s="13" t="str">
        <f t="shared" si="104"/>
        <v>1</v>
      </c>
      <c r="D754" s="13" t="str">
        <f t="shared" si="105"/>
        <v>2</v>
      </c>
      <c r="E754" s="13" t="str">
        <f t="shared" si="106"/>
        <v>30</v>
      </c>
      <c r="F754" s="13" t="str">
        <f t="shared" si="107"/>
        <v>18</v>
      </c>
      <c r="G754" s="13" t="s">
        <v>743</v>
      </c>
      <c r="H754" s="13" t="s">
        <v>2672</v>
      </c>
      <c r="I754" s="16" t="s">
        <v>3257</v>
      </c>
      <c r="J754" s="13"/>
      <c r="K754" s="13"/>
      <c r="L754" s="13"/>
      <c r="M754" s="16"/>
    </row>
    <row r="755" spans="1:13" ht="38.25" x14ac:dyDescent="0.25">
      <c r="A755" s="13" t="str">
        <f t="shared" si="102"/>
        <v>1</v>
      </c>
      <c r="B755" s="13" t="str">
        <f t="shared" si="103"/>
        <v>9</v>
      </c>
      <c r="C755" s="13" t="str">
        <f t="shared" si="104"/>
        <v>1</v>
      </c>
      <c r="D755" s="13" t="str">
        <f t="shared" si="105"/>
        <v>2</v>
      </c>
      <c r="E755" s="13" t="str">
        <f t="shared" si="106"/>
        <v>30</v>
      </c>
      <c r="F755" s="13" t="str">
        <f t="shared" si="107"/>
        <v>19</v>
      </c>
      <c r="G755" s="13" t="s">
        <v>744</v>
      </c>
      <c r="H755" s="13" t="s">
        <v>2673</v>
      </c>
      <c r="I755" s="16" t="s">
        <v>3258</v>
      </c>
      <c r="J755" s="13"/>
      <c r="K755" s="13"/>
      <c r="L755" s="13"/>
      <c r="M755" s="16"/>
    </row>
    <row r="756" spans="1:13" ht="25.5" x14ac:dyDescent="0.25">
      <c r="A756" s="13" t="str">
        <f t="shared" si="102"/>
        <v>1</v>
      </c>
      <c r="B756" s="13" t="str">
        <f t="shared" si="103"/>
        <v>9</v>
      </c>
      <c r="C756" s="13" t="str">
        <f t="shared" si="104"/>
        <v>1</v>
      </c>
      <c r="D756" s="13" t="str">
        <f t="shared" si="105"/>
        <v>2</v>
      </c>
      <c r="E756" s="13" t="str">
        <f t="shared" si="106"/>
        <v>30</v>
      </c>
      <c r="F756" s="13" t="str">
        <f t="shared" si="107"/>
        <v>20</v>
      </c>
      <c r="G756" s="13" t="s">
        <v>745</v>
      </c>
      <c r="H756" s="13" t="s">
        <v>2674</v>
      </c>
      <c r="I756" s="16" t="s">
        <v>3259</v>
      </c>
      <c r="J756" s="13"/>
      <c r="K756" s="13"/>
      <c r="L756" s="13"/>
      <c r="M756" s="16"/>
    </row>
    <row r="757" spans="1:13" ht="38.25" x14ac:dyDescent="0.25">
      <c r="A757" s="13" t="str">
        <f t="shared" si="102"/>
        <v>1</v>
      </c>
      <c r="B757" s="13" t="str">
        <f t="shared" si="103"/>
        <v>9</v>
      </c>
      <c r="C757" s="13" t="str">
        <f t="shared" si="104"/>
        <v>1</v>
      </c>
      <c r="D757" s="13" t="str">
        <f t="shared" si="105"/>
        <v>2</v>
      </c>
      <c r="E757" s="13" t="str">
        <f t="shared" si="106"/>
        <v>30</v>
      </c>
      <c r="F757" s="13" t="str">
        <f t="shared" si="107"/>
        <v>21</v>
      </c>
      <c r="G757" s="13" t="s">
        <v>746</v>
      </c>
      <c r="H757" s="13" t="s">
        <v>2675</v>
      </c>
      <c r="I757" s="16" t="s">
        <v>3260</v>
      </c>
      <c r="J757" s="13"/>
      <c r="K757" s="13"/>
      <c r="L757" s="13"/>
      <c r="M757" s="16"/>
    </row>
    <row r="758" spans="1:13" ht="51" x14ac:dyDescent="0.25">
      <c r="A758" s="13" t="str">
        <f t="shared" si="102"/>
        <v>1</v>
      </c>
      <c r="B758" s="13" t="str">
        <f t="shared" si="103"/>
        <v>9</v>
      </c>
      <c r="C758" s="13" t="str">
        <f t="shared" si="104"/>
        <v>1</v>
      </c>
      <c r="D758" s="13" t="str">
        <f t="shared" si="105"/>
        <v>2</v>
      </c>
      <c r="E758" s="13" t="str">
        <f t="shared" si="106"/>
        <v>30</v>
      </c>
      <c r="F758" s="13" t="str">
        <f t="shared" si="107"/>
        <v>24</v>
      </c>
      <c r="G758" s="13" t="s">
        <v>747</v>
      </c>
      <c r="H758" s="13" t="s">
        <v>2676</v>
      </c>
      <c r="I758" s="16" t="s">
        <v>3261</v>
      </c>
      <c r="J758" s="13"/>
      <c r="K758" s="13"/>
      <c r="L758" s="13"/>
      <c r="M758" s="16"/>
    </row>
    <row r="759" spans="1:13" ht="25.5" x14ac:dyDescent="0.25">
      <c r="A759" s="13" t="str">
        <f t="shared" si="102"/>
        <v>1</v>
      </c>
      <c r="B759" s="13" t="str">
        <f t="shared" si="103"/>
        <v>9</v>
      </c>
      <c r="C759" s="13" t="str">
        <f t="shared" si="104"/>
        <v>1</v>
      </c>
      <c r="D759" s="13" t="str">
        <f t="shared" si="105"/>
        <v>2</v>
      </c>
      <c r="E759" s="13" t="str">
        <f t="shared" si="106"/>
        <v>30</v>
      </c>
      <c r="F759" s="13" t="str">
        <f t="shared" si="107"/>
        <v>99</v>
      </c>
      <c r="G759" s="13" t="s">
        <v>748</v>
      </c>
      <c r="H759" s="13" t="s">
        <v>2677</v>
      </c>
      <c r="I759" s="16" t="s">
        <v>3262</v>
      </c>
      <c r="J759" s="13"/>
      <c r="K759" s="13"/>
      <c r="L759" s="13"/>
      <c r="M759" s="16"/>
    </row>
    <row r="760" spans="1:13" ht="51" x14ac:dyDescent="0.25">
      <c r="A760" s="21" t="str">
        <f t="shared" si="102"/>
        <v>1</v>
      </c>
      <c r="B760" s="21" t="str">
        <f t="shared" si="103"/>
        <v>9</v>
      </c>
      <c r="C760" s="21" t="str">
        <f t="shared" si="104"/>
        <v>1</v>
      </c>
      <c r="D760" s="21" t="str">
        <f t="shared" si="105"/>
        <v>2</v>
      </c>
      <c r="E760" s="21" t="str">
        <f t="shared" si="106"/>
        <v>31</v>
      </c>
      <c r="F760" s="21" t="str">
        <f t="shared" si="107"/>
        <v>00</v>
      </c>
      <c r="G760" s="21" t="s">
        <v>749</v>
      </c>
      <c r="H760" s="21" t="s">
        <v>2678</v>
      </c>
      <c r="I760" s="22" t="s">
        <v>3263</v>
      </c>
      <c r="J760" s="21"/>
      <c r="K760" s="21"/>
      <c r="L760" s="21"/>
      <c r="M760" s="21"/>
    </row>
    <row r="761" spans="1:13" ht="63.75" x14ac:dyDescent="0.25">
      <c r="A761" s="13" t="str">
        <f t="shared" si="102"/>
        <v>1</v>
      </c>
      <c r="B761" s="13" t="str">
        <f t="shared" si="103"/>
        <v>9</v>
      </c>
      <c r="C761" s="13" t="str">
        <f t="shared" si="104"/>
        <v>1</v>
      </c>
      <c r="D761" s="13" t="str">
        <f t="shared" si="105"/>
        <v>2</v>
      </c>
      <c r="E761" s="13" t="str">
        <f t="shared" si="106"/>
        <v>31</v>
      </c>
      <c r="F761" s="13" t="str">
        <f t="shared" si="107"/>
        <v>01</v>
      </c>
      <c r="G761" s="13" t="s">
        <v>750</v>
      </c>
      <c r="H761" s="13" t="s">
        <v>2679</v>
      </c>
      <c r="I761" s="16" t="s">
        <v>3264</v>
      </c>
      <c r="J761" s="13"/>
      <c r="K761" s="13"/>
      <c r="L761" s="13"/>
      <c r="M761" s="16"/>
    </row>
    <row r="762" spans="1:13" ht="63.75" x14ac:dyDescent="0.25">
      <c r="A762" s="13" t="str">
        <f t="shared" si="102"/>
        <v>1</v>
      </c>
      <c r="B762" s="13" t="str">
        <f t="shared" si="103"/>
        <v>9</v>
      </c>
      <c r="C762" s="13" t="str">
        <f t="shared" si="104"/>
        <v>1</v>
      </c>
      <c r="D762" s="13" t="str">
        <f t="shared" si="105"/>
        <v>2</v>
      </c>
      <c r="E762" s="13" t="str">
        <f t="shared" si="106"/>
        <v>31</v>
      </c>
      <c r="F762" s="13" t="str">
        <f t="shared" si="107"/>
        <v>02</v>
      </c>
      <c r="G762" s="13" t="s">
        <v>751</v>
      </c>
      <c r="H762" s="13" t="s">
        <v>2680</v>
      </c>
      <c r="I762" s="16" t="s">
        <v>3265</v>
      </c>
      <c r="J762" s="13"/>
      <c r="K762" s="13"/>
      <c r="L762" s="13"/>
      <c r="M762" s="16"/>
    </row>
    <row r="763" spans="1:13" ht="25.5" x14ac:dyDescent="0.25">
      <c r="A763" s="21" t="str">
        <f t="shared" si="102"/>
        <v>1</v>
      </c>
      <c r="B763" s="21" t="str">
        <f t="shared" si="103"/>
        <v>9</v>
      </c>
      <c r="C763" s="21" t="str">
        <f t="shared" si="104"/>
        <v>1</v>
      </c>
      <c r="D763" s="21" t="str">
        <f t="shared" si="105"/>
        <v>2</v>
      </c>
      <c r="E763" s="21" t="str">
        <f t="shared" si="106"/>
        <v>32</v>
      </c>
      <c r="F763" s="21" t="str">
        <f t="shared" si="107"/>
        <v>00</v>
      </c>
      <c r="G763" s="21" t="s">
        <v>752</v>
      </c>
      <c r="H763" s="21" t="s">
        <v>2681</v>
      </c>
      <c r="I763" s="22" t="s">
        <v>3266</v>
      </c>
      <c r="J763" s="21"/>
      <c r="K763" s="21"/>
      <c r="L763" s="21"/>
      <c r="M763" s="21"/>
    </row>
    <row r="764" spans="1:13" ht="38.25" x14ac:dyDescent="0.25">
      <c r="A764" s="13" t="str">
        <f t="shared" si="102"/>
        <v>1</v>
      </c>
      <c r="B764" s="13" t="str">
        <f t="shared" si="103"/>
        <v>9</v>
      </c>
      <c r="C764" s="13" t="str">
        <f t="shared" si="104"/>
        <v>1</v>
      </c>
      <c r="D764" s="13" t="str">
        <f t="shared" si="105"/>
        <v>2</v>
      </c>
      <c r="E764" s="13" t="str">
        <f t="shared" si="106"/>
        <v>32</v>
      </c>
      <c r="F764" s="13" t="str">
        <f t="shared" si="107"/>
        <v>01</v>
      </c>
      <c r="G764" s="13" t="s">
        <v>753</v>
      </c>
      <c r="H764" s="13" t="s">
        <v>2682</v>
      </c>
      <c r="I764" s="16" t="s">
        <v>3267</v>
      </c>
      <c r="J764" s="13"/>
      <c r="K764" s="13"/>
      <c r="L764" s="13"/>
      <c r="M764" s="16"/>
    </row>
    <row r="765" spans="1:13" ht="38.25" x14ac:dyDescent="0.25">
      <c r="A765" s="13" t="str">
        <f t="shared" si="102"/>
        <v>1</v>
      </c>
      <c r="B765" s="13" t="str">
        <f t="shared" si="103"/>
        <v>9</v>
      </c>
      <c r="C765" s="13" t="str">
        <f t="shared" si="104"/>
        <v>1</v>
      </c>
      <c r="D765" s="13" t="str">
        <f t="shared" si="105"/>
        <v>2</v>
      </c>
      <c r="E765" s="13" t="str">
        <f t="shared" si="106"/>
        <v>32</v>
      </c>
      <c r="F765" s="13" t="str">
        <f t="shared" si="107"/>
        <v>02</v>
      </c>
      <c r="G765" s="13" t="s">
        <v>754</v>
      </c>
      <c r="H765" s="13" t="s">
        <v>2683</v>
      </c>
      <c r="I765" s="16" t="s">
        <v>3268</v>
      </c>
      <c r="J765" s="13"/>
      <c r="K765" s="13"/>
      <c r="L765" s="13"/>
      <c r="M765" s="16"/>
    </row>
    <row r="766" spans="1:13" ht="38.25" x14ac:dyDescent="0.25">
      <c r="A766" s="21" t="str">
        <f t="shared" si="102"/>
        <v>1</v>
      </c>
      <c r="B766" s="21" t="str">
        <f t="shared" si="103"/>
        <v>9</v>
      </c>
      <c r="C766" s="21" t="str">
        <f t="shared" si="104"/>
        <v>1</v>
      </c>
      <c r="D766" s="21" t="str">
        <f t="shared" si="105"/>
        <v>2</v>
      </c>
      <c r="E766" s="21" t="str">
        <f t="shared" si="106"/>
        <v>33</v>
      </c>
      <c r="F766" s="21" t="str">
        <f t="shared" si="107"/>
        <v>00</v>
      </c>
      <c r="G766" s="21" t="s">
        <v>755</v>
      </c>
      <c r="H766" s="21" t="s">
        <v>2684</v>
      </c>
      <c r="I766" s="22" t="s">
        <v>3269</v>
      </c>
      <c r="J766" s="21"/>
      <c r="K766" s="21"/>
      <c r="L766" s="21"/>
      <c r="M766" s="21"/>
    </row>
    <row r="767" spans="1:13" ht="25.5" x14ac:dyDescent="0.25">
      <c r="A767" s="13" t="str">
        <f t="shared" si="102"/>
        <v>1</v>
      </c>
      <c r="B767" s="13" t="str">
        <f t="shared" si="103"/>
        <v>9</v>
      </c>
      <c r="C767" s="13" t="str">
        <f t="shared" si="104"/>
        <v>1</v>
      </c>
      <c r="D767" s="13" t="str">
        <f t="shared" si="105"/>
        <v>2</v>
      </c>
      <c r="E767" s="13" t="str">
        <f t="shared" si="106"/>
        <v>33</v>
      </c>
      <c r="F767" s="13" t="str">
        <f t="shared" si="107"/>
        <v>01</v>
      </c>
      <c r="G767" s="13" t="s">
        <v>756</v>
      </c>
      <c r="H767" s="13" t="s">
        <v>2685</v>
      </c>
      <c r="I767" s="16" t="s">
        <v>3270</v>
      </c>
      <c r="J767" s="13"/>
      <c r="K767" s="13"/>
      <c r="L767" s="13"/>
      <c r="M767" s="16"/>
    </row>
    <row r="768" spans="1:13" ht="25.5" x14ac:dyDescent="0.25">
      <c r="A768" s="13" t="str">
        <f t="shared" si="102"/>
        <v>1</v>
      </c>
      <c r="B768" s="13" t="str">
        <f t="shared" si="103"/>
        <v>9</v>
      </c>
      <c r="C768" s="13" t="str">
        <f t="shared" si="104"/>
        <v>1</v>
      </c>
      <c r="D768" s="13" t="str">
        <f t="shared" si="105"/>
        <v>2</v>
      </c>
      <c r="E768" s="13" t="str">
        <f t="shared" si="106"/>
        <v>33</v>
      </c>
      <c r="F768" s="13" t="str">
        <f t="shared" si="107"/>
        <v>02</v>
      </c>
      <c r="G768" s="13" t="s">
        <v>757</v>
      </c>
      <c r="H768" s="13" t="s">
        <v>2686</v>
      </c>
      <c r="I768" s="16" t="s">
        <v>3271</v>
      </c>
      <c r="J768" s="13"/>
      <c r="K768" s="13"/>
      <c r="L768" s="13"/>
      <c r="M768" s="16"/>
    </row>
    <row r="769" spans="1:13" ht="38.25" x14ac:dyDescent="0.25">
      <c r="A769" s="13" t="str">
        <f t="shared" si="102"/>
        <v>1</v>
      </c>
      <c r="B769" s="13" t="str">
        <f t="shared" si="103"/>
        <v>9</v>
      </c>
      <c r="C769" s="13" t="str">
        <f t="shared" si="104"/>
        <v>1</v>
      </c>
      <c r="D769" s="13" t="str">
        <f t="shared" si="105"/>
        <v>2</v>
      </c>
      <c r="E769" s="13" t="str">
        <f t="shared" si="106"/>
        <v>33</v>
      </c>
      <c r="F769" s="13" t="str">
        <f t="shared" si="107"/>
        <v>03</v>
      </c>
      <c r="G769" s="13" t="s">
        <v>758</v>
      </c>
      <c r="H769" s="13" t="s">
        <v>2687</v>
      </c>
      <c r="I769" s="16" t="s">
        <v>3272</v>
      </c>
      <c r="J769" s="13"/>
      <c r="K769" s="13"/>
      <c r="L769" s="13"/>
      <c r="M769" s="16"/>
    </row>
    <row r="770" spans="1:13" ht="25.5" x14ac:dyDescent="0.25">
      <c r="A770" s="13" t="str">
        <f t="shared" si="102"/>
        <v>1</v>
      </c>
      <c r="B770" s="13" t="str">
        <f t="shared" si="103"/>
        <v>9</v>
      </c>
      <c r="C770" s="13" t="str">
        <f t="shared" si="104"/>
        <v>1</v>
      </c>
      <c r="D770" s="13" t="str">
        <f t="shared" si="105"/>
        <v>2</v>
      </c>
      <c r="E770" s="13" t="str">
        <f t="shared" si="106"/>
        <v>33</v>
      </c>
      <c r="F770" s="13" t="str">
        <f t="shared" si="107"/>
        <v>04</v>
      </c>
      <c r="G770" s="13" t="s">
        <v>759</v>
      </c>
      <c r="H770" s="13" t="s">
        <v>2688</v>
      </c>
      <c r="I770" s="16" t="s">
        <v>3273</v>
      </c>
      <c r="J770" s="13"/>
      <c r="K770" s="13"/>
      <c r="L770" s="13"/>
      <c r="M770" s="16"/>
    </row>
    <row r="771" spans="1:13" ht="25.5" x14ac:dyDescent="0.25">
      <c r="A771" s="13" t="str">
        <f t="shared" si="102"/>
        <v>1</v>
      </c>
      <c r="B771" s="13" t="str">
        <f t="shared" si="103"/>
        <v>9</v>
      </c>
      <c r="C771" s="13" t="str">
        <f t="shared" si="104"/>
        <v>1</v>
      </c>
      <c r="D771" s="13" t="str">
        <f t="shared" si="105"/>
        <v>2</v>
      </c>
      <c r="E771" s="13" t="str">
        <f t="shared" si="106"/>
        <v>33</v>
      </c>
      <c r="F771" s="13" t="str">
        <f t="shared" si="107"/>
        <v>05</v>
      </c>
      <c r="G771" s="13" t="s">
        <v>760</v>
      </c>
      <c r="H771" s="13" t="s">
        <v>2689</v>
      </c>
      <c r="I771" s="16" t="s">
        <v>3274</v>
      </c>
      <c r="J771" s="13"/>
      <c r="K771" s="13"/>
      <c r="L771" s="13"/>
      <c r="M771" s="16"/>
    </row>
    <row r="772" spans="1:13" ht="25.5" x14ac:dyDescent="0.25">
      <c r="A772" s="13" t="str">
        <f t="shared" si="102"/>
        <v>1</v>
      </c>
      <c r="B772" s="13" t="str">
        <f t="shared" si="103"/>
        <v>9</v>
      </c>
      <c r="C772" s="13" t="str">
        <f t="shared" si="104"/>
        <v>1</v>
      </c>
      <c r="D772" s="13" t="str">
        <f t="shared" si="105"/>
        <v>2</v>
      </c>
      <c r="E772" s="13" t="str">
        <f t="shared" si="106"/>
        <v>33</v>
      </c>
      <c r="F772" s="13" t="str">
        <f t="shared" si="107"/>
        <v>06</v>
      </c>
      <c r="G772" s="13" t="s">
        <v>761</v>
      </c>
      <c r="H772" s="13" t="s">
        <v>2690</v>
      </c>
      <c r="I772" s="16" t="s">
        <v>3275</v>
      </c>
      <c r="J772" s="13"/>
      <c r="K772" s="13"/>
      <c r="L772" s="13"/>
      <c r="M772" s="16"/>
    </row>
    <row r="773" spans="1:13" ht="38.25" x14ac:dyDescent="0.25">
      <c r="A773" s="13" t="str">
        <f t="shared" si="102"/>
        <v>1</v>
      </c>
      <c r="B773" s="13" t="str">
        <f t="shared" si="103"/>
        <v>9</v>
      </c>
      <c r="C773" s="13" t="str">
        <f t="shared" si="104"/>
        <v>1</v>
      </c>
      <c r="D773" s="13" t="str">
        <f t="shared" si="105"/>
        <v>2</v>
      </c>
      <c r="E773" s="13" t="str">
        <f t="shared" si="106"/>
        <v>33</v>
      </c>
      <c r="F773" s="13" t="str">
        <f t="shared" si="107"/>
        <v>07</v>
      </c>
      <c r="G773" s="13" t="s">
        <v>762</v>
      </c>
      <c r="H773" s="13" t="s">
        <v>2691</v>
      </c>
      <c r="I773" s="16" t="s">
        <v>3276</v>
      </c>
      <c r="J773" s="13"/>
      <c r="K773" s="13"/>
      <c r="L773" s="13"/>
      <c r="M773" s="16"/>
    </row>
    <row r="774" spans="1:13" ht="38.25" x14ac:dyDescent="0.25">
      <c r="A774" s="21" t="str">
        <f t="shared" ref="A774:A837" si="108">MID(G774,1,1)</f>
        <v>1</v>
      </c>
      <c r="B774" s="21" t="str">
        <f t="shared" ref="B774:B837" si="109">MID(G774,2,1)</f>
        <v>9</v>
      </c>
      <c r="C774" s="21" t="str">
        <f t="shared" ref="C774:C837" si="110">MID(G774,3,1)</f>
        <v>1</v>
      </c>
      <c r="D774" s="21" t="str">
        <f t="shared" ref="D774:D837" si="111">MID(G774,4,1)</f>
        <v>2</v>
      </c>
      <c r="E774" s="21" t="str">
        <f t="shared" ref="E774:E837" si="112">MID(G774,6,2)</f>
        <v>34</v>
      </c>
      <c r="F774" s="21" t="str">
        <f t="shared" ref="F774:F837" si="113">MID(G774,9,2)</f>
        <v>00</v>
      </c>
      <c r="G774" s="21" t="s">
        <v>763</v>
      </c>
      <c r="H774" s="21" t="s">
        <v>2692</v>
      </c>
      <c r="I774" s="22" t="s">
        <v>3277</v>
      </c>
      <c r="J774" s="21"/>
      <c r="K774" s="21"/>
      <c r="L774" s="21"/>
      <c r="M774" s="21"/>
    </row>
    <row r="775" spans="1:13" ht="25.5" x14ac:dyDescent="0.25">
      <c r="A775" s="21" t="str">
        <f t="shared" si="108"/>
        <v>1</v>
      </c>
      <c r="B775" s="21" t="str">
        <f t="shared" si="109"/>
        <v>9</v>
      </c>
      <c r="C775" s="21" t="str">
        <f t="shared" si="110"/>
        <v>1</v>
      </c>
      <c r="D775" s="21" t="str">
        <f t="shared" si="111"/>
        <v>2</v>
      </c>
      <c r="E775" s="21" t="str">
        <f t="shared" si="112"/>
        <v>35</v>
      </c>
      <c r="F775" s="21" t="str">
        <f t="shared" si="113"/>
        <v>00</v>
      </c>
      <c r="G775" s="21" t="s">
        <v>764</v>
      </c>
      <c r="H775" s="21" t="s">
        <v>2693</v>
      </c>
      <c r="I775" s="22" t="s">
        <v>3278</v>
      </c>
      <c r="J775" s="21"/>
      <c r="K775" s="21"/>
      <c r="L775" s="21"/>
      <c r="M775" s="21"/>
    </row>
    <row r="776" spans="1:13" ht="38.25" x14ac:dyDescent="0.25">
      <c r="A776" s="21" t="str">
        <f t="shared" si="108"/>
        <v>1</v>
      </c>
      <c r="B776" s="21" t="str">
        <f t="shared" si="109"/>
        <v>9</v>
      </c>
      <c r="C776" s="21" t="str">
        <f t="shared" si="110"/>
        <v>1</v>
      </c>
      <c r="D776" s="21" t="str">
        <f t="shared" si="111"/>
        <v>2</v>
      </c>
      <c r="E776" s="21" t="str">
        <f t="shared" si="112"/>
        <v>36</v>
      </c>
      <c r="F776" s="21" t="str">
        <f t="shared" si="113"/>
        <v>00</v>
      </c>
      <c r="G776" s="21" t="s">
        <v>765</v>
      </c>
      <c r="H776" s="21" t="s">
        <v>2694</v>
      </c>
      <c r="I776" s="22" t="s">
        <v>3279</v>
      </c>
      <c r="J776" s="21"/>
      <c r="K776" s="21"/>
      <c r="L776" s="21"/>
      <c r="M776" s="21"/>
    </row>
    <row r="777" spans="1:13" ht="25.5" x14ac:dyDescent="0.25">
      <c r="A777" s="21" t="str">
        <f t="shared" si="108"/>
        <v>1</v>
      </c>
      <c r="B777" s="21" t="str">
        <f t="shared" si="109"/>
        <v>9</v>
      </c>
      <c r="C777" s="21" t="str">
        <f t="shared" si="110"/>
        <v>1</v>
      </c>
      <c r="D777" s="21" t="str">
        <f t="shared" si="111"/>
        <v>2</v>
      </c>
      <c r="E777" s="21" t="str">
        <f t="shared" si="112"/>
        <v>51</v>
      </c>
      <c r="F777" s="21" t="str">
        <f t="shared" si="113"/>
        <v>00</v>
      </c>
      <c r="G777" s="21" t="s">
        <v>766</v>
      </c>
      <c r="H777" s="21" t="s">
        <v>2695</v>
      </c>
      <c r="I777" s="22" t="s">
        <v>4074</v>
      </c>
      <c r="J777" s="21"/>
      <c r="K777" s="21" t="s">
        <v>4018</v>
      </c>
      <c r="L777" s="21" t="s">
        <v>4224</v>
      </c>
      <c r="M777" s="21"/>
    </row>
    <row r="778" spans="1:13" ht="38.25" x14ac:dyDescent="0.25">
      <c r="A778" s="21" t="str">
        <f t="shared" si="108"/>
        <v>1</v>
      </c>
      <c r="B778" s="21" t="str">
        <f t="shared" si="109"/>
        <v>9</v>
      </c>
      <c r="C778" s="21" t="str">
        <f t="shared" si="110"/>
        <v>1</v>
      </c>
      <c r="D778" s="21" t="str">
        <f t="shared" si="111"/>
        <v>2</v>
      </c>
      <c r="E778" s="21" t="str">
        <f t="shared" si="112"/>
        <v>52</v>
      </c>
      <c r="F778" s="21" t="str">
        <f t="shared" si="113"/>
        <v>00</v>
      </c>
      <c r="G778" s="21" t="s">
        <v>767</v>
      </c>
      <c r="H778" s="21" t="s">
        <v>2696</v>
      </c>
      <c r="I778" s="22" t="s">
        <v>3280</v>
      </c>
      <c r="J778" s="21"/>
      <c r="K778" s="21"/>
      <c r="L778" s="21"/>
      <c r="M778" s="21"/>
    </row>
    <row r="779" spans="1:13" ht="38.25" x14ac:dyDescent="0.25">
      <c r="A779" s="21" t="str">
        <f t="shared" si="108"/>
        <v>1</v>
      </c>
      <c r="B779" s="21" t="str">
        <f t="shared" si="109"/>
        <v>9</v>
      </c>
      <c r="C779" s="21" t="str">
        <f t="shared" si="110"/>
        <v>1</v>
      </c>
      <c r="D779" s="21" t="str">
        <f t="shared" si="111"/>
        <v>2</v>
      </c>
      <c r="E779" s="21" t="str">
        <f t="shared" si="112"/>
        <v>53</v>
      </c>
      <c r="F779" s="21" t="str">
        <f t="shared" si="113"/>
        <v>00</v>
      </c>
      <c r="G779" s="21" t="s">
        <v>768</v>
      </c>
      <c r="H779" s="21" t="s">
        <v>2697</v>
      </c>
      <c r="I779" s="22" t="s">
        <v>3281</v>
      </c>
      <c r="J779" s="21"/>
      <c r="K779" s="21"/>
      <c r="L779" s="21"/>
      <c r="M779" s="21"/>
    </row>
    <row r="780" spans="1:13" ht="38.25" x14ac:dyDescent="0.25">
      <c r="A780" s="21" t="str">
        <f t="shared" si="108"/>
        <v>1</v>
      </c>
      <c r="B780" s="21" t="str">
        <f t="shared" si="109"/>
        <v>9</v>
      </c>
      <c r="C780" s="21" t="str">
        <f t="shared" si="110"/>
        <v>1</v>
      </c>
      <c r="D780" s="21" t="str">
        <f t="shared" si="111"/>
        <v>2</v>
      </c>
      <c r="E780" s="21" t="str">
        <f t="shared" si="112"/>
        <v>54</v>
      </c>
      <c r="F780" s="21" t="str">
        <f t="shared" si="113"/>
        <v>00</v>
      </c>
      <c r="G780" s="21" t="s">
        <v>769</v>
      </c>
      <c r="H780" s="21" t="s">
        <v>2698</v>
      </c>
      <c r="I780" s="22" t="s">
        <v>3282</v>
      </c>
      <c r="J780" s="21"/>
      <c r="K780" s="21"/>
      <c r="L780" s="21"/>
      <c r="M780" s="21"/>
    </row>
    <row r="781" spans="1:13" ht="38.25" x14ac:dyDescent="0.25">
      <c r="A781" s="21" t="str">
        <f t="shared" si="108"/>
        <v>1</v>
      </c>
      <c r="B781" s="21" t="str">
        <f t="shared" si="109"/>
        <v>9</v>
      </c>
      <c r="C781" s="21" t="str">
        <f t="shared" si="110"/>
        <v>1</v>
      </c>
      <c r="D781" s="21" t="str">
        <f t="shared" si="111"/>
        <v>2</v>
      </c>
      <c r="E781" s="21" t="str">
        <f t="shared" si="112"/>
        <v>55</v>
      </c>
      <c r="F781" s="21" t="str">
        <f t="shared" si="113"/>
        <v>00</v>
      </c>
      <c r="G781" s="21" t="s">
        <v>770</v>
      </c>
      <c r="H781" s="21" t="s">
        <v>2699</v>
      </c>
      <c r="I781" s="22" t="s">
        <v>3283</v>
      </c>
      <c r="J781" s="21"/>
      <c r="K781" s="21"/>
      <c r="L781" s="21"/>
      <c r="M781" s="21"/>
    </row>
    <row r="782" spans="1:13" ht="38.25" x14ac:dyDescent="0.25">
      <c r="A782" s="13" t="str">
        <f t="shared" si="108"/>
        <v>1</v>
      </c>
      <c r="B782" s="13" t="str">
        <f t="shared" si="109"/>
        <v>9</v>
      </c>
      <c r="C782" s="13" t="str">
        <f t="shared" si="110"/>
        <v>1</v>
      </c>
      <c r="D782" s="13" t="str">
        <f t="shared" si="111"/>
        <v>2</v>
      </c>
      <c r="E782" s="13" t="str">
        <f t="shared" si="112"/>
        <v>55</v>
      </c>
      <c r="F782" s="13" t="str">
        <f t="shared" si="113"/>
        <v>01</v>
      </c>
      <c r="G782" s="13" t="s">
        <v>771</v>
      </c>
      <c r="H782" s="13" t="s">
        <v>2700</v>
      </c>
      <c r="I782" s="16" t="s">
        <v>3284</v>
      </c>
      <c r="J782" s="13"/>
      <c r="K782" s="13"/>
      <c r="L782" s="13"/>
      <c r="M782" s="16"/>
    </row>
    <row r="783" spans="1:13" ht="38.25" x14ac:dyDescent="0.25">
      <c r="A783" s="13" t="str">
        <f t="shared" si="108"/>
        <v>1</v>
      </c>
      <c r="B783" s="13" t="str">
        <f t="shared" si="109"/>
        <v>9</v>
      </c>
      <c r="C783" s="13" t="str">
        <f t="shared" si="110"/>
        <v>1</v>
      </c>
      <c r="D783" s="13" t="str">
        <f t="shared" si="111"/>
        <v>2</v>
      </c>
      <c r="E783" s="13" t="str">
        <f t="shared" si="112"/>
        <v>55</v>
      </c>
      <c r="F783" s="13" t="str">
        <f t="shared" si="113"/>
        <v>02</v>
      </c>
      <c r="G783" s="13" t="s">
        <v>772</v>
      </c>
      <c r="H783" s="13" t="s">
        <v>2701</v>
      </c>
      <c r="I783" s="16" t="s">
        <v>3285</v>
      </c>
      <c r="J783" s="13"/>
      <c r="K783" s="13"/>
      <c r="L783" s="13"/>
      <c r="M783" s="16"/>
    </row>
    <row r="784" spans="1:13" ht="38.25" x14ac:dyDescent="0.25">
      <c r="A784" s="13" t="str">
        <f t="shared" si="108"/>
        <v>1</v>
      </c>
      <c r="B784" s="13" t="str">
        <f t="shared" si="109"/>
        <v>9</v>
      </c>
      <c r="C784" s="13" t="str">
        <f t="shared" si="110"/>
        <v>1</v>
      </c>
      <c r="D784" s="13" t="str">
        <f t="shared" si="111"/>
        <v>2</v>
      </c>
      <c r="E784" s="13" t="str">
        <f t="shared" si="112"/>
        <v>55</v>
      </c>
      <c r="F784" s="13" t="str">
        <f t="shared" si="113"/>
        <v>03</v>
      </c>
      <c r="G784" s="13" t="s">
        <v>773</v>
      </c>
      <c r="H784" s="13" t="s">
        <v>2702</v>
      </c>
      <c r="I784" s="16" t="s">
        <v>3286</v>
      </c>
      <c r="J784" s="13"/>
      <c r="K784" s="13"/>
      <c r="L784" s="13"/>
      <c r="M784" s="16"/>
    </row>
    <row r="785" spans="1:13" ht="38.25" x14ac:dyDescent="0.25">
      <c r="A785" s="13" t="str">
        <f t="shared" si="108"/>
        <v>1</v>
      </c>
      <c r="B785" s="13" t="str">
        <f t="shared" si="109"/>
        <v>9</v>
      </c>
      <c r="C785" s="13" t="str">
        <f t="shared" si="110"/>
        <v>1</v>
      </c>
      <c r="D785" s="13" t="str">
        <f t="shared" si="111"/>
        <v>2</v>
      </c>
      <c r="E785" s="13" t="str">
        <f t="shared" si="112"/>
        <v>55</v>
      </c>
      <c r="F785" s="13" t="str">
        <f t="shared" si="113"/>
        <v>04</v>
      </c>
      <c r="G785" s="13" t="s">
        <v>774</v>
      </c>
      <c r="H785" s="13" t="s">
        <v>2703</v>
      </c>
      <c r="I785" s="16" t="s">
        <v>3287</v>
      </c>
      <c r="J785" s="13"/>
      <c r="K785" s="13"/>
      <c r="L785" s="13"/>
      <c r="M785" s="16"/>
    </row>
    <row r="786" spans="1:13" ht="51" x14ac:dyDescent="0.25">
      <c r="A786" s="13" t="str">
        <f t="shared" si="108"/>
        <v>1</v>
      </c>
      <c r="B786" s="13" t="str">
        <f t="shared" si="109"/>
        <v>9</v>
      </c>
      <c r="C786" s="13" t="str">
        <f t="shared" si="110"/>
        <v>1</v>
      </c>
      <c r="D786" s="13" t="str">
        <f t="shared" si="111"/>
        <v>2</v>
      </c>
      <c r="E786" s="13" t="str">
        <f t="shared" si="112"/>
        <v>55</v>
      </c>
      <c r="F786" s="13" t="str">
        <f t="shared" si="113"/>
        <v>05</v>
      </c>
      <c r="G786" s="13" t="s">
        <v>775</v>
      </c>
      <c r="H786" s="13" t="s">
        <v>2704</v>
      </c>
      <c r="I786" s="16" t="s">
        <v>3288</v>
      </c>
      <c r="J786" s="13"/>
      <c r="K786" s="13"/>
      <c r="L786" s="13"/>
      <c r="M786" s="16"/>
    </row>
    <row r="787" spans="1:13" ht="63.75" x14ac:dyDescent="0.25">
      <c r="A787" s="13" t="str">
        <f t="shared" si="108"/>
        <v>1</v>
      </c>
      <c r="B787" s="13" t="str">
        <f t="shared" si="109"/>
        <v>9</v>
      </c>
      <c r="C787" s="13" t="str">
        <f t="shared" si="110"/>
        <v>1</v>
      </c>
      <c r="D787" s="13" t="str">
        <f t="shared" si="111"/>
        <v>2</v>
      </c>
      <c r="E787" s="13" t="str">
        <f t="shared" si="112"/>
        <v>55</v>
      </c>
      <c r="F787" s="13" t="str">
        <f t="shared" si="113"/>
        <v>06</v>
      </c>
      <c r="G787" s="13" t="s">
        <v>776</v>
      </c>
      <c r="H787" s="13" t="s">
        <v>2705</v>
      </c>
      <c r="I787" s="16" t="s">
        <v>3289</v>
      </c>
      <c r="J787" s="13"/>
      <c r="K787" s="13"/>
      <c r="L787" s="13"/>
      <c r="M787" s="16"/>
    </row>
    <row r="788" spans="1:13" ht="38.25" x14ac:dyDescent="0.25">
      <c r="A788" s="13" t="str">
        <f t="shared" si="108"/>
        <v>1</v>
      </c>
      <c r="B788" s="13" t="str">
        <f t="shared" si="109"/>
        <v>9</v>
      </c>
      <c r="C788" s="13" t="str">
        <f t="shared" si="110"/>
        <v>1</v>
      </c>
      <c r="D788" s="13" t="str">
        <f t="shared" si="111"/>
        <v>2</v>
      </c>
      <c r="E788" s="13" t="str">
        <f t="shared" si="112"/>
        <v>55</v>
      </c>
      <c r="F788" s="13" t="str">
        <f t="shared" si="113"/>
        <v>07</v>
      </c>
      <c r="G788" s="13" t="s">
        <v>777</v>
      </c>
      <c r="H788" s="13" t="s">
        <v>2706</v>
      </c>
      <c r="I788" s="16" t="s">
        <v>3290</v>
      </c>
      <c r="J788" s="13"/>
      <c r="K788" s="13"/>
      <c r="L788" s="13"/>
      <c r="M788" s="16"/>
    </row>
    <row r="789" spans="1:13" ht="38.25" x14ac:dyDescent="0.25">
      <c r="A789" s="13" t="str">
        <f t="shared" si="108"/>
        <v>1</v>
      </c>
      <c r="B789" s="13" t="str">
        <f t="shared" si="109"/>
        <v>9</v>
      </c>
      <c r="C789" s="13" t="str">
        <f t="shared" si="110"/>
        <v>1</v>
      </c>
      <c r="D789" s="13" t="str">
        <f t="shared" si="111"/>
        <v>2</v>
      </c>
      <c r="E789" s="13" t="str">
        <f t="shared" si="112"/>
        <v>55</v>
      </c>
      <c r="F789" s="13" t="str">
        <f t="shared" si="113"/>
        <v>08</v>
      </c>
      <c r="G789" s="13" t="s">
        <v>778</v>
      </c>
      <c r="H789" s="13" t="s">
        <v>2707</v>
      </c>
      <c r="I789" s="16" t="s">
        <v>3291</v>
      </c>
      <c r="J789" s="13"/>
      <c r="K789" s="13"/>
      <c r="L789" s="13"/>
      <c r="M789" s="16"/>
    </row>
    <row r="790" spans="1:13" ht="25.5" x14ac:dyDescent="0.25">
      <c r="A790" s="13" t="str">
        <f t="shared" si="108"/>
        <v>1</v>
      </c>
      <c r="B790" s="13" t="str">
        <f t="shared" si="109"/>
        <v>9</v>
      </c>
      <c r="C790" s="13" t="str">
        <f t="shared" si="110"/>
        <v>1</v>
      </c>
      <c r="D790" s="13" t="str">
        <f t="shared" si="111"/>
        <v>2</v>
      </c>
      <c r="E790" s="13" t="str">
        <f t="shared" si="112"/>
        <v>55</v>
      </c>
      <c r="F790" s="13" t="str">
        <f t="shared" si="113"/>
        <v>09</v>
      </c>
      <c r="G790" s="13" t="s">
        <v>779</v>
      </c>
      <c r="H790" s="13" t="s">
        <v>2708</v>
      </c>
      <c r="I790" s="16" t="s">
        <v>3292</v>
      </c>
      <c r="J790" s="13"/>
      <c r="K790" s="13"/>
      <c r="L790" s="13"/>
      <c r="M790" s="16"/>
    </row>
    <row r="791" spans="1:13" ht="25.5" x14ac:dyDescent="0.25">
      <c r="A791" s="13" t="str">
        <f t="shared" si="108"/>
        <v>1</v>
      </c>
      <c r="B791" s="13" t="str">
        <f t="shared" si="109"/>
        <v>9</v>
      </c>
      <c r="C791" s="13" t="str">
        <f t="shared" si="110"/>
        <v>1</v>
      </c>
      <c r="D791" s="13" t="str">
        <f t="shared" si="111"/>
        <v>2</v>
      </c>
      <c r="E791" s="13" t="str">
        <f t="shared" si="112"/>
        <v>55</v>
      </c>
      <c r="F791" s="13" t="str">
        <f t="shared" si="113"/>
        <v>10</v>
      </c>
      <c r="G791" s="13" t="s">
        <v>780</v>
      </c>
      <c r="H791" s="13" t="s">
        <v>2709</v>
      </c>
      <c r="I791" s="16" t="s">
        <v>3293</v>
      </c>
      <c r="J791" s="13"/>
      <c r="K791" s="13"/>
      <c r="L791" s="13"/>
      <c r="M791" s="16"/>
    </row>
    <row r="792" spans="1:13" ht="38.25" x14ac:dyDescent="0.25">
      <c r="A792" s="13" t="str">
        <f t="shared" si="108"/>
        <v>1</v>
      </c>
      <c r="B792" s="13" t="str">
        <f t="shared" si="109"/>
        <v>9</v>
      </c>
      <c r="C792" s="13" t="str">
        <f t="shared" si="110"/>
        <v>1</v>
      </c>
      <c r="D792" s="13" t="str">
        <f t="shared" si="111"/>
        <v>2</v>
      </c>
      <c r="E792" s="13" t="str">
        <f t="shared" si="112"/>
        <v>55</v>
      </c>
      <c r="F792" s="13" t="str">
        <f t="shared" si="113"/>
        <v>11</v>
      </c>
      <c r="G792" s="13" t="s">
        <v>781</v>
      </c>
      <c r="H792" s="13" t="s">
        <v>2710</v>
      </c>
      <c r="I792" s="16" t="s">
        <v>3294</v>
      </c>
      <c r="J792" s="13"/>
      <c r="K792" s="13"/>
      <c r="L792" s="13"/>
      <c r="M792" s="16"/>
    </row>
    <row r="793" spans="1:13" ht="25.5" x14ac:dyDescent="0.25">
      <c r="A793" s="13" t="str">
        <f t="shared" si="108"/>
        <v>1</v>
      </c>
      <c r="B793" s="13" t="str">
        <f t="shared" si="109"/>
        <v>9</v>
      </c>
      <c r="C793" s="13" t="str">
        <f t="shared" si="110"/>
        <v>1</v>
      </c>
      <c r="D793" s="13" t="str">
        <f t="shared" si="111"/>
        <v>2</v>
      </c>
      <c r="E793" s="13" t="str">
        <f t="shared" si="112"/>
        <v>55</v>
      </c>
      <c r="F793" s="13" t="str">
        <f t="shared" si="113"/>
        <v>12</v>
      </c>
      <c r="G793" s="13" t="s">
        <v>782</v>
      </c>
      <c r="H793" s="13" t="s">
        <v>2711</v>
      </c>
      <c r="I793" s="16" t="s">
        <v>3295</v>
      </c>
      <c r="J793" s="13"/>
      <c r="K793" s="13"/>
      <c r="L793" s="13"/>
      <c r="M793" s="16"/>
    </row>
    <row r="794" spans="1:13" ht="25.5" x14ac:dyDescent="0.25">
      <c r="A794" s="13" t="str">
        <f t="shared" si="108"/>
        <v>1</v>
      </c>
      <c r="B794" s="13" t="str">
        <f t="shared" si="109"/>
        <v>9</v>
      </c>
      <c r="C794" s="13" t="str">
        <f t="shared" si="110"/>
        <v>1</v>
      </c>
      <c r="D794" s="13" t="str">
        <f t="shared" si="111"/>
        <v>2</v>
      </c>
      <c r="E794" s="13" t="str">
        <f t="shared" si="112"/>
        <v>55</v>
      </c>
      <c r="F794" s="13" t="str">
        <f t="shared" si="113"/>
        <v>13</v>
      </c>
      <c r="G794" s="13" t="s">
        <v>783</v>
      </c>
      <c r="H794" s="13" t="s">
        <v>2712</v>
      </c>
      <c r="I794" s="16" t="s">
        <v>3296</v>
      </c>
      <c r="J794" s="13"/>
      <c r="K794" s="13"/>
      <c r="L794" s="13"/>
      <c r="M794" s="16"/>
    </row>
    <row r="795" spans="1:13" ht="25.5" x14ac:dyDescent="0.25">
      <c r="A795" s="13" t="str">
        <f t="shared" si="108"/>
        <v>1</v>
      </c>
      <c r="B795" s="13" t="str">
        <f t="shared" si="109"/>
        <v>9</v>
      </c>
      <c r="C795" s="13" t="str">
        <f t="shared" si="110"/>
        <v>1</v>
      </c>
      <c r="D795" s="13" t="str">
        <f t="shared" si="111"/>
        <v>2</v>
      </c>
      <c r="E795" s="13" t="str">
        <f t="shared" si="112"/>
        <v>55</v>
      </c>
      <c r="F795" s="13" t="str">
        <f t="shared" si="113"/>
        <v>14</v>
      </c>
      <c r="G795" s="13" t="s">
        <v>784</v>
      </c>
      <c r="H795" s="13" t="s">
        <v>2713</v>
      </c>
      <c r="I795" s="16" t="s">
        <v>3297</v>
      </c>
      <c r="J795" s="13"/>
      <c r="K795" s="13"/>
      <c r="L795" s="13"/>
      <c r="M795" s="16"/>
    </row>
    <row r="796" spans="1:13" ht="51" x14ac:dyDescent="0.25">
      <c r="A796" s="21" t="str">
        <f t="shared" si="108"/>
        <v>1</v>
      </c>
      <c r="B796" s="21" t="str">
        <f t="shared" si="109"/>
        <v>9</v>
      </c>
      <c r="C796" s="21" t="str">
        <f t="shared" si="110"/>
        <v>1</v>
      </c>
      <c r="D796" s="21" t="str">
        <f t="shared" si="111"/>
        <v>2</v>
      </c>
      <c r="E796" s="21" t="str">
        <f t="shared" si="112"/>
        <v>56</v>
      </c>
      <c r="F796" s="21" t="str">
        <f t="shared" si="113"/>
        <v>00</v>
      </c>
      <c r="G796" s="21" t="s">
        <v>785</v>
      </c>
      <c r="H796" s="21" t="s">
        <v>2714</v>
      </c>
      <c r="I796" s="22" t="s">
        <v>3298</v>
      </c>
      <c r="J796" s="21"/>
      <c r="K796" s="21"/>
      <c r="L796" s="21"/>
      <c r="M796" s="21"/>
    </row>
    <row r="797" spans="1:13" ht="25.5" x14ac:dyDescent="0.25">
      <c r="A797" s="21" t="str">
        <f t="shared" si="108"/>
        <v>1</v>
      </c>
      <c r="B797" s="21" t="str">
        <f t="shared" si="109"/>
        <v>9</v>
      </c>
      <c r="C797" s="21" t="str">
        <f t="shared" si="110"/>
        <v>1</v>
      </c>
      <c r="D797" s="21" t="str">
        <f t="shared" si="111"/>
        <v>2</v>
      </c>
      <c r="E797" s="21" t="str">
        <f t="shared" si="112"/>
        <v>99</v>
      </c>
      <c r="F797" s="21" t="str">
        <f t="shared" si="113"/>
        <v>00</v>
      </c>
      <c r="G797" s="21" t="s">
        <v>786</v>
      </c>
      <c r="H797" s="21" t="s">
        <v>2715</v>
      </c>
      <c r="I797" s="22" t="s">
        <v>3299</v>
      </c>
      <c r="J797" s="21"/>
      <c r="K797" s="21"/>
      <c r="L797" s="21"/>
      <c r="M797" s="21"/>
    </row>
    <row r="798" spans="1:13" ht="25.5" x14ac:dyDescent="0.25">
      <c r="A798" s="13" t="str">
        <f t="shared" si="108"/>
        <v>1</v>
      </c>
      <c r="B798" s="13" t="str">
        <f t="shared" si="109"/>
        <v>9</v>
      </c>
      <c r="C798" s="13" t="str">
        <f t="shared" si="110"/>
        <v>1</v>
      </c>
      <c r="D798" s="13" t="str">
        <f t="shared" si="111"/>
        <v>2</v>
      </c>
      <c r="E798" s="13" t="str">
        <f t="shared" si="112"/>
        <v>99</v>
      </c>
      <c r="F798" s="13" t="str">
        <f t="shared" si="113"/>
        <v>01</v>
      </c>
      <c r="G798" s="13" t="s">
        <v>787</v>
      </c>
      <c r="H798" s="13" t="s">
        <v>2716</v>
      </c>
      <c r="I798" s="16" t="s">
        <v>3300</v>
      </c>
      <c r="J798" s="13"/>
      <c r="K798" s="13"/>
      <c r="L798" s="13"/>
      <c r="M798" s="16"/>
    </row>
    <row r="799" spans="1:13" ht="25.5" x14ac:dyDescent="0.25">
      <c r="A799" s="13" t="str">
        <f t="shared" si="108"/>
        <v>1</v>
      </c>
      <c r="B799" s="13" t="str">
        <f t="shared" si="109"/>
        <v>9</v>
      </c>
      <c r="C799" s="13" t="str">
        <f t="shared" si="110"/>
        <v>1</v>
      </c>
      <c r="D799" s="13" t="str">
        <f t="shared" si="111"/>
        <v>2</v>
      </c>
      <c r="E799" s="13" t="str">
        <f t="shared" si="112"/>
        <v>99</v>
      </c>
      <c r="F799" s="13" t="str">
        <f t="shared" si="113"/>
        <v>02</v>
      </c>
      <c r="G799" s="13" t="s">
        <v>788</v>
      </c>
      <c r="H799" s="13" t="s">
        <v>2717</v>
      </c>
      <c r="I799" s="16" t="s">
        <v>3301</v>
      </c>
      <c r="J799" s="13"/>
      <c r="K799" s="13"/>
      <c r="L799" s="13"/>
      <c r="M799" s="16"/>
    </row>
    <row r="800" spans="1:13" ht="25.5" x14ac:dyDescent="0.25">
      <c r="A800" s="19" t="str">
        <f t="shared" si="108"/>
        <v>1</v>
      </c>
      <c r="B800" s="19" t="str">
        <f t="shared" si="109"/>
        <v>9</v>
      </c>
      <c r="C800" s="19" t="str">
        <f t="shared" si="110"/>
        <v>1</v>
      </c>
      <c r="D800" s="19" t="str">
        <f t="shared" si="111"/>
        <v>3</v>
      </c>
      <c r="E800" s="19" t="str">
        <f t="shared" si="112"/>
        <v>00</v>
      </c>
      <c r="F800" s="19" t="str">
        <f t="shared" si="113"/>
        <v>00</v>
      </c>
      <c r="G800" s="19" t="s">
        <v>789</v>
      </c>
      <c r="H800" s="19" t="s">
        <v>2718</v>
      </c>
      <c r="I800" s="20" t="s">
        <v>3302</v>
      </c>
      <c r="J800" s="19"/>
      <c r="K800" s="19"/>
      <c r="L800" s="19"/>
      <c r="M800" s="20"/>
    </row>
    <row r="801" spans="1:13" ht="25.5" x14ac:dyDescent="0.25">
      <c r="A801" s="21" t="str">
        <f t="shared" si="108"/>
        <v>1</v>
      </c>
      <c r="B801" s="21" t="str">
        <f t="shared" si="109"/>
        <v>9</v>
      </c>
      <c r="C801" s="21" t="str">
        <f t="shared" si="110"/>
        <v>1</v>
      </c>
      <c r="D801" s="21" t="str">
        <f t="shared" si="111"/>
        <v>3</v>
      </c>
      <c r="E801" s="21" t="str">
        <f t="shared" si="112"/>
        <v>01</v>
      </c>
      <c r="F801" s="21" t="str">
        <f t="shared" si="113"/>
        <v>00</v>
      </c>
      <c r="G801" s="21" t="s">
        <v>790</v>
      </c>
      <c r="H801" s="21" t="s">
        <v>2719</v>
      </c>
      <c r="I801" s="22" t="s">
        <v>3303</v>
      </c>
      <c r="J801" s="21"/>
      <c r="K801" s="21"/>
      <c r="L801" s="21"/>
      <c r="M801" s="21"/>
    </row>
    <row r="802" spans="1:13" ht="38.25" x14ac:dyDescent="0.25">
      <c r="A802" s="13" t="str">
        <f t="shared" si="108"/>
        <v>1</v>
      </c>
      <c r="B802" s="13" t="str">
        <f t="shared" si="109"/>
        <v>9</v>
      </c>
      <c r="C802" s="13" t="str">
        <f t="shared" si="110"/>
        <v>1</v>
      </c>
      <c r="D802" s="13" t="str">
        <f t="shared" si="111"/>
        <v>3</v>
      </c>
      <c r="E802" s="13" t="str">
        <f t="shared" si="112"/>
        <v>01</v>
      </c>
      <c r="F802" s="13" t="str">
        <f t="shared" si="113"/>
        <v>01</v>
      </c>
      <c r="G802" s="13" t="s">
        <v>791</v>
      </c>
      <c r="H802" s="13" t="s">
        <v>2720</v>
      </c>
      <c r="I802" s="16" t="s">
        <v>3304</v>
      </c>
      <c r="J802" s="13"/>
      <c r="K802" s="13"/>
      <c r="L802" s="13"/>
      <c r="M802" s="16"/>
    </row>
    <row r="803" spans="1:13" ht="38.25" x14ac:dyDescent="0.25">
      <c r="A803" s="13" t="str">
        <f t="shared" si="108"/>
        <v>1</v>
      </c>
      <c r="B803" s="13" t="str">
        <f t="shared" si="109"/>
        <v>9</v>
      </c>
      <c r="C803" s="13" t="str">
        <f t="shared" si="110"/>
        <v>1</v>
      </c>
      <c r="D803" s="13" t="str">
        <f t="shared" si="111"/>
        <v>3</v>
      </c>
      <c r="E803" s="13" t="str">
        <f t="shared" si="112"/>
        <v>01</v>
      </c>
      <c r="F803" s="13" t="str">
        <f t="shared" si="113"/>
        <v>02</v>
      </c>
      <c r="G803" s="13" t="s">
        <v>792</v>
      </c>
      <c r="H803" s="13" t="s">
        <v>2721</v>
      </c>
      <c r="I803" s="16" t="s">
        <v>3305</v>
      </c>
      <c r="J803" s="13"/>
      <c r="K803" s="13"/>
      <c r="L803" s="13"/>
      <c r="M803" s="16"/>
    </row>
    <row r="804" spans="1:13" ht="38.25" x14ac:dyDescent="0.25">
      <c r="A804" s="21" t="str">
        <f t="shared" si="108"/>
        <v>1</v>
      </c>
      <c r="B804" s="21" t="str">
        <f t="shared" si="109"/>
        <v>9</v>
      </c>
      <c r="C804" s="21" t="str">
        <f t="shared" si="110"/>
        <v>1</v>
      </c>
      <c r="D804" s="21" t="str">
        <f t="shared" si="111"/>
        <v>3</v>
      </c>
      <c r="E804" s="21" t="str">
        <f t="shared" si="112"/>
        <v>02</v>
      </c>
      <c r="F804" s="21" t="str">
        <f t="shared" si="113"/>
        <v>00</v>
      </c>
      <c r="G804" s="21" t="s">
        <v>793</v>
      </c>
      <c r="H804" s="21" t="s">
        <v>2722</v>
      </c>
      <c r="I804" s="22" t="s">
        <v>3306</v>
      </c>
      <c r="J804" s="21"/>
      <c r="K804" s="21"/>
      <c r="L804" s="21"/>
      <c r="M804" s="21"/>
    </row>
    <row r="805" spans="1:13" ht="25.5" x14ac:dyDescent="0.25">
      <c r="A805" s="13" t="str">
        <f t="shared" si="108"/>
        <v>1</v>
      </c>
      <c r="B805" s="13" t="str">
        <f t="shared" si="109"/>
        <v>9</v>
      </c>
      <c r="C805" s="13" t="str">
        <f t="shared" si="110"/>
        <v>1</v>
      </c>
      <c r="D805" s="13" t="str">
        <f t="shared" si="111"/>
        <v>3</v>
      </c>
      <c r="E805" s="13" t="str">
        <f t="shared" si="112"/>
        <v>02</v>
      </c>
      <c r="F805" s="13" t="str">
        <f t="shared" si="113"/>
        <v>01</v>
      </c>
      <c r="G805" s="13" t="s">
        <v>794</v>
      </c>
      <c r="H805" s="13" t="s">
        <v>2723</v>
      </c>
      <c r="I805" s="16" t="s">
        <v>4068</v>
      </c>
      <c r="J805" s="13"/>
      <c r="K805" s="13" t="s">
        <v>4018</v>
      </c>
      <c r="L805" s="13" t="s">
        <v>4225</v>
      </c>
      <c r="M805" s="16"/>
    </row>
    <row r="806" spans="1:13" ht="38.25" x14ac:dyDescent="0.25">
      <c r="A806" s="13" t="str">
        <f t="shared" si="108"/>
        <v>1</v>
      </c>
      <c r="B806" s="13" t="str">
        <f t="shared" si="109"/>
        <v>9</v>
      </c>
      <c r="C806" s="13" t="str">
        <f t="shared" si="110"/>
        <v>1</v>
      </c>
      <c r="D806" s="13" t="str">
        <f t="shared" si="111"/>
        <v>3</v>
      </c>
      <c r="E806" s="13" t="str">
        <f t="shared" si="112"/>
        <v>02</v>
      </c>
      <c r="F806" s="13" t="str">
        <f t="shared" si="113"/>
        <v>02</v>
      </c>
      <c r="G806" s="13" t="s">
        <v>795</v>
      </c>
      <c r="H806" s="13" t="s">
        <v>2724</v>
      </c>
      <c r="I806" s="16" t="s">
        <v>4069</v>
      </c>
      <c r="J806" s="13"/>
      <c r="K806" s="13" t="s">
        <v>4018</v>
      </c>
      <c r="L806" s="13" t="s">
        <v>4225</v>
      </c>
      <c r="M806" s="16"/>
    </row>
    <row r="807" spans="1:13" ht="25.5" x14ac:dyDescent="0.25">
      <c r="A807" s="13" t="str">
        <f t="shared" si="108"/>
        <v>1</v>
      </c>
      <c r="B807" s="13" t="str">
        <f t="shared" si="109"/>
        <v>9</v>
      </c>
      <c r="C807" s="13" t="str">
        <f t="shared" si="110"/>
        <v>1</v>
      </c>
      <c r="D807" s="13" t="str">
        <f t="shared" si="111"/>
        <v>3</v>
      </c>
      <c r="E807" s="13" t="str">
        <f t="shared" si="112"/>
        <v>02</v>
      </c>
      <c r="F807" s="13" t="str">
        <f t="shared" si="113"/>
        <v>03</v>
      </c>
      <c r="G807" s="13" t="s">
        <v>796</v>
      </c>
      <c r="H807" s="13" t="s">
        <v>2725</v>
      </c>
      <c r="I807" s="16" t="s">
        <v>4070</v>
      </c>
      <c r="J807" s="13"/>
      <c r="K807" s="13" t="s">
        <v>4018</v>
      </c>
      <c r="L807" s="13" t="s">
        <v>4225</v>
      </c>
      <c r="M807" s="16"/>
    </row>
    <row r="808" spans="1:13" ht="38.25" x14ac:dyDescent="0.25">
      <c r="A808" s="13" t="str">
        <f t="shared" si="108"/>
        <v>1</v>
      </c>
      <c r="B808" s="13" t="str">
        <f t="shared" si="109"/>
        <v>9</v>
      </c>
      <c r="C808" s="13" t="str">
        <f t="shared" si="110"/>
        <v>1</v>
      </c>
      <c r="D808" s="13" t="str">
        <f t="shared" si="111"/>
        <v>3</v>
      </c>
      <c r="E808" s="13" t="str">
        <f t="shared" si="112"/>
        <v>02</v>
      </c>
      <c r="F808" s="13" t="str">
        <f t="shared" si="113"/>
        <v>04</v>
      </c>
      <c r="G808" s="13" t="s">
        <v>797</v>
      </c>
      <c r="H808" s="13" t="s">
        <v>2726</v>
      </c>
      <c r="I808" s="16" t="s">
        <v>4071</v>
      </c>
      <c r="J808" s="13"/>
      <c r="K808" s="13" t="s">
        <v>4018</v>
      </c>
      <c r="L808" s="13" t="s">
        <v>4225</v>
      </c>
      <c r="M808" s="16"/>
    </row>
    <row r="809" spans="1:13" ht="38.25" x14ac:dyDescent="0.25">
      <c r="A809" s="13" t="str">
        <f t="shared" si="108"/>
        <v>1</v>
      </c>
      <c r="B809" s="13" t="str">
        <f t="shared" si="109"/>
        <v>9</v>
      </c>
      <c r="C809" s="13" t="str">
        <f t="shared" si="110"/>
        <v>1</v>
      </c>
      <c r="D809" s="13" t="str">
        <f t="shared" si="111"/>
        <v>3</v>
      </c>
      <c r="E809" s="13" t="str">
        <f t="shared" si="112"/>
        <v>02</v>
      </c>
      <c r="F809" s="13" t="str">
        <f t="shared" si="113"/>
        <v>05</v>
      </c>
      <c r="G809" s="13" t="s">
        <v>798</v>
      </c>
      <c r="H809" s="13" t="s">
        <v>2727</v>
      </c>
      <c r="I809" s="16" t="s">
        <v>4072</v>
      </c>
      <c r="J809" s="13"/>
      <c r="K809" s="13" t="s">
        <v>4018</v>
      </c>
      <c r="L809" s="13" t="s">
        <v>4225</v>
      </c>
      <c r="M809" s="16"/>
    </row>
    <row r="810" spans="1:13" ht="38.25" x14ac:dyDescent="0.25">
      <c r="A810" s="13" t="str">
        <f t="shared" si="108"/>
        <v>1</v>
      </c>
      <c r="B810" s="13" t="str">
        <f t="shared" si="109"/>
        <v>9</v>
      </c>
      <c r="C810" s="13" t="str">
        <f t="shared" si="110"/>
        <v>1</v>
      </c>
      <c r="D810" s="13" t="str">
        <f t="shared" si="111"/>
        <v>3</v>
      </c>
      <c r="E810" s="13" t="str">
        <f t="shared" si="112"/>
        <v>02</v>
      </c>
      <c r="F810" s="13" t="str">
        <f t="shared" si="113"/>
        <v>06</v>
      </c>
      <c r="G810" s="13" t="s">
        <v>799</v>
      </c>
      <c r="H810" s="13" t="s">
        <v>2728</v>
      </c>
      <c r="I810" s="16" t="s">
        <v>4073</v>
      </c>
      <c r="J810" s="13"/>
      <c r="K810" s="13" t="s">
        <v>4018</v>
      </c>
      <c r="L810" s="13" t="s">
        <v>4225</v>
      </c>
      <c r="M810" s="16"/>
    </row>
    <row r="811" spans="1:13" ht="25.5" x14ac:dyDescent="0.25">
      <c r="A811" s="13" t="str">
        <f t="shared" si="108"/>
        <v>1</v>
      </c>
      <c r="B811" s="13" t="str">
        <f t="shared" si="109"/>
        <v>9</v>
      </c>
      <c r="C811" s="13" t="str">
        <f t="shared" si="110"/>
        <v>1</v>
      </c>
      <c r="D811" s="13" t="str">
        <f t="shared" si="111"/>
        <v>3</v>
      </c>
      <c r="E811" s="13" t="str">
        <f t="shared" si="112"/>
        <v>02</v>
      </c>
      <c r="F811" s="13" t="str">
        <f t="shared" si="113"/>
        <v>07</v>
      </c>
      <c r="G811" s="13" t="s">
        <v>800</v>
      </c>
      <c r="H811" s="13" t="s">
        <v>2729</v>
      </c>
      <c r="I811" s="16" t="s">
        <v>3307</v>
      </c>
      <c r="J811" s="13"/>
      <c r="K811" s="13"/>
      <c r="L811" s="13"/>
      <c r="M811" s="16"/>
    </row>
    <row r="812" spans="1:13" ht="38.25" x14ac:dyDescent="0.25">
      <c r="A812" s="13" t="str">
        <f t="shared" si="108"/>
        <v>1</v>
      </c>
      <c r="B812" s="13" t="str">
        <f t="shared" si="109"/>
        <v>9</v>
      </c>
      <c r="C812" s="13" t="str">
        <f t="shared" si="110"/>
        <v>1</v>
      </c>
      <c r="D812" s="13" t="str">
        <f t="shared" si="111"/>
        <v>3</v>
      </c>
      <c r="E812" s="13" t="str">
        <f t="shared" si="112"/>
        <v>02</v>
      </c>
      <c r="F812" s="13" t="str">
        <f t="shared" si="113"/>
        <v>08</v>
      </c>
      <c r="G812" s="13" t="s">
        <v>801</v>
      </c>
      <c r="H812" s="13" t="s">
        <v>2730</v>
      </c>
      <c r="I812" s="16" t="s">
        <v>3308</v>
      </c>
      <c r="J812" s="13"/>
      <c r="K812" s="13"/>
      <c r="L812" s="13"/>
      <c r="M812" s="16"/>
    </row>
    <row r="813" spans="1:13" ht="25.5" x14ac:dyDescent="0.25">
      <c r="A813" s="21" t="str">
        <f t="shared" si="108"/>
        <v>1</v>
      </c>
      <c r="B813" s="21" t="str">
        <f t="shared" si="109"/>
        <v>9</v>
      </c>
      <c r="C813" s="21" t="str">
        <f t="shared" si="110"/>
        <v>1</v>
      </c>
      <c r="D813" s="21" t="str">
        <f t="shared" si="111"/>
        <v>3</v>
      </c>
      <c r="E813" s="21" t="str">
        <f t="shared" si="112"/>
        <v>03</v>
      </c>
      <c r="F813" s="21" t="str">
        <f t="shared" si="113"/>
        <v>00</v>
      </c>
      <c r="G813" s="21" t="s">
        <v>802</v>
      </c>
      <c r="H813" s="21" t="s">
        <v>2731</v>
      </c>
      <c r="I813" s="22" t="s">
        <v>3309</v>
      </c>
      <c r="J813" s="21"/>
      <c r="K813" s="21"/>
      <c r="L813" s="21"/>
      <c r="M813" s="21"/>
    </row>
    <row r="814" spans="1:13" ht="38.25" x14ac:dyDescent="0.25">
      <c r="A814" s="13" t="str">
        <f t="shared" si="108"/>
        <v>1</v>
      </c>
      <c r="B814" s="13" t="str">
        <f t="shared" si="109"/>
        <v>9</v>
      </c>
      <c r="C814" s="13" t="str">
        <f t="shared" si="110"/>
        <v>1</v>
      </c>
      <c r="D814" s="13" t="str">
        <f t="shared" si="111"/>
        <v>3</v>
      </c>
      <c r="E814" s="13" t="str">
        <f t="shared" si="112"/>
        <v>03</v>
      </c>
      <c r="F814" s="13" t="str">
        <f t="shared" si="113"/>
        <v>01</v>
      </c>
      <c r="G814" s="13" t="s">
        <v>803</v>
      </c>
      <c r="H814" s="13" t="s">
        <v>2732</v>
      </c>
      <c r="I814" s="16" t="s">
        <v>3310</v>
      </c>
      <c r="J814" s="13"/>
      <c r="K814" s="13"/>
      <c r="L814" s="13"/>
      <c r="M814" s="16"/>
    </row>
    <row r="815" spans="1:13" ht="38.25" x14ac:dyDescent="0.25">
      <c r="A815" s="13" t="str">
        <f t="shared" si="108"/>
        <v>1</v>
      </c>
      <c r="B815" s="13" t="str">
        <f t="shared" si="109"/>
        <v>9</v>
      </c>
      <c r="C815" s="13" t="str">
        <f t="shared" si="110"/>
        <v>1</v>
      </c>
      <c r="D815" s="13" t="str">
        <f t="shared" si="111"/>
        <v>3</v>
      </c>
      <c r="E815" s="13" t="str">
        <f t="shared" si="112"/>
        <v>03</v>
      </c>
      <c r="F815" s="13" t="str">
        <f t="shared" si="113"/>
        <v>02</v>
      </c>
      <c r="G815" s="13" t="s">
        <v>804</v>
      </c>
      <c r="H815" s="13" t="s">
        <v>2733</v>
      </c>
      <c r="I815" s="16" t="s">
        <v>3311</v>
      </c>
      <c r="J815" s="13"/>
      <c r="K815" s="13"/>
      <c r="L815" s="13"/>
      <c r="M815" s="16"/>
    </row>
    <row r="816" spans="1:13" ht="38.25" x14ac:dyDescent="0.25">
      <c r="A816" s="13" t="str">
        <f t="shared" si="108"/>
        <v>1</v>
      </c>
      <c r="B816" s="13" t="str">
        <f t="shared" si="109"/>
        <v>9</v>
      </c>
      <c r="C816" s="13" t="str">
        <f t="shared" si="110"/>
        <v>1</v>
      </c>
      <c r="D816" s="13" t="str">
        <f t="shared" si="111"/>
        <v>3</v>
      </c>
      <c r="E816" s="13" t="str">
        <f t="shared" si="112"/>
        <v>03</v>
      </c>
      <c r="F816" s="13" t="str">
        <f t="shared" si="113"/>
        <v>03</v>
      </c>
      <c r="G816" s="13" t="s">
        <v>805</v>
      </c>
      <c r="H816" s="13" t="s">
        <v>2734</v>
      </c>
      <c r="I816" s="16" t="s">
        <v>3312</v>
      </c>
      <c r="J816" s="13"/>
      <c r="K816" s="13"/>
      <c r="L816" s="13"/>
      <c r="M816" s="16"/>
    </row>
    <row r="817" spans="1:13" ht="38.25" x14ac:dyDescent="0.25">
      <c r="A817" s="13" t="str">
        <f t="shared" si="108"/>
        <v>1</v>
      </c>
      <c r="B817" s="13" t="str">
        <f t="shared" si="109"/>
        <v>9</v>
      </c>
      <c r="C817" s="13" t="str">
        <f t="shared" si="110"/>
        <v>1</v>
      </c>
      <c r="D817" s="13" t="str">
        <f t="shared" si="111"/>
        <v>3</v>
      </c>
      <c r="E817" s="13" t="str">
        <f t="shared" si="112"/>
        <v>03</v>
      </c>
      <c r="F817" s="13" t="str">
        <f t="shared" si="113"/>
        <v>04</v>
      </c>
      <c r="G817" s="13" t="s">
        <v>806</v>
      </c>
      <c r="H817" s="13" t="s">
        <v>2735</v>
      </c>
      <c r="I817" s="16" t="s">
        <v>3313</v>
      </c>
      <c r="J817" s="13"/>
      <c r="K817" s="13"/>
      <c r="L817" s="13"/>
      <c r="M817" s="16"/>
    </row>
    <row r="818" spans="1:13" ht="51" x14ac:dyDescent="0.25">
      <c r="A818" s="21" t="str">
        <f t="shared" si="108"/>
        <v>1</v>
      </c>
      <c r="B818" s="21" t="str">
        <f t="shared" si="109"/>
        <v>9</v>
      </c>
      <c r="C818" s="21" t="str">
        <f t="shared" si="110"/>
        <v>1</v>
      </c>
      <c r="D818" s="21" t="str">
        <f t="shared" si="111"/>
        <v>3</v>
      </c>
      <c r="E818" s="21" t="str">
        <f t="shared" si="112"/>
        <v>04</v>
      </c>
      <c r="F818" s="21" t="str">
        <f t="shared" si="113"/>
        <v>00</v>
      </c>
      <c r="G818" s="21" t="s">
        <v>807</v>
      </c>
      <c r="H818" s="21" t="s">
        <v>2736</v>
      </c>
      <c r="I818" s="22" t="s">
        <v>3314</v>
      </c>
      <c r="J818" s="21"/>
      <c r="K818" s="21"/>
      <c r="L818" s="21"/>
      <c r="M818" s="21"/>
    </row>
    <row r="819" spans="1:13" ht="51" x14ac:dyDescent="0.25">
      <c r="A819" s="13" t="str">
        <f t="shared" si="108"/>
        <v>1</v>
      </c>
      <c r="B819" s="13" t="str">
        <f t="shared" si="109"/>
        <v>9</v>
      </c>
      <c r="C819" s="13" t="str">
        <f t="shared" si="110"/>
        <v>1</v>
      </c>
      <c r="D819" s="13" t="str">
        <f t="shared" si="111"/>
        <v>3</v>
      </c>
      <c r="E819" s="13" t="str">
        <f t="shared" si="112"/>
        <v>04</v>
      </c>
      <c r="F819" s="13" t="str">
        <f t="shared" si="113"/>
        <v>01</v>
      </c>
      <c r="G819" s="13" t="s">
        <v>808</v>
      </c>
      <c r="H819" s="13" t="s">
        <v>2737</v>
      </c>
      <c r="I819" s="16" t="s">
        <v>3315</v>
      </c>
      <c r="J819" s="13"/>
      <c r="K819" s="13"/>
      <c r="L819" s="13"/>
      <c r="M819" s="16"/>
    </row>
    <row r="820" spans="1:13" ht="51" x14ac:dyDescent="0.25">
      <c r="A820" s="13" t="str">
        <f t="shared" si="108"/>
        <v>1</v>
      </c>
      <c r="B820" s="13" t="str">
        <f t="shared" si="109"/>
        <v>9</v>
      </c>
      <c r="C820" s="13" t="str">
        <f t="shared" si="110"/>
        <v>1</v>
      </c>
      <c r="D820" s="13" t="str">
        <f t="shared" si="111"/>
        <v>3</v>
      </c>
      <c r="E820" s="13" t="str">
        <f t="shared" si="112"/>
        <v>04</v>
      </c>
      <c r="F820" s="13" t="str">
        <f t="shared" si="113"/>
        <v>02</v>
      </c>
      <c r="G820" s="13" t="s">
        <v>809</v>
      </c>
      <c r="H820" s="13" t="s">
        <v>2738</v>
      </c>
      <c r="I820" s="16" t="s">
        <v>3316</v>
      </c>
      <c r="J820" s="13"/>
      <c r="K820" s="13"/>
      <c r="L820" s="13"/>
      <c r="M820" s="16"/>
    </row>
    <row r="821" spans="1:13" ht="25.5" x14ac:dyDescent="0.25">
      <c r="A821" s="21" t="str">
        <f t="shared" si="108"/>
        <v>1</v>
      </c>
      <c r="B821" s="21" t="str">
        <f t="shared" si="109"/>
        <v>9</v>
      </c>
      <c r="C821" s="21" t="str">
        <f t="shared" si="110"/>
        <v>1</v>
      </c>
      <c r="D821" s="21" t="str">
        <f t="shared" si="111"/>
        <v>3</v>
      </c>
      <c r="E821" s="21" t="str">
        <f t="shared" si="112"/>
        <v>07</v>
      </c>
      <c r="F821" s="21" t="str">
        <f t="shared" si="113"/>
        <v>00</v>
      </c>
      <c r="G821" s="21" t="s">
        <v>810</v>
      </c>
      <c r="H821" s="21" t="s">
        <v>2739</v>
      </c>
      <c r="I821" s="22" t="s">
        <v>3317</v>
      </c>
      <c r="J821" s="21"/>
      <c r="K821" s="21"/>
      <c r="L821" s="21"/>
      <c r="M821" s="21"/>
    </row>
    <row r="822" spans="1:13" ht="38.25" x14ac:dyDescent="0.25">
      <c r="A822" s="13" t="str">
        <f t="shared" si="108"/>
        <v>1</v>
      </c>
      <c r="B822" s="13" t="str">
        <f t="shared" si="109"/>
        <v>9</v>
      </c>
      <c r="C822" s="13" t="str">
        <f t="shared" si="110"/>
        <v>1</v>
      </c>
      <c r="D822" s="13" t="str">
        <f t="shared" si="111"/>
        <v>3</v>
      </c>
      <c r="E822" s="13" t="str">
        <f t="shared" si="112"/>
        <v>07</v>
      </c>
      <c r="F822" s="13" t="str">
        <f t="shared" si="113"/>
        <v>01</v>
      </c>
      <c r="G822" s="13" t="s">
        <v>811</v>
      </c>
      <c r="H822" s="13" t="s">
        <v>2740</v>
      </c>
      <c r="I822" s="16" t="s">
        <v>3318</v>
      </c>
      <c r="J822" s="13"/>
      <c r="K822" s="13"/>
      <c r="L822" s="13"/>
      <c r="M822" s="16"/>
    </row>
    <row r="823" spans="1:13" ht="38.25" x14ac:dyDescent="0.25">
      <c r="A823" s="13" t="str">
        <f t="shared" si="108"/>
        <v>1</v>
      </c>
      <c r="B823" s="13" t="str">
        <f t="shared" si="109"/>
        <v>9</v>
      </c>
      <c r="C823" s="13" t="str">
        <f t="shared" si="110"/>
        <v>1</v>
      </c>
      <c r="D823" s="13" t="str">
        <f t="shared" si="111"/>
        <v>3</v>
      </c>
      <c r="E823" s="13" t="str">
        <f t="shared" si="112"/>
        <v>07</v>
      </c>
      <c r="F823" s="13" t="str">
        <f t="shared" si="113"/>
        <v>02</v>
      </c>
      <c r="G823" s="13" t="s">
        <v>812</v>
      </c>
      <c r="H823" s="13" t="s">
        <v>2741</v>
      </c>
      <c r="I823" s="16" t="s">
        <v>3319</v>
      </c>
      <c r="J823" s="13"/>
      <c r="K823" s="13"/>
      <c r="L823" s="13"/>
      <c r="M823" s="16"/>
    </row>
    <row r="824" spans="1:13" ht="38.25" x14ac:dyDescent="0.25">
      <c r="A824" s="21" t="str">
        <f t="shared" si="108"/>
        <v>1</v>
      </c>
      <c r="B824" s="21" t="str">
        <f t="shared" si="109"/>
        <v>9</v>
      </c>
      <c r="C824" s="21" t="str">
        <f t="shared" si="110"/>
        <v>1</v>
      </c>
      <c r="D824" s="21" t="str">
        <f t="shared" si="111"/>
        <v>3</v>
      </c>
      <c r="E824" s="21" t="str">
        <f t="shared" si="112"/>
        <v>08</v>
      </c>
      <c r="F824" s="21" t="str">
        <f t="shared" si="113"/>
        <v>00</v>
      </c>
      <c r="G824" s="21" t="s">
        <v>813</v>
      </c>
      <c r="H824" s="21" t="s">
        <v>2742</v>
      </c>
      <c r="I824" s="22" t="s">
        <v>3320</v>
      </c>
      <c r="J824" s="21"/>
      <c r="K824" s="21"/>
      <c r="L824" s="21"/>
      <c r="M824" s="21"/>
    </row>
    <row r="825" spans="1:13" ht="38.25" x14ac:dyDescent="0.25">
      <c r="A825" s="13" t="str">
        <f t="shared" si="108"/>
        <v>1</v>
      </c>
      <c r="B825" s="13" t="str">
        <f t="shared" si="109"/>
        <v>9</v>
      </c>
      <c r="C825" s="13" t="str">
        <f t="shared" si="110"/>
        <v>1</v>
      </c>
      <c r="D825" s="13" t="str">
        <f t="shared" si="111"/>
        <v>3</v>
      </c>
      <c r="E825" s="13" t="str">
        <f t="shared" si="112"/>
        <v>08</v>
      </c>
      <c r="F825" s="13" t="str">
        <f t="shared" si="113"/>
        <v>01</v>
      </c>
      <c r="G825" s="13" t="s">
        <v>814</v>
      </c>
      <c r="H825" s="13" t="s">
        <v>2743</v>
      </c>
      <c r="I825" s="16" t="s">
        <v>3321</v>
      </c>
      <c r="J825" s="13"/>
      <c r="K825" s="13"/>
      <c r="L825" s="13"/>
      <c r="M825" s="16"/>
    </row>
    <row r="826" spans="1:13" ht="38.25" x14ac:dyDescent="0.25">
      <c r="A826" s="13" t="str">
        <f t="shared" si="108"/>
        <v>1</v>
      </c>
      <c r="B826" s="13" t="str">
        <f t="shared" si="109"/>
        <v>9</v>
      </c>
      <c r="C826" s="13" t="str">
        <f t="shared" si="110"/>
        <v>1</v>
      </c>
      <c r="D826" s="13" t="str">
        <f t="shared" si="111"/>
        <v>3</v>
      </c>
      <c r="E826" s="13" t="str">
        <f t="shared" si="112"/>
        <v>08</v>
      </c>
      <c r="F826" s="13" t="str">
        <f t="shared" si="113"/>
        <v>02</v>
      </c>
      <c r="G826" s="13" t="s">
        <v>815</v>
      </c>
      <c r="H826" s="13" t="s">
        <v>2744</v>
      </c>
      <c r="I826" s="16" t="s">
        <v>3322</v>
      </c>
      <c r="J826" s="13"/>
      <c r="K826" s="13"/>
      <c r="L826" s="13"/>
      <c r="M826" s="16"/>
    </row>
    <row r="827" spans="1:13" ht="38.25" x14ac:dyDescent="0.25">
      <c r="A827" s="21" t="str">
        <f t="shared" si="108"/>
        <v>1</v>
      </c>
      <c r="B827" s="21" t="str">
        <f t="shared" si="109"/>
        <v>9</v>
      </c>
      <c r="C827" s="21" t="str">
        <f t="shared" si="110"/>
        <v>1</v>
      </c>
      <c r="D827" s="21" t="str">
        <f t="shared" si="111"/>
        <v>3</v>
      </c>
      <c r="E827" s="21" t="str">
        <f t="shared" si="112"/>
        <v>09</v>
      </c>
      <c r="F827" s="21" t="str">
        <f t="shared" si="113"/>
        <v>00</v>
      </c>
      <c r="G827" s="21" t="s">
        <v>816</v>
      </c>
      <c r="H827" s="21" t="s">
        <v>2745</v>
      </c>
      <c r="I827" s="22" t="s">
        <v>4025</v>
      </c>
      <c r="J827" s="21"/>
      <c r="K827" s="21" t="s">
        <v>4018</v>
      </c>
      <c r="L827" s="21" t="s">
        <v>4222</v>
      </c>
      <c r="M827" s="21"/>
    </row>
    <row r="828" spans="1:13" ht="25.5" x14ac:dyDescent="0.25">
      <c r="A828" s="13" t="str">
        <f t="shared" si="108"/>
        <v>1</v>
      </c>
      <c r="B828" s="13" t="str">
        <f t="shared" si="109"/>
        <v>9</v>
      </c>
      <c r="C828" s="13" t="str">
        <f t="shared" si="110"/>
        <v>1</v>
      </c>
      <c r="D828" s="13" t="str">
        <f t="shared" si="111"/>
        <v>3</v>
      </c>
      <c r="E828" s="13" t="str">
        <f t="shared" si="112"/>
        <v>09</v>
      </c>
      <c r="F828" s="13" t="str">
        <f t="shared" si="113"/>
        <v>01</v>
      </c>
      <c r="G828" s="13" t="s">
        <v>817</v>
      </c>
      <c r="H828" s="13" t="s">
        <v>2746</v>
      </c>
      <c r="I828" s="16" t="s">
        <v>3966</v>
      </c>
      <c r="J828" s="13"/>
      <c r="K828" s="13" t="s">
        <v>46</v>
      </c>
      <c r="L828" s="13" t="s">
        <v>4223</v>
      </c>
      <c r="M828" s="16"/>
    </row>
    <row r="829" spans="1:13" ht="25.5" x14ac:dyDescent="0.25">
      <c r="A829" s="13" t="str">
        <f t="shared" si="108"/>
        <v>1</v>
      </c>
      <c r="B829" s="13" t="str">
        <f t="shared" si="109"/>
        <v>9</v>
      </c>
      <c r="C829" s="13" t="str">
        <f t="shared" si="110"/>
        <v>1</v>
      </c>
      <c r="D829" s="13" t="str">
        <f t="shared" si="111"/>
        <v>3</v>
      </c>
      <c r="E829" s="13" t="str">
        <f t="shared" si="112"/>
        <v>09</v>
      </c>
      <c r="F829" s="13" t="str">
        <f t="shared" si="113"/>
        <v>02</v>
      </c>
      <c r="G829" s="13" t="s">
        <v>818</v>
      </c>
      <c r="H829" s="13" t="s">
        <v>2747</v>
      </c>
      <c r="I829" s="16" t="s">
        <v>3967</v>
      </c>
      <c r="J829" s="13"/>
      <c r="K829" s="13" t="s">
        <v>46</v>
      </c>
      <c r="L829" s="13" t="s">
        <v>4223</v>
      </c>
      <c r="M829" s="16"/>
    </row>
    <row r="830" spans="1:13" ht="38.25" x14ac:dyDescent="0.25">
      <c r="A830" s="21" t="str">
        <f t="shared" si="108"/>
        <v>1</v>
      </c>
      <c r="B830" s="21" t="str">
        <f t="shared" si="109"/>
        <v>9</v>
      </c>
      <c r="C830" s="21" t="str">
        <f t="shared" si="110"/>
        <v>1</v>
      </c>
      <c r="D830" s="21" t="str">
        <f t="shared" si="111"/>
        <v>3</v>
      </c>
      <c r="E830" s="21" t="str">
        <f t="shared" si="112"/>
        <v>10</v>
      </c>
      <c r="F830" s="21" t="str">
        <f t="shared" si="113"/>
        <v>00</v>
      </c>
      <c r="G830" s="21" t="s">
        <v>819</v>
      </c>
      <c r="H830" s="21" t="s">
        <v>2748</v>
      </c>
      <c r="I830" s="22" t="s">
        <v>3323</v>
      </c>
      <c r="J830" s="21"/>
      <c r="K830" s="21"/>
      <c r="L830" s="21"/>
      <c r="M830" s="21"/>
    </row>
    <row r="831" spans="1:13" ht="38.25" x14ac:dyDescent="0.25">
      <c r="A831" s="21" t="str">
        <f t="shared" si="108"/>
        <v>1</v>
      </c>
      <c r="B831" s="21" t="str">
        <f t="shared" si="109"/>
        <v>9</v>
      </c>
      <c r="C831" s="21" t="str">
        <f t="shared" si="110"/>
        <v>1</v>
      </c>
      <c r="D831" s="21" t="str">
        <f t="shared" si="111"/>
        <v>3</v>
      </c>
      <c r="E831" s="21" t="str">
        <f t="shared" si="112"/>
        <v>11</v>
      </c>
      <c r="F831" s="21" t="str">
        <f t="shared" si="113"/>
        <v>00</v>
      </c>
      <c r="G831" s="21" t="s">
        <v>820</v>
      </c>
      <c r="H831" s="21" t="s">
        <v>2749</v>
      </c>
      <c r="I831" s="22" t="s">
        <v>3324</v>
      </c>
      <c r="J831" s="21"/>
      <c r="K831" s="21"/>
      <c r="L831" s="21"/>
      <c r="M831" s="21"/>
    </row>
    <row r="832" spans="1:13" ht="38.25" x14ac:dyDescent="0.25">
      <c r="A832" s="21" t="str">
        <f t="shared" si="108"/>
        <v>1</v>
      </c>
      <c r="B832" s="21" t="str">
        <f t="shared" si="109"/>
        <v>9</v>
      </c>
      <c r="C832" s="21" t="str">
        <f t="shared" si="110"/>
        <v>1</v>
      </c>
      <c r="D832" s="21" t="str">
        <f t="shared" si="111"/>
        <v>3</v>
      </c>
      <c r="E832" s="21" t="str">
        <f t="shared" si="112"/>
        <v>12</v>
      </c>
      <c r="F832" s="21" t="str">
        <f t="shared" si="113"/>
        <v>00</v>
      </c>
      <c r="G832" s="21" t="s">
        <v>821</v>
      </c>
      <c r="H832" s="21" t="s">
        <v>2750</v>
      </c>
      <c r="I832" s="22" t="s">
        <v>3325</v>
      </c>
      <c r="J832" s="21"/>
      <c r="K832" s="21"/>
      <c r="L832" s="21"/>
      <c r="M832" s="21"/>
    </row>
    <row r="833" spans="1:13" ht="38.25" x14ac:dyDescent="0.25">
      <c r="A833" s="21" t="str">
        <f t="shared" si="108"/>
        <v>1</v>
      </c>
      <c r="B833" s="21" t="str">
        <f t="shared" si="109"/>
        <v>9</v>
      </c>
      <c r="C833" s="21" t="str">
        <f t="shared" si="110"/>
        <v>1</v>
      </c>
      <c r="D833" s="21" t="str">
        <f t="shared" si="111"/>
        <v>3</v>
      </c>
      <c r="E833" s="21" t="str">
        <f t="shared" si="112"/>
        <v>13</v>
      </c>
      <c r="F833" s="21" t="str">
        <f t="shared" si="113"/>
        <v>00</v>
      </c>
      <c r="G833" s="21" t="s">
        <v>822</v>
      </c>
      <c r="H833" s="21" t="s">
        <v>2751</v>
      </c>
      <c r="I833" s="22" t="s">
        <v>3326</v>
      </c>
      <c r="J833" s="21"/>
      <c r="K833" s="21"/>
      <c r="L833" s="21"/>
      <c r="M833" s="21"/>
    </row>
    <row r="834" spans="1:13" ht="38.25" x14ac:dyDescent="0.25">
      <c r="A834" s="21" t="str">
        <f t="shared" si="108"/>
        <v>1</v>
      </c>
      <c r="B834" s="21" t="str">
        <f t="shared" si="109"/>
        <v>9</v>
      </c>
      <c r="C834" s="21" t="str">
        <f t="shared" si="110"/>
        <v>1</v>
      </c>
      <c r="D834" s="21" t="str">
        <f t="shared" si="111"/>
        <v>3</v>
      </c>
      <c r="E834" s="21" t="str">
        <f t="shared" si="112"/>
        <v>14</v>
      </c>
      <c r="F834" s="21" t="str">
        <f t="shared" si="113"/>
        <v>00</v>
      </c>
      <c r="G834" s="21" t="s">
        <v>823</v>
      </c>
      <c r="H834" s="21" t="s">
        <v>2752</v>
      </c>
      <c r="I834" s="22" t="s">
        <v>3327</v>
      </c>
      <c r="J834" s="21"/>
      <c r="K834" s="21"/>
      <c r="L834" s="21"/>
      <c r="M834" s="21"/>
    </row>
    <row r="835" spans="1:13" ht="38.25" x14ac:dyDescent="0.25">
      <c r="A835" s="21" t="str">
        <f t="shared" si="108"/>
        <v>1</v>
      </c>
      <c r="B835" s="21" t="str">
        <f t="shared" si="109"/>
        <v>9</v>
      </c>
      <c r="C835" s="21" t="str">
        <f t="shared" si="110"/>
        <v>1</v>
      </c>
      <c r="D835" s="21" t="str">
        <f t="shared" si="111"/>
        <v>3</v>
      </c>
      <c r="E835" s="21" t="str">
        <f t="shared" si="112"/>
        <v>15</v>
      </c>
      <c r="F835" s="21" t="str">
        <f t="shared" si="113"/>
        <v>00</v>
      </c>
      <c r="G835" s="21" t="s">
        <v>824</v>
      </c>
      <c r="H835" s="21" t="s">
        <v>2753</v>
      </c>
      <c r="I835" s="22" t="s">
        <v>3328</v>
      </c>
      <c r="J835" s="21"/>
      <c r="K835" s="21"/>
      <c r="L835" s="21"/>
      <c r="M835" s="21"/>
    </row>
    <row r="836" spans="1:13" ht="25.5" x14ac:dyDescent="0.25">
      <c r="A836" s="21" t="str">
        <f t="shared" si="108"/>
        <v>1</v>
      </c>
      <c r="B836" s="21" t="str">
        <f t="shared" si="109"/>
        <v>9</v>
      </c>
      <c r="C836" s="21" t="str">
        <f t="shared" si="110"/>
        <v>1</v>
      </c>
      <c r="D836" s="21" t="str">
        <f t="shared" si="111"/>
        <v>3</v>
      </c>
      <c r="E836" s="21" t="str">
        <f t="shared" si="112"/>
        <v>16</v>
      </c>
      <c r="F836" s="21" t="str">
        <f t="shared" si="113"/>
        <v>00</v>
      </c>
      <c r="G836" s="21" t="s">
        <v>825</v>
      </c>
      <c r="H836" s="21" t="s">
        <v>2754</v>
      </c>
      <c r="I836" s="22" t="s">
        <v>3329</v>
      </c>
      <c r="J836" s="21"/>
      <c r="K836" s="21"/>
      <c r="L836" s="21"/>
      <c r="M836" s="21"/>
    </row>
    <row r="837" spans="1:13" ht="38.25" x14ac:dyDescent="0.25">
      <c r="A837" s="21" t="str">
        <f t="shared" si="108"/>
        <v>1</v>
      </c>
      <c r="B837" s="21" t="str">
        <f t="shared" si="109"/>
        <v>9</v>
      </c>
      <c r="C837" s="21" t="str">
        <f t="shared" si="110"/>
        <v>1</v>
      </c>
      <c r="D837" s="21" t="str">
        <f t="shared" si="111"/>
        <v>3</v>
      </c>
      <c r="E837" s="21" t="str">
        <f t="shared" si="112"/>
        <v>20</v>
      </c>
      <c r="F837" s="21" t="str">
        <f t="shared" si="113"/>
        <v>00</v>
      </c>
      <c r="G837" s="21" t="s">
        <v>826</v>
      </c>
      <c r="H837" s="21" t="s">
        <v>2755</v>
      </c>
      <c r="I837" s="22" t="s">
        <v>3330</v>
      </c>
      <c r="J837" s="21"/>
      <c r="K837" s="21"/>
      <c r="L837" s="21"/>
      <c r="M837" s="21"/>
    </row>
    <row r="838" spans="1:13" ht="25.5" x14ac:dyDescent="0.25">
      <c r="A838" s="21" t="str">
        <f t="shared" ref="A838:A901" si="114">MID(G838,1,1)</f>
        <v>1</v>
      </c>
      <c r="B838" s="21" t="str">
        <f t="shared" ref="B838:B901" si="115">MID(G838,2,1)</f>
        <v>9</v>
      </c>
      <c r="C838" s="21" t="str">
        <f t="shared" ref="C838:C901" si="116">MID(G838,3,1)</f>
        <v>1</v>
      </c>
      <c r="D838" s="21" t="str">
        <f t="shared" ref="D838:D901" si="117">MID(G838,4,1)</f>
        <v>3</v>
      </c>
      <c r="E838" s="21" t="str">
        <f t="shared" ref="E838:E901" si="118">MID(G838,6,2)</f>
        <v>35</v>
      </c>
      <c r="F838" s="21" t="str">
        <f t="shared" ref="F838:F901" si="119">MID(G838,9,2)</f>
        <v>00</v>
      </c>
      <c r="G838" s="21" t="s">
        <v>827</v>
      </c>
      <c r="H838" s="21" t="s">
        <v>2756</v>
      </c>
      <c r="I838" s="22" t="s">
        <v>3331</v>
      </c>
      <c r="J838" s="21"/>
      <c r="K838" s="21"/>
      <c r="L838" s="21"/>
      <c r="M838" s="21"/>
    </row>
    <row r="839" spans="1:13" ht="25.5" x14ac:dyDescent="0.25">
      <c r="A839" s="21" t="str">
        <f t="shared" si="114"/>
        <v>1</v>
      </c>
      <c r="B839" s="21" t="str">
        <f t="shared" si="115"/>
        <v>9</v>
      </c>
      <c r="C839" s="21" t="str">
        <f t="shared" si="116"/>
        <v>1</v>
      </c>
      <c r="D839" s="21" t="str">
        <f t="shared" si="117"/>
        <v>3</v>
      </c>
      <c r="E839" s="21" t="str">
        <f t="shared" si="118"/>
        <v>98</v>
      </c>
      <c r="F839" s="21" t="str">
        <f t="shared" si="119"/>
        <v>00</v>
      </c>
      <c r="G839" s="21" t="s">
        <v>828</v>
      </c>
      <c r="H839" s="21" t="s">
        <v>2757</v>
      </c>
      <c r="I839" s="22" t="s">
        <v>3332</v>
      </c>
      <c r="J839" s="21"/>
      <c r="K839" s="21"/>
      <c r="L839" s="21"/>
      <c r="M839" s="21"/>
    </row>
    <row r="840" spans="1:13" ht="25.5" x14ac:dyDescent="0.25">
      <c r="A840" s="21" t="str">
        <f t="shared" si="114"/>
        <v>1</v>
      </c>
      <c r="B840" s="21" t="str">
        <f t="shared" si="115"/>
        <v>9</v>
      </c>
      <c r="C840" s="21" t="str">
        <f t="shared" si="116"/>
        <v>1</v>
      </c>
      <c r="D840" s="21" t="str">
        <f t="shared" si="117"/>
        <v>3</v>
      </c>
      <c r="E840" s="21" t="str">
        <f t="shared" si="118"/>
        <v>99</v>
      </c>
      <c r="F840" s="21" t="str">
        <f t="shared" si="119"/>
        <v>00</v>
      </c>
      <c r="G840" s="21" t="s">
        <v>829</v>
      </c>
      <c r="H840" s="21" t="s">
        <v>2758</v>
      </c>
      <c r="I840" s="22" t="s">
        <v>3333</v>
      </c>
      <c r="J840" s="21"/>
      <c r="K840" s="21"/>
      <c r="L840" s="21"/>
      <c r="M840" s="21"/>
    </row>
    <row r="841" spans="1:13" ht="25.5" x14ac:dyDescent="0.25">
      <c r="A841" s="19" t="str">
        <f t="shared" si="114"/>
        <v>1</v>
      </c>
      <c r="B841" s="19" t="str">
        <f t="shared" si="115"/>
        <v>9</v>
      </c>
      <c r="C841" s="19" t="str">
        <f t="shared" si="116"/>
        <v>1</v>
      </c>
      <c r="D841" s="19" t="str">
        <f t="shared" si="117"/>
        <v>4</v>
      </c>
      <c r="E841" s="19" t="str">
        <f t="shared" si="118"/>
        <v>00</v>
      </c>
      <c r="F841" s="19" t="str">
        <f t="shared" si="119"/>
        <v>00</v>
      </c>
      <c r="G841" s="19" t="s">
        <v>830</v>
      </c>
      <c r="H841" s="19" t="s">
        <v>2759</v>
      </c>
      <c r="I841" s="20" t="s">
        <v>3334</v>
      </c>
      <c r="J841" s="19"/>
      <c r="K841" s="19"/>
      <c r="L841" s="19"/>
      <c r="M841" s="20"/>
    </row>
    <row r="842" spans="1:13" ht="38.25" x14ac:dyDescent="0.25">
      <c r="A842" s="21" t="str">
        <f t="shared" si="114"/>
        <v>1</v>
      </c>
      <c r="B842" s="21" t="str">
        <f t="shared" si="115"/>
        <v>9</v>
      </c>
      <c r="C842" s="21" t="str">
        <f t="shared" si="116"/>
        <v>1</v>
      </c>
      <c r="D842" s="21" t="str">
        <f t="shared" si="117"/>
        <v>4</v>
      </c>
      <c r="E842" s="21" t="str">
        <f t="shared" si="118"/>
        <v>01</v>
      </c>
      <c r="F842" s="21" t="str">
        <f t="shared" si="119"/>
        <v>00</v>
      </c>
      <c r="G842" s="21" t="s">
        <v>831</v>
      </c>
      <c r="H842" s="21" t="s">
        <v>2760</v>
      </c>
      <c r="I842" s="22" t="s">
        <v>3335</v>
      </c>
      <c r="J842" s="21"/>
      <c r="K842" s="21"/>
      <c r="L842" s="21"/>
      <c r="M842" s="21"/>
    </row>
    <row r="843" spans="1:13" ht="38.25" x14ac:dyDescent="0.25">
      <c r="A843" s="13" t="str">
        <f t="shared" si="114"/>
        <v>1</v>
      </c>
      <c r="B843" s="13" t="str">
        <f t="shared" si="115"/>
        <v>9</v>
      </c>
      <c r="C843" s="13" t="str">
        <f t="shared" si="116"/>
        <v>1</v>
      </c>
      <c r="D843" s="13" t="str">
        <f t="shared" si="117"/>
        <v>4</v>
      </c>
      <c r="E843" s="13" t="str">
        <f t="shared" si="118"/>
        <v>01</v>
      </c>
      <c r="F843" s="13" t="str">
        <f t="shared" si="119"/>
        <v>01</v>
      </c>
      <c r="G843" s="13" t="s">
        <v>832</v>
      </c>
      <c r="H843" s="13" t="s">
        <v>2761</v>
      </c>
      <c r="I843" s="16" t="s">
        <v>3336</v>
      </c>
      <c r="J843" s="13"/>
      <c r="K843" s="13"/>
      <c r="L843" s="13"/>
      <c r="M843" s="16"/>
    </row>
    <row r="844" spans="1:13" ht="38.25" x14ac:dyDescent="0.25">
      <c r="A844" s="13" t="str">
        <f t="shared" si="114"/>
        <v>1</v>
      </c>
      <c r="B844" s="13" t="str">
        <f t="shared" si="115"/>
        <v>9</v>
      </c>
      <c r="C844" s="13" t="str">
        <f t="shared" si="116"/>
        <v>1</v>
      </c>
      <c r="D844" s="13" t="str">
        <f t="shared" si="117"/>
        <v>4</v>
      </c>
      <c r="E844" s="13" t="str">
        <f t="shared" si="118"/>
        <v>01</v>
      </c>
      <c r="F844" s="13" t="str">
        <f t="shared" si="119"/>
        <v>02</v>
      </c>
      <c r="G844" s="13" t="s">
        <v>833</v>
      </c>
      <c r="H844" s="13" t="s">
        <v>2762</v>
      </c>
      <c r="I844" s="16" t="s">
        <v>3337</v>
      </c>
      <c r="J844" s="13"/>
      <c r="K844" s="13"/>
      <c r="L844" s="13"/>
      <c r="M844" s="16"/>
    </row>
    <row r="845" spans="1:13" ht="25.5" x14ac:dyDescent="0.25">
      <c r="A845" s="21" t="str">
        <f t="shared" si="114"/>
        <v>1</v>
      </c>
      <c r="B845" s="21" t="str">
        <f t="shared" si="115"/>
        <v>9</v>
      </c>
      <c r="C845" s="21" t="str">
        <f t="shared" si="116"/>
        <v>1</v>
      </c>
      <c r="D845" s="21" t="str">
        <f t="shared" si="117"/>
        <v>4</v>
      </c>
      <c r="E845" s="21" t="str">
        <f t="shared" si="118"/>
        <v>02</v>
      </c>
      <c r="F845" s="21" t="str">
        <f t="shared" si="119"/>
        <v>00</v>
      </c>
      <c r="G845" s="21" t="s">
        <v>834</v>
      </c>
      <c r="H845" s="21" t="s">
        <v>2763</v>
      </c>
      <c r="I845" s="22" t="s">
        <v>3338</v>
      </c>
      <c r="J845" s="21"/>
      <c r="K845" s="21"/>
      <c r="L845" s="21"/>
      <c r="M845" s="21"/>
    </row>
    <row r="846" spans="1:13" ht="51" x14ac:dyDescent="0.25">
      <c r="A846" s="21" t="str">
        <f t="shared" si="114"/>
        <v>1</v>
      </c>
      <c r="B846" s="21" t="str">
        <f t="shared" si="115"/>
        <v>9</v>
      </c>
      <c r="C846" s="21" t="str">
        <f t="shared" si="116"/>
        <v>1</v>
      </c>
      <c r="D846" s="21" t="str">
        <f t="shared" si="117"/>
        <v>4</v>
      </c>
      <c r="E846" s="21" t="str">
        <f t="shared" si="118"/>
        <v>03</v>
      </c>
      <c r="F846" s="21" t="str">
        <f t="shared" si="119"/>
        <v>00</v>
      </c>
      <c r="G846" s="21" t="s">
        <v>835</v>
      </c>
      <c r="H846" s="21" t="s">
        <v>2764</v>
      </c>
      <c r="I846" s="22" t="s">
        <v>3339</v>
      </c>
      <c r="J846" s="21"/>
      <c r="K846" s="21"/>
      <c r="L846" s="21"/>
      <c r="M846" s="21"/>
    </row>
    <row r="847" spans="1:13" ht="63.75" x14ac:dyDescent="0.25">
      <c r="A847" s="13" t="str">
        <f t="shared" si="114"/>
        <v>1</v>
      </c>
      <c r="B847" s="13" t="str">
        <f t="shared" si="115"/>
        <v>9</v>
      </c>
      <c r="C847" s="13" t="str">
        <f t="shared" si="116"/>
        <v>1</v>
      </c>
      <c r="D847" s="13" t="str">
        <f t="shared" si="117"/>
        <v>4</v>
      </c>
      <c r="E847" s="13" t="str">
        <f t="shared" si="118"/>
        <v>03</v>
      </c>
      <c r="F847" s="13" t="str">
        <f t="shared" si="119"/>
        <v>01</v>
      </c>
      <c r="G847" s="13" t="s">
        <v>836</v>
      </c>
      <c r="H847" s="13" t="s">
        <v>2765</v>
      </c>
      <c r="I847" s="16" t="s">
        <v>3340</v>
      </c>
      <c r="J847" s="13"/>
      <c r="K847" s="13"/>
      <c r="L847" s="13"/>
      <c r="M847" s="16"/>
    </row>
    <row r="848" spans="1:13" ht="38.25" x14ac:dyDescent="0.25">
      <c r="A848" s="13" t="str">
        <f t="shared" si="114"/>
        <v>1</v>
      </c>
      <c r="B848" s="13" t="str">
        <f t="shared" si="115"/>
        <v>9</v>
      </c>
      <c r="C848" s="13" t="str">
        <f t="shared" si="116"/>
        <v>1</v>
      </c>
      <c r="D848" s="13" t="str">
        <f t="shared" si="117"/>
        <v>4</v>
      </c>
      <c r="E848" s="13" t="str">
        <f t="shared" si="118"/>
        <v>03</v>
      </c>
      <c r="F848" s="13" t="str">
        <f t="shared" si="119"/>
        <v>02</v>
      </c>
      <c r="G848" s="13" t="s">
        <v>837</v>
      </c>
      <c r="H848" s="13" t="s">
        <v>2766</v>
      </c>
      <c r="I848" s="16" t="s">
        <v>3341</v>
      </c>
      <c r="J848" s="13"/>
      <c r="K848" s="13"/>
      <c r="L848" s="13"/>
      <c r="M848" s="16"/>
    </row>
    <row r="849" spans="1:13" ht="38.25" x14ac:dyDescent="0.25">
      <c r="A849" s="21" t="str">
        <f t="shared" si="114"/>
        <v>1</v>
      </c>
      <c r="B849" s="21" t="str">
        <f t="shared" si="115"/>
        <v>9</v>
      </c>
      <c r="C849" s="21" t="str">
        <f t="shared" si="116"/>
        <v>1</v>
      </c>
      <c r="D849" s="21" t="str">
        <f t="shared" si="117"/>
        <v>4</v>
      </c>
      <c r="E849" s="21" t="str">
        <f t="shared" si="118"/>
        <v>04</v>
      </c>
      <c r="F849" s="21" t="str">
        <f t="shared" si="119"/>
        <v>00</v>
      </c>
      <c r="G849" s="21" t="s">
        <v>838</v>
      </c>
      <c r="H849" s="21" t="s">
        <v>2767</v>
      </c>
      <c r="I849" s="22" t="s">
        <v>3342</v>
      </c>
      <c r="J849" s="21"/>
      <c r="K849" s="21"/>
      <c r="L849" s="21"/>
      <c r="M849" s="21"/>
    </row>
    <row r="850" spans="1:13" ht="38.25" x14ac:dyDescent="0.25">
      <c r="A850" s="13" t="str">
        <f t="shared" si="114"/>
        <v>1</v>
      </c>
      <c r="B850" s="13" t="str">
        <f t="shared" si="115"/>
        <v>9</v>
      </c>
      <c r="C850" s="13" t="str">
        <f t="shared" si="116"/>
        <v>1</v>
      </c>
      <c r="D850" s="13" t="str">
        <f t="shared" si="117"/>
        <v>4</v>
      </c>
      <c r="E850" s="13" t="str">
        <f t="shared" si="118"/>
        <v>04</v>
      </c>
      <c r="F850" s="13" t="str">
        <f t="shared" si="119"/>
        <v>01</v>
      </c>
      <c r="G850" s="13" t="s">
        <v>839</v>
      </c>
      <c r="H850" s="13" t="s">
        <v>2768</v>
      </c>
      <c r="I850" s="16" t="s">
        <v>3343</v>
      </c>
      <c r="J850" s="13"/>
      <c r="K850" s="13"/>
      <c r="L850" s="13"/>
      <c r="M850" s="16"/>
    </row>
    <row r="851" spans="1:13" ht="38.25" x14ac:dyDescent="0.25">
      <c r="A851" s="13" t="str">
        <f t="shared" si="114"/>
        <v>1</v>
      </c>
      <c r="B851" s="13" t="str">
        <f t="shared" si="115"/>
        <v>9</v>
      </c>
      <c r="C851" s="13" t="str">
        <f t="shared" si="116"/>
        <v>1</v>
      </c>
      <c r="D851" s="13" t="str">
        <f t="shared" si="117"/>
        <v>4</v>
      </c>
      <c r="E851" s="13" t="str">
        <f t="shared" si="118"/>
        <v>04</v>
      </c>
      <c r="F851" s="13" t="str">
        <f t="shared" si="119"/>
        <v>02</v>
      </c>
      <c r="G851" s="13" t="s">
        <v>840</v>
      </c>
      <c r="H851" s="13" t="s">
        <v>2769</v>
      </c>
      <c r="I851" s="16" t="s">
        <v>3344</v>
      </c>
      <c r="J851" s="13"/>
      <c r="K851" s="13"/>
      <c r="L851" s="13"/>
      <c r="M851" s="16"/>
    </row>
    <row r="852" spans="1:13" ht="38.25" x14ac:dyDescent="0.25">
      <c r="A852" s="13" t="str">
        <f t="shared" si="114"/>
        <v>1</v>
      </c>
      <c r="B852" s="13" t="str">
        <f t="shared" si="115"/>
        <v>9</v>
      </c>
      <c r="C852" s="13" t="str">
        <f t="shared" si="116"/>
        <v>1</v>
      </c>
      <c r="D852" s="13" t="str">
        <f t="shared" si="117"/>
        <v>4</v>
      </c>
      <c r="E852" s="13" t="str">
        <f t="shared" si="118"/>
        <v>04</v>
      </c>
      <c r="F852" s="13" t="str">
        <f t="shared" si="119"/>
        <v>03</v>
      </c>
      <c r="G852" s="13" t="s">
        <v>841</v>
      </c>
      <c r="H852" s="13" t="s">
        <v>2770</v>
      </c>
      <c r="I852" s="16" t="s">
        <v>3345</v>
      </c>
      <c r="J852" s="13"/>
      <c r="K852" s="13"/>
      <c r="L852" s="13"/>
      <c r="M852" s="16"/>
    </row>
    <row r="853" spans="1:13" ht="38.25" x14ac:dyDescent="0.25">
      <c r="A853" s="13" t="str">
        <f t="shared" si="114"/>
        <v>1</v>
      </c>
      <c r="B853" s="13" t="str">
        <f t="shared" si="115"/>
        <v>9</v>
      </c>
      <c r="C853" s="13" t="str">
        <f t="shared" si="116"/>
        <v>1</v>
      </c>
      <c r="D853" s="13" t="str">
        <f t="shared" si="117"/>
        <v>4</v>
      </c>
      <c r="E853" s="13" t="str">
        <f t="shared" si="118"/>
        <v>04</v>
      </c>
      <c r="F853" s="13" t="str">
        <f t="shared" si="119"/>
        <v>04</v>
      </c>
      <c r="G853" s="13" t="s">
        <v>842</v>
      </c>
      <c r="H853" s="13" t="s">
        <v>2771</v>
      </c>
      <c r="I853" s="16" t="s">
        <v>3346</v>
      </c>
      <c r="J853" s="13"/>
      <c r="K853" s="13"/>
      <c r="L853" s="13"/>
      <c r="M853" s="16"/>
    </row>
    <row r="854" spans="1:13" ht="38.25" x14ac:dyDescent="0.25">
      <c r="A854" s="13" t="str">
        <f t="shared" si="114"/>
        <v>1</v>
      </c>
      <c r="B854" s="13" t="str">
        <f t="shared" si="115"/>
        <v>9</v>
      </c>
      <c r="C854" s="13" t="str">
        <f t="shared" si="116"/>
        <v>1</v>
      </c>
      <c r="D854" s="13" t="str">
        <f t="shared" si="117"/>
        <v>4</v>
      </c>
      <c r="E854" s="13" t="str">
        <f t="shared" si="118"/>
        <v>04</v>
      </c>
      <c r="F854" s="13" t="str">
        <f t="shared" si="119"/>
        <v>05</v>
      </c>
      <c r="G854" s="13" t="s">
        <v>843</v>
      </c>
      <c r="H854" s="13" t="s">
        <v>2772</v>
      </c>
      <c r="I854" s="16" t="s">
        <v>3347</v>
      </c>
      <c r="J854" s="13"/>
      <c r="K854" s="13"/>
      <c r="L854" s="13"/>
      <c r="M854" s="16"/>
    </row>
    <row r="855" spans="1:13" ht="38.25" x14ac:dyDescent="0.25">
      <c r="A855" s="13" t="str">
        <f t="shared" si="114"/>
        <v>1</v>
      </c>
      <c r="B855" s="13" t="str">
        <f t="shared" si="115"/>
        <v>9</v>
      </c>
      <c r="C855" s="13" t="str">
        <f t="shared" si="116"/>
        <v>1</v>
      </c>
      <c r="D855" s="13" t="str">
        <f t="shared" si="117"/>
        <v>4</v>
      </c>
      <c r="E855" s="13" t="str">
        <f t="shared" si="118"/>
        <v>04</v>
      </c>
      <c r="F855" s="13" t="str">
        <f t="shared" si="119"/>
        <v>06</v>
      </c>
      <c r="G855" s="13" t="s">
        <v>844</v>
      </c>
      <c r="H855" s="13" t="s">
        <v>2773</v>
      </c>
      <c r="I855" s="16" t="s">
        <v>3348</v>
      </c>
      <c r="J855" s="13"/>
      <c r="K855" s="13"/>
      <c r="L855" s="13"/>
      <c r="M855" s="16"/>
    </row>
    <row r="856" spans="1:13" ht="38.25" x14ac:dyDescent="0.25">
      <c r="A856" s="13" t="str">
        <f t="shared" si="114"/>
        <v>1</v>
      </c>
      <c r="B856" s="13" t="str">
        <f t="shared" si="115"/>
        <v>9</v>
      </c>
      <c r="C856" s="13" t="str">
        <f t="shared" si="116"/>
        <v>1</v>
      </c>
      <c r="D856" s="13" t="str">
        <f t="shared" si="117"/>
        <v>4</v>
      </c>
      <c r="E856" s="13" t="str">
        <f t="shared" si="118"/>
        <v>04</v>
      </c>
      <c r="F856" s="13" t="str">
        <f t="shared" si="119"/>
        <v>07</v>
      </c>
      <c r="G856" s="13" t="s">
        <v>845</v>
      </c>
      <c r="H856" s="13" t="s">
        <v>2774</v>
      </c>
      <c r="I856" s="16" t="s">
        <v>3349</v>
      </c>
      <c r="J856" s="13"/>
      <c r="K856" s="13"/>
      <c r="L856" s="13"/>
      <c r="M856" s="16"/>
    </row>
    <row r="857" spans="1:13" ht="38.25" x14ac:dyDescent="0.25">
      <c r="A857" s="13" t="str">
        <f t="shared" si="114"/>
        <v>1</v>
      </c>
      <c r="B857" s="13" t="str">
        <f t="shared" si="115"/>
        <v>9</v>
      </c>
      <c r="C857" s="13" t="str">
        <f t="shared" si="116"/>
        <v>1</v>
      </c>
      <c r="D857" s="13" t="str">
        <f t="shared" si="117"/>
        <v>4</v>
      </c>
      <c r="E857" s="13" t="str">
        <f t="shared" si="118"/>
        <v>04</v>
      </c>
      <c r="F857" s="13" t="str">
        <f t="shared" si="119"/>
        <v>08</v>
      </c>
      <c r="G857" s="13" t="s">
        <v>846</v>
      </c>
      <c r="H857" s="13" t="s">
        <v>2775</v>
      </c>
      <c r="I857" s="16" t="s">
        <v>3350</v>
      </c>
      <c r="J857" s="13"/>
      <c r="K857" s="13"/>
      <c r="L857" s="13"/>
      <c r="M857" s="16"/>
    </row>
    <row r="858" spans="1:13" ht="38.25" x14ac:dyDescent="0.25">
      <c r="A858" s="13" t="str">
        <f t="shared" si="114"/>
        <v>1</v>
      </c>
      <c r="B858" s="13" t="str">
        <f t="shared" si="115"/>
        <v>9</v>
      </c>
      <c r="C858" s="13" t="str">
        <f t="shared" si="116"/>
        <v>1</v>
      </c>
      <c r="D858" s="13" t="str">
        <f t="shared" si="117"/>
        <v>4</v>
      </c>
      <c r="E858" s="13" t="str">
        <f t="shared" si="118"/>
        <v>04</v>
      </c>
      <c r="F858" s="13" t="str">
        <f t="shared" si="119"/>
        <v>09</v>
      </c>
      <c r="G858" s="13" t="s">
        <v>847</v>
      </c>
      <c r="H858" s="13" t="s">
        <v>2776</v>
      </c>
      <c r="I858" s="16" t="s">
        <v>3351</v>
      </c>
      <c r="J858" s="13"/>
      <c r="K858" s="13"/>
      <c r="L858" s="13"/>
      <c r="M858" s="16"/>
    </row>
    <row r="859" spans="1:13" ht="51" x14ac:dyDescent="0.25">
      <c r="A859" s="13" t="str">
        <f t="shared" si="114"/>
        <v>1</v>
      </c>
      <c r="B859" s="13" t="str">
        <f t="shared" si="115"/>
        <v>9</v>
      </c>
      <c r="C859" s="13" t="str">
        <f t="shared" si="116"/>
        <v>1</v>
      </c>
      <c r="D859" s="13" t="str">
        <f t="shared" si="117"/>
        <v>4</v>
      </c>
      <c r="E859" s="13" t="str">
        <f t="shared" si="118"/>
        <v>04</v>
      </c>
      <c r="F859" s="13" t="str">
        <f t="shared" si="119"/>
        <v>10</v>
      </c>
      <c r="G859" s="13" t="s">
        <v>848</v>
      </c>
      <c r="H859" s="13" t="s">
        <v>2777</v>
      </c>
      <c r="I859" s="16" t="s">
        <v>3352</v>
      </c>
      <c r="J859" s="13"/>
      <c r="K859" s="13"/>
      <c r="L859" s="13"/>
      <c r="M859" s="16"/>
    </row>
    <row r="860" spans="1:13" ht="38.25" x14ac:dyDescent="0.25">
      <c r="A860" s="13" t="str">
        <f t="shared" si="114"/>
        <v>1</v>
      </c>
      <c r="B860" s="13" t="str">
        <f t="shared" si="115"/>
        <v>9</v>
      </c>
      <c r="C860" s="13" t="str">
        <f t="shared" si="116"/>
        <v>1</v>
      </c>
      <c r="D860" s="13" t="str">
        <f t="shared" si="117"/>
        <v>4</v>
      </c>
      <c r="E860" s="13" t="str">
        <f t="shared" si="118"/>
        <v>04</v>
      </c>
      <c r="F860" s="13" t="str">
        <f t="shared" si="119"/>
        <v>11</v>
      </c>
      <c r="G860" s="13" t="s">
        <v>849</v>
      </c>
      <c r="H860" s="13" t="s">
        <v>2778</v>
      </c>
      <c r="I860" s="16" t="s">
        <v>3353</v>
      </c>
      <c r="J860" s="13"/>
      <c r="K860" s="13"/>
      <c r="L860" s="13"/>
      <c r="M860" s="16"/>
    </row>
    <row r="861" spans="1:13" ht="38.25" x14ac:dyDescent="0.25">
      <c r="A861" s="13" t="str">
        <f t="shared" si="114"/>
        <v>1</v>
      </c>
      <c r="B861" s="13" t="str">
        <f t="shared" si="115"/>
        <v>9</v>
      </c>
      <c r="C861" s="13" t="str">
        <f t="shared" si="116"/>
        <v>1</v>
      </c>
      <c r="D861" s="13" t="str">
        <f t="shared" si="117"/>
        <v>4</v>
      </c>
      <c r="E861" s="13" t="str">
        <f t="shared" si="118"/>
        <v>04</v>
      </c>
      <c r="F861" s="13" t="str">
        <f t="shared" si="119"/>
        <v>12</v>
      </c>
      <c r="G861" s="13" t="s">
        <v>850</v>
      </c>
      <c r="H861" s="13" t="s">
        <v>2779</v>
      </c>
      <c r="I861" s="16" t="s">
        <v>3354</v>
      </c>
      <c r="J861" s="13"/>
      <c r="K861" s="13"/>
      <c r="L861" s="13"/>
      <c r="M861" s="16"/>
    </row>
    <row r="862" spans="1:13" ht="38.25" x14ac:dyDescent="0.25">
      <c r="A862" s="13" t="str">
        <f t="shared" si="114"/>
        <v>1</v>
      </c>
      <c r="B862" s="13" t="str">
        <f t="shared" si="115"/>
        <v>9</v>
      </c>
      <c r="C862" s="13" t="str">
        <f t="shared" si="116"/>
        <v>1</v>
      </c>
      <c r="D862" s="13" t="str">
        <f t="shared" si="117"/>
        <v>4</v>
      </c>
      <c r="E862" s="13" t="str">
        <f t="shared" si="118"/>
        <v>04</v>
      </c>
      <c r="F862" s="13" t="str">
        <f t="shared" si="119"/>
        <v>13</v>
      </c>
      <c r="G862" s="13" t="s">
        <v>851</v>
      </c>
      <c r="H862" s="13" t="s">
        <v>2780</v>
      </c>
      <c r="I862" s="16" t="s">
        <v>3355</v>
      </c>
      <c r="J862" s="13"/>
      <c r="K862" s="13"/>
      <c r="L862" s="13"/>
      <c r="M862" s="16"/>
    </row>
    <row r="863" spans="1:13" ht="38.25" x14ac:dyDescent="0.25">
      <c r="A863" s="13" t="str">
        <f t="shared" si="114"/>
        <v>1</v>
      </c>
      <c r="B863" s="13" t="str">
        <f t="shared" si="115"/>
        <v>9</v>
      </c>
      <c r="C863" s="13" t="str">
        <f t="shared" si="116"/>
        <v>1</v>
      </c>
      <c r="D863" s="13" t="str">
        <f t="shared" si="117"/>
        <v>4</v>
      </c>
      <c r="E863" s="13" t="str">
        <f t="shared" si="118"/>
        <v>04</v>
      </c>
      <c r="F863" s="13" t="str">
        <f t="shared" si="119"/>
        <v>14</v>
      </c>
      <c r="G863" s="13" t="s">
        <v>852</v>
      </c>
      <c r="H863" s="13" t="s">
        <v>2781</v>
      </c>
      <c r="I863" s="16" t="s">
        <v>3356</v>
      </c>
      <c r="J863" s="13"/>
      <c r="K863" s="13"/>
      <c r="L863" s="13"/>
      <c r="M863" s="16"/>
    </row>
    <row r="864" spans="1:13" ht="38.25" x14ac:dyDescent="0.25">
      <c r="A864" s="13" t="str">
        <f t="shared" si="114"/>
        <v>1</v>
      </c>
      <c r="B864" s="13" t="str">
        <f t="shared" si="115"/>
        <v>9</v>
      </c>
      <c r="C864" s="13" t="str">
        <f t="shared" si="116"/>
        <v>1</v>
      </c>
      <c r="D864" s="13" t="str">
        <f t="shared" si="117"/>
        <v>4</v>
      </c>
      <c r="E864" s="13" t="str">
        <f t="shared" si="118"/>
        <v>04</v>
      </c>
      <c r="F864" s="13" t="str">
        <f t="shared" si="119"/>
        <v>15</v>
      </c>
      <c r="G864" s="13" t="s">
        <v>853</v>
      </c>
      <c r="H864" s="13" t="s">
        <v>2782</v>
      </c>
      <c r="I864" s="16" t="s">
        <v>3357</v>
      </c>
      <c r="J864" s="13"/>
      <c r="K864" s="13"/>
      <c r="L864" s="13"/>
      <c r="M864" s="16"/>
    </row>
    <row r="865" spans="1:13" ht="38.25" x14ac:dyDescent="0.25">
      <c r="A865" s="13" t="str">
        <f t="shared" si="114"/>
        <v>1</v>
      </c>
      <c r="B865" s="13" t="str">
        <f t="shared" si="115"/>
        <v>9</v>
      </c>
      <c r="C865" s="13" t="str">
        <f t="shared" si="116"/>
        <v>1</v>
      </c>
      <c r="D865" s="13" t="str">
        <f t="shared" si="117"/>
        <v>4</v>
      </c>
      <c r="E865" s="13" t="str">
        <f t="shared" si="118"/>
        <v>04</v>
      </c>
      <c r="F865" s="13" t="str">
        <f t="shared" si="119"/>
        <v>16</v>
      </c>
      <c r="G865" s="13" t="s">
        <v>854</v>
      </c>
      <c r="H865" s="13" t="s">
        <v>2783</v>
      </c>
      <c r="I865" s="16" t="s">
        <v>3358</v>
      </c>
      <c r="J865" s="13"/>
      <c r="K865" s="13"/>
      <c r="L865" s="13"/>
      <c r="M865" s="16"/>
    </row>
    <row r="866" spans="1:13" ht="38.25" x14ac:dyDescent="0.25">
      <c r="A866" s="13" t="str">
        <f t="shared" si="114"/>
        <v>1</v>
      </c>
      <c r="B866" s="13" t="str">
        <f t="shared" si="115"/>
        <v>9</v>
      </c>
      <c r="C866" s="13" t="str">
        <f t="shared" si="116"/>
        <v>1</v>
      </c>
      <c r="D866" s="13" t="str">
        <f t="shared" si="117"/>
        <v>4</v>
      </c>
      <c r="E866" s="13" t="str">
        <f t="shared" si="118"/>
        <v>04</v>
      </c>
      <c r="F866" s="13" t="str">
        <f t="shared" si="119"/>
        <v>17</v>
      </c>
      <c r="G866" s="13" t="s">
        <v>855</v>
      </c>
      <c r="H866" s="13" t="s">
        <v>2784</v>
      </c>
      <c r="I866" s="16" t="s">
        <v>3359</v>
      </c>
      <c r="J866" s="13"/>
      <c r="K866" s="13"/>
      <c r="L866" s="13"/>
      <c r="M866" s="16"/>
    </row>
    <row r="867" spans="1:13" ht="38.25" x14ac:dyDescent="0.25">
      <c r="A867" s="13" t="str">
        <f t="shared" si="114"/>
        <v>1</v>
      </c>
      <c r="B867" s="13" t="str">
        <f t="shared" si="115"/>
        <v>9</v>
      </c>
      <c r="C867" s="13" t="str">
        <f t="shared" si="116"/>
        <v>1</v>
      </c>
      <c r="D867" s="13" t="str">
        <f t="shared" si="117"/>
        <v>4</v>
      </c>
      <c r="E867" s="13" t="str">
        <f t="shared" si="118"/>
        <v>04</v>
      </c>
      <c r="F867" s="13" t="str">
        <f t="shared" si="119"/>
        <v>18</v>
      </c>
      <c r="G867" s="13" t="s">
        <v>856</v>
      </c>
      <c r="H867" s="13" t="s">
        <v>2785</v>
      </c>
      <c r="I867" s="16" t="s">
        <v>3360</v>
      </c>
      <c r="J867" s="13"/>
      <c r="K867" s="13"/>
      <c r="L867" s="13"/>
      <c r="M867" s="16"/>
    </row>
    <row r="868" spans="1:13" ht="38.25" x14ac:dyDescent="0.25">
      <c r="A868" s="13" t="str">
        <f t="shared" si="114"/>
        <v>1</v>
      </c>
      <c r="B868" s="13" t="str">
        <f t="shared" si="115"/>
        <v>9</v>
      </c>
      <c r="C868" s="13" t="str">
        <f t="shared" si="116"/>
        <v>1</v>
      </c>
      <c r="D868" s="13" t="str">
        <f t="shared" si="117"/>
        <v>4</v>
      </c>
      <c r="E868" s="13" t="str">
        <f t="shared" si="118"/>
        <v>04</v>
      </c>
      <c r="F868" s="13" t="str">
        <f t="shared" si="119"/>
        <v>19</v>
      </c>
      <c r="G868" s="13" t="s">
        <v>857</v>
      </c>
      <c r="H868" s="13" t="s">
        <v>2786</v>
      </c>
      <c r="I868" s="16" t="s">
        <v>3361</v>
      </c>
      <c r="J868" s="13"/>
      <c r="K868" s="13"/>
      <c r="L868" s="13"/>
      <c r="M868" s="16"/>
    </row>
    <row r="869" spans="1:13" ht="25.5" x14ac:dyDescent="0.25">
      <c r="A869" s="13" t="str">
        <f t="shared" si="114"/>
        <v>1</v>
      </c>
      <c r="B869" s="13" t="str">
        <f t="shared" si="115"/>
        <v>9</v>
      </c>
      <c r="C869" s="13" t="str">
        <f t="shared" si="116"/>
        <v>1</v>
      </c>
      <c r="D869" s="13" t="str">
        <f t="shared" si="117"/>
        <v>4</v>
      </c>
      <c r="E869" s="13" t="str">
        <f t="shared" si="118"/>
        <v>04</v>
      </c>
      <c r="F869" s="13" t="str">
        <f t="shared" si="119"/>
        <v>20</v>
      </c>
      <c r="G869" s="13" t="s">
        <v>858</v>
      </c>
      <c r="H869" s="13" t="s">
        <v>2787</v>
      </c>
      <c r="I869" s="16" t="s">
        <v>3362</v>
      </c>
      <c r="J869" s="13"/>
      <c r="K869" s="13"/>
      <c r="L869" s="13"/>
      <c r="M869" s="16"/>
    </row>
    <row r="870" spans="1:13" ht="51" x14ac:dyDescent="0.25">
      <c r="A870" s="13" t="str">
        <f t="shared" si="114"/>
        <v>1</v>
      </c>
      <c r="B870" s="13" t="str">
        <f t="shared" si="115"/>
        <v>9</v>
      </c>
      <c r="C870" s="13" t="str">
        <f t="shared" si="116"/>
        <v>1</v>
      </c>
      <c r="D870" s="13" t="str">
        <f t="shared" si="117"/>
        <v>4</v>
      </c>
      <c r="E870" s="13" t="str">
        <f t="shared" si="118"/>
        <v>04</v>
      </c>
      <c r="F870" s="13" t="str">
        <f t="shared" si="119"/>
        <v>21</v>
      </c>
      <c r="G870" s="13" t="s">
        <v>859</v>
      </c>
      <c r="H870" s="13" t="s">
        <v>2788</v>
      </c>
      <c r="I870" s="16" t="s">
        <v>3363</v>
      </c>
      <c r="J870" s="13"/>
      <c r="K870" s="13"/>
      <c r="L870" s="13"/>
      <c r="M870" s="16"/>
    </row>
    <row r="871" spans="1:13" ht="38.25" x14ac:dyDescent="0.25">
      <c r="A871" s="13" t="str">
        <f t="shared" si="114"/>
        <v>1</v>
      </c>
      <c r="B871" s="13" t="str">
        <f t="shared" si="115"/>
        <v>9</v>
      </c>
      <c r="C871" s="13" t="str">
        <f t="shared" si="116"/>
        <v>1</v>
      </c>
      <c r="D871" s="13" t="str">
        <f t="shared" si="117"/>
        <v>4</v>
      </c>
      <c r="E871" s="13" t="str">
        <f t="shared" si="118"/>
        <v>04</v>
      </c>
      <c r="F871" s="13" t="str">
        <f t="shared" si="119"/>
        <v>22</v>
      </c>
      <c r="G871" s="13" t="s">
        <v>860</v>
      </c>
      <c r="H871" s="13" t="s">
        <v>2789</v>
      </c>
      <c r="I871" s="16" t="s">
        <v>3364</v>
      </c>
      <c r="J871" s="13"/>
      <c r="K871" s="13"/>
      <c r="L871" s="13"/>
      <c r="M871" s="16"/>
    </row>
    <row r="872" spans="1:13" ht="102" x14ac:dyDescent="0.25">
      <c r="A872" s="13" t="str">
        <f t="shared" si="114"/>
        <v>1</v>
      </c>
      <c r="B872" s="13" t="str">
        <f t="shared" si="115"/>
        <v>9</v>
      </c>
      <c r="C872" s="13" t="str">
        <f t="shared" si="116"/>
        <v>1</v>
      </c>
      <c r="D872" s="13" t="str">
        <f t="shared" si="117"/>
        <v>4</v>
      </c>
      <c r="E872" s="13" t="str">
        <f t="shared" si="118"/>
        <v>04</v>
      </c>
      <c r="F872" s="13" t="str">
        <f t="shared" si="119"/>
        <v>24</v>
      </c>
      <c r="G872" s="13" t="s">
        <v>861</v>
      </c>
      <c r="H872" s="13" t="s">
        <v>2790</v>
      </c>
      <c r="I872" s="16" t="s">
        <v>3365</v>
      </c>
      <c r="J872" s="13"/>
      <c r="K872" s="13"/>
      <c r="L872" s="13"/>
      <c r="M872" s="16"/>
    </row>
    <row r="873" spans="1:13" ht="25.5" x14ac:dyDescent="0.25">
      <c r="A873" s="13" t="str">
        <f t="shared" si="114"/>
        <v>1</v>
      </c>
      <c r="B873" s="13" t="str">
        <f t="shared" si="115"/>
        <v>9</v>
      </c>
      <c r="C873" s="13" t="str">
        <f t="shared" si="116"/>
        <v>1</v>
      </c>
      <c r="D873" s="13" t="str">
        <f t="shared" si="117"/>
        <v>4</v>
      </c>
      <c r="E873" s="13" t="str">
        <f t="shared" si="118"/>
        <v>04</v>
      </c>
      <c r="F873" s="13" t="str">
        <f t="shared" si="119"/>
        <v>99</v>
      </c>
      <c r="G873" s="13" t="s">
        <v>862</v>
      </c>
      <c r="H873" s="13" t="s">
        <v>2791</v>
      </c>
      <c r="I873" s="16" t="s">
        <v>3366</v>
      </c>
      <c r="J873" s="13"/>
      <c r="K873" s="13"/>
      <c r="L873" s="13"/>
      <c r="M873" s="16"/>
    </row>
    <row r="874" spans="1:13" ht="25.5" x14ac:dyDescent="0.25">
      <c r="A874" s="21" t="str">
        <f t="shared" si="114"/>
        <v>1</v>
      </c>
      <c r="B874" s="21" t="str">
        <f t="shared" si="115"/>
        <v>9</v>
      </c>
      <c r="C874" s="21" t="str">
        <f t="shared" si="116"/>
        <v>1</v>
      </c>
      <c r="D874" s="21" t="str">
        <f t="shared" si="117"/>
        <v>4</v>
      </c>
      <c r="E874" s="21" t="str">
        <f t="shared" si="118"/>
        <v>05</v>
      </c>
      <c r="F874" s="21" t="str">
        <f t="shared" si="119"/>
        <v>00</v>
      </c>
      <c r="G874" s="21" t="s">
        <v>863</v>
      </c>
      <c r="H874" s="21" t="s">
        <v>2792</v>
      </c>
      <c r="I874" s="22" t="s">
        <v>3367</v>
      </c>
      <c r="J874" s="21"/>
      <c r="K874" s="21"/>
      <c r="L874" s="21"/>
      <c r="M874" s="21"/>
    </row>
    <row r="875" spans="1:13" ht="38.25" x14ac:dyDescent="0.25">
      <c r="A875" s="13" t="str">
        <f t="shared" si="114"/>
        <v>1</v>
      </c>
      <c r="B875" s="13" t="str">
        <f t="shared" si="115"/>
        <v>9</v>
      </c>
      <c r="C875" s="13" t="str">
        <f t="shared" si="116"/>
        <v>1</v>
      </c>
      <c r="D875" s="13" t="str">
        <f t="shared" si="117"/>
        <v>4</v>
      </c>
      <c r="E875" s="13" t="str">
        <f t="shared" si="118"/>
        <v>05</v>
      </c>
      <c r="F875" s="13" t="str">
        <f t="shared" si="119"/>
        <v>01</v>
      </c>
      <c r="G875" s="13" t="s">
        <v>864</v>
      </c>
      <c r="H875" s="13" t="s">
        <v>2793</v>
      </c>
      <c r="I875" s="16" t="s">
        <v>3368</v>
      </c>
      <c r="J875" s="13"/>
      <c r="K875" s="13"/>
      <c r="L875" s="13"/>
      <c r="M875" s="16"/>
    </row>
    <row r="876" spans="1:13" ht="38.25" x14ac:dyDescent="0.25">
      <c r="A876" s="13" t="str">
        <f t="shared" si="114"/>
        <v>1</v>
      </c>
      <c r="B876" s="13" t="str">
        <f t="shared" si="115"/>
        <v>9</v>
      </c>
      <c r="C876" s="13" t="str">
        <f t="shared" si="116"/>
        <v>1</v>
      </c>
      <c r="D876" s="13" t="str">
        <f t="shared" si="117"/>
        <v>4</v>
      </c>
      <c r="E876" s="13" t="str">
        <f t="shared" si="118"/>
        <v>05</v>
      </c>
      <c r="F876" s="13" t="str">
        <f t="shared" si="119"/>
        <v>02</v>
      </c>
      <c r="G876" s="13" t="s">
        <v>865</v>
      </c>
      <c r="H876" s="13" t="s">
        <v>2794</v>
      </c>
      <c r="I876" s="16" t="s">
        <v>3369</v>
      </c>
      <c r="J876" s="13"/>
      <c r="K876" s="13"/>
      <c r="L876" s="13"/>
      <c r="M876" s="16"/>
    </row>
    <row r="877" spans="1:13" ht="38.25" x14ac:dyDescent="0.25">
      <c r="A877" s="21" t="str">
        <f t="shared" si="114"/>
        <v>1</v>
      </c>
      <c r="B877" s="21" t="str">
        <f t="shared" si="115"/>
        <v>9</v>
      </c>
      <c r="C877" s="21" t="str">
        <f t="shared" si="116"/>
        <v>1</v>
      </c>
      <c r="D877" s="21" t="str">
        <f t="shared" si="117"/>
        <v>4</v>
      </c>
      <c r="E877" s="21" t="str">
        <f t="shared" si="118"/>
        <v>06</v>
      </c>
      <c r="F877" s="21" t="str">
        <f t="shared" si="119"/>
        <v>00</v>
      </c>
      <c r="G877" s="21" t="s">
        <v>866</v>
      </c>
      <c r="H877" s="21" t="s">
        <v>2795</v>
      </c>
      <c r="I877" s="22" t="s">
        <v>3370</v>
      </c>
      <c r="J877" s="21"/>
      <c r="K877" s="21"/>
      <c r="L877" s="21"/>
      <c r="M877" s="21"/>
    </row>
    <row r="878" spans="1:13" ht="38.25" x14ac:dyDescent="0.25">
      <c r="A878" s="13" t="str">
        <f t="shared" si="114"/>
        <v>1</v>
      </c>
      <c r="B878" s="13" t="str">
        <f t="shared" si="115"/>
        <v>9</v>
      </c>
      <c r="C878" s="13" t="str">
        <f t="shared" si="116"/>
        <v>1</v>
      </c>
      <c r="D878" s="13" t="str">
        <f t="shared" si="117"/>
        <v>4</v>
      </c>
      <c r="E878" s="13" t="str">
        <f t="shared" si="118"/>
        <v>06</v>
      </c>
      <c r="F878" s="13" t="str">
        <f t="shared" si="119"/>
        <v>01</v>
      </c>
      <c r="G878" s="13" t="s">
        <v>867</v>
      </c>
      <c r="H878" s="13" t="s">
        <v>2796</v>
      </c>
      <c r="I878" s="16" t="s">
        <v>3371</v>
      </c>
      <c r="J878" s="13"/>
      <c r="K878" s="13"/>
      <c r="L878" s="13"/>
      <c r="M878" s="16"/>
    </row>
    <row r="879" spans="1:13" ht="38.25" x14ac:dyDescent="0.25">
      <c r="A879" s="13" t="str">
        <f t="shared" si="114"/>
        <v>1</v>
      </c>
      <c r="B879" s="13" t="str">
        <f t="shared" si="115"/>
        <v>9</v>
      </c>
      <c r="C879" s="13" t="str">
        <f t="shared" si="116"/>
        <v>1</v>
      </c>
      <c r="D879" s="13" t="str">
        <f t="shared" si="117"/>
        <v>4</v>
      </c>
      <c r="E879" s="13" t="str">
        <f t="shared" si="118"/>
        <v>06</v>
      </c>
      <c r="F879" s="13" t="str">
        <f t="shared" si="119"/>
        <v>02</v>
      </c>
      <c r="G879" s="13" t="s">
        <v>868</v>
      </c>
      <c r="H879" s="13" t="s">
        <v>2797</v>
      </c>
      <c r="I879" s="16" t="s">
        <v>3372</v>
      </c>
      <c r="J879" s="13"/>
      <c r="K879" s="13"/>
      <c r="L879" s="13"/>
      <c r="M879" s="16"/>
    </row>
    <row r="880" spans="1:13" ht="38.25" x14ac:dyDescent="0.25">
      <c r="A880" s="21" t="str">
        <f t="shared" si="114"/>
        <v>1</v>
      </c>
      <c r="B880" s="21" t="str">
        <f t="shared" si="115"/>
        <v>9</v>
      </c>
      <c r="C880" s="21" t="str">
        <f t="shared" si="116"/>
        <v>1</v>
      </c>
      <c r="D880" s="21" t="str">
        <f t="shared" si="117"/>
        <v>4</v>
      </c>
      <c r="E880" s="21" t="str">
        <f t="shared" si="118"/>
        <v>07</v>
      </c>
      <c r="F880" s="21" t="str">
        <f t="shared" si="119"/>
        <v>00</v>
      </c>
      <c r="G880" s="21" t="s">
        <v>869</v>
      </c>
      <c r="H880" s="21" t="s">
        <v>2798</v>
      </c>
      <c r="I880" s="22" t="s">
        <v>3373</v>
      </c>
      <c r="J880" s="21"/>
      <c r="K880" s="21"/>
      <c r="L880" s="21"/>
      <c r="M880" s="21"/>
    </row>
    <row r="881" spans="1:13" ht="38.25" x14ac:dyDescent="0.25">
      <c r="A881" s="13" t="str">
        <f t="shared" si="114"/>
        <v>1</v>
      </c>
      <c r="B881" s="13" t="str">
        <f t="shared" si="115"/>
        <v>9</v>
      </c>
      <c r="C881" s="13" t="str">
        <f t="shared" si="116"/>
        <v>1</v>
      </c>
      <c r="D881" s="13" t="str">
        <f t="shared" si="117"/>
        <v>4</v>
      </c>
      <c r="E881" s="13" t="str">
        <f t="shared" si="118"/>
        <v>07</v>
      </c>
      <c r="F881" s="13" t="str">
        <f t="shared" si="119"/>
        <v>01</v>
      </c>
      <c r="G881" s="13" t="s">
        <v>870</v>
      </c>
      <c r="H881" s="13" t="s">
        <v>2799</v>
      </c>
      <c r="I881" s="16" t="s">
        <v>3374</v>
      </c>
      <c r="J881" s="13"/>
      <c r="K881" s="13" t="s">
        <v>4018</v>
      </c>
      <c r="L881" s="13" t="s">
        <v>4204</v>
      </c>
      <c r="M881" s="16"/>
    </row>
    <row r="882" spans="1:13" ht="38.25" x14ac:dyDescent="0.25">
      <c r="A882" s="13" t="str">
        <f t="shared" si="114"/>
        <v>1</v>
      </c>
      <c r="B882" s="13" t="str">
        <f t="shared" si="115"/>
        <v>9</v>
      </c>
      <c r="C882" s="13" t="str">
        <f t="shared" si="116"/>
        <v>1</v>
      </c>
      <c r="D882" s="13" t="str">
        <f t="shared" si="117"/>
        <v>4</v>
      </c>
      <c r="E882" s="13" t="str">
        <f t="shared" si="118"/>
        <v>07</v>
      </c>
      <c r="F882" s="13" t="str">
        <f t="shared" si="119"/>
        <v>02</v>
      </c>
      <c r="G882" s="13" t="s">
        <v>871</v>
      </c>
      <c r="H882" s="13" t="s">
        <v>2800</v>
      </c>
      <c r="I882" s="16" t="s">
        <v>3375</v>
      </c>
      <c r="J882" s="13"/>
      <c r="K882" s="13" t="s">
        <v>4018</v>
      </c>
      <c r="L882" s="13" t="s">
        <v>4204</v>
      </c>
      <c r="M882" s="16"/>
    </row>
    <row r="883" spans="1:13" ht="38.25" x14ac:dyDescent="0.25">
      <c r="A883" s="13" t="str">
        <f t="shared" si="114"/>
        <v>1</v>
      </c>
      <c r="B883" s="13" t="str">
        <f t="shared" si="115"/>
        <v>9</v>
      </c>
      <c r="C883" s="13" t="str">
        <f t="shared" si="116"/>
        <v>1</v>
      </c>
      <c r="D883" s="13" t="str">
        <f t="shared" si="117"/>
        <v>4</v>
      </c>
      <c r="E883" s="13" t="str">
        <f t="shared" si="118"/>
        <v>07</v>
      </c>
      <c r="F883" s="13" t="str">
        <f t="shared" si="119"/>
        <v>03</v>
      </c>
      <c r="G883" s="13" t="s">
        <v>872</v>
      </c>
      <c r="H883" s="13" t="s">
        <v>2801</v>
      </c>
      <c r="I883" s="16" t="s">
        <v>3376</v>
      </c>
      <c r="J883" s="13"/>
      <c r="K883" s="13" t="s">
        <v>4018</v>
      </c>
      <c r="L883" s="13" t="s">
        <v>4204</v>
      </c>
      <c r="M883" s="16"/>
    </row>
    <row r="884" spans="1:13" ht="38.25" x14ac:dyDescent="0.25">
      <c r="A884" s="13" t="str">
        <f t="shared" si="114"/>
        <v>1</v>
      </c>
      <c r="B884" s="13" t="str">
        <f t="shared" si="115"/>
        <v>9</v>
      </c>
      <c r="C884" s="13" t="str">
        <f t="shared" si="116"/>
        <v>1</v>
      </c>
      <c r="D884" s="13" t="str">
        <f t="shared" si="117"/>
        <v>4</v>
      </c>
      <c r="E884" s="13" t="str">
        <f t="shared" si="118"/>
        <v>07</v>
      </c>
      <c r="F884" s="13" t="str">
        <f t="shared" si="119"/>
        <v>04</v>
      </c>
      <c r="G884" s="13" t="s">
        <v>873</v>
      </c>
      <c r="H884" s="13" t="s">
        <v>2802</v>
      </c>
      <c r="I884" s="16" t="s">
        <v>3377</v>
      </c>
      <c r="J884" s="13"/>
      <c r="K884" s="13" t="s">
        <v>4018</v>
      </c>
      <c r="L884" s="13" t="s">
        <v>4204</v>
      </c>
      <c r="M884" s="16"/>
    </row>
    <row r="885" spans="1:13" ht="38.25" x14ac:dyDescent="0.25">
      <c r="A885" s="13" t="str">
        <f t="shared" si="114"/>
        <v>1</v>
      </c>
      <c r="B885" s="13" t="str">
        <f t="shared" si="115"/>
        <v>9</v>
      </c>
      <c r="C885" s="13" t="str">
        <f t="shared" si="116"/>
        <v>1</v>
      </c>
      <c r="D885" s="13" t="str">
        <f t="shared" si="117"/>
        <v>4</v>
      </c>
      <c r="E885" s="13" t="str">
        <f t="shared" si="118"/>
        <v>07</v>
      </c>
      <c r="F885" s="13" t="str">
        <f t="shared" si="119"/>
        <v>05</v>
      </c>
      <c r="G885" s="13" t="s">
        <v>874</v>
      </c>
      <c r="H885" s="13" t="s">
        <v>2803</v>
      </c>
      <c r="I885" s="16" t="s">
        <v>3378</v>
      </c>
      <c r="J885" s="13"/>
      <c r="K885" s="13" t="s">
        <v>4018</v>
      </c>
      <c r="L885" s="13" t="s">
        <v>4204</v>
      </c>
      <c r="M885" s="16"/>
    </row>
    <row r="886" spans="1:13" ht="38.25" x14ac:dyDescent="0.25">
      <c r="A886" s="13" t="str">
        <f t="shared" si="114"/>
        <v>1</v>
      </c>
      <c r="B886" s="13" t="str">
        <f t="shared" si="115"/>
        <v>9</v>
      </c>
      <c r="C886" s="13" t="str">
        <f t="shared" si="116"/>
        <v>1</v>
      </c>
      <c r="D886" s="13" t="str">
        <f t="shared" si="117"/>
        <v>4</v>
      </c>
      <c r="E886" s="13" t="str">
        <f t="shared" si="118"/>
        <v>07</v>
      </c>
      <c r="F886" s="13" t="str">
        <f t="shared" si="119"/>
        <v>06</v>
      </c>
      <c r="G886" s="13" t="s">
        <v>875</v>
      </c>
      <c r="H886" s="13" t="s">
        <v>2804</v>
      </c>
      <c r="I886" s="16" t="s">
        <v>3379</v>
      </c>
      <c r="J886" s="13"/>
      <c r="K886" s="13" t="s">
        <v>4018</v>
      </c>
      <c r="L886" s="13" t="s">
        <v>4204</v>
      </c>
      <c r="M886" s="16"/>
    </row>
    <row r="887" spans="1:13" ht="38.25" x14ac:dyDescent="0.25">
      <c r="A887" s="21" t="str">
        <f t="shared" si="114"/>
        <v>1</v>
      </c>
      <c r="B887" s="21" t="str">
        <f t="shared" si="115"/>
        <v>9</v>
      </c>
      <c r="C887" s="21" t="str">
        <f t="shared" si="116"/>
        <v>1</v>
      </c>
      <c r="D887" s="21" t="str">
        <f t="shared" si="117"/>
        <v>4</v>
      </c>
      <c r="E887" s="21" t="str">
        <f t="shared" si="118"/>
        <v>08</v>
      </c>
      <c r="F887" s="21" t="str">
        <f t="shared" si="119"/>
        <v>00</v>
      </c>
      <c r="G887" s="21" t="s">
        <v>876</v>
      </c>
      <c r="H887" s="21" t="s">
        <v>2805</v>
      </c>
      <c r="I887" s="22" t="s">
        <v>3380</v>
      </c>
      <c r="J887" s="21"/>
      <c r="K887" s="21"/>
      <c r="L887" s="21"/>
      <c r="M887" s="21"/>
    </row>
    <row r="888" spans="1:13" ht="38.25" x14ac:dyDescent="0.25">
      <c r="A888" s="21" t="str">
        <f t="shared" si="114"/>
        <v>1</v>
      </c>
      <c r="B888" s="21" t="str">
        <f t="shared" si="115"/>
        <v>9</v>
      </c>
      <c r="C888" s="21" t="str">
        <f t="shared" si="116"/>
        <v>1</v>
      </c>
      <c r="D888" s="21" t="str">
        <f t="shared" si="117"/>
        <v>4</v>
      </c>
      <c r="E888" s="21" t="str">
        <f t="shared" si="118"/>
        <v>09</v>
      </c>
      <c r="F888" s="21" t="str">
        <f t="shared" si="119"/>
        <v>00</v>
      </c>
      <c r="G888" s="21" t="s">
        <v>877</v>
      </c>
      <c r="H888" s="21" t="s">
        <v>2806</v>
      </c>
      <c r="I888" s="22" t="s">
        <v>3381</v>
      </c>
      <c r="J888" s="21"/>
      <c r="K888" s="21"/>
      <c r="L888" s="21"/>
      <c r="M888" s="21"/>
    </row>
    <row r="889" spans="1:13" ht="38.25" x14ac:dyDescent="0.25">
      <c r="A889" s="21" t="str">
        <f t="shared" si="114"/>
        <v>1</v>
      </c>
      <c r="B889" s="21" t="str">
        <f t="shared" si="115"/>
        <v>9</v>
      </c>
      <c r="C889" s="21" t="str">
        <f t="shared" si="116"/>
        <v>1</v>
      </c>
      <c r="D889" s="21" t="str">
        <f t="shared" si="117"/>
        <v>4</v>
      </c>
      <c r="E889" s="21" t="str">
        <f t="shared" si="118"/>
        <v>10</v>
      </c>
      <c r="F889" s="21" t="str">
        <f t="shared" si="119"/>
        <v>00</v>
      </c>
      <c r="G889" s="21" t="s">
        <v>878</v>
      </c>
      <c r="H889" s="21" t="s">
        <v>2807</v>
      </c>
      <c r="I889" s="22" t="s">
        <v>3382</v>
      </c>
      <c r="J889" s="21"/>
      <c r="K889" s="21"/>
      <c r="L889" s="21"/>
      <c r="M889" s="21"/>
    </row>
    <row r="890" spans="1:13" ht="63.75" x14ac:dyDescent="0.25">
      <c r="A890" s="21" t="str">
        <f t="shared" si="114"/>
        <v>1</v>
      </c>
      <c r="B890" s="21" t="str">
        <f t="shared" si="115"/>
        <v>9</v>
      </c>
      <c r="C890" s="21" t="str">
        <f t="shared" si="116"/>
        <v>1</v>
      </c>
      <c r="D890" s="21" t="str">
        <f t="shared" si="117"/>
        <v>4</v>
      </c>
      <c r="E890" s="21" t="str">
        <f t="shared" si="118"/>
        <v>11</v>
      </c>
      <c r="F890" s="21" t="str">
        <f t="shared" si="119"/>
        <v>00</v>
      </c>
      <c r="G890" s="21" t="s">
        <v>879</v>
      </c>
      <c r="H890" s="21" t="s">
        <v>2808</v>
      </c>
      <c r="I890" s="22" t="s">
        <v>3383</v>
      </c>
      <c r="J890" s="21"/>
      <c r="K890" s="21"/>
      <c r="L890" s="21"/>
      <c r="M890" s="21"/>
    </row>
    <row r="891" spans="1:13" ht="63.75" x14ac:dyDescent="0.25">
      <c r="A891" s="13" t="str">
        <f t="shared" si="114"/>
        <v>1</v>
      </c>
      <c r="B891" s="13" t="str">
        <f t="shared" si="115"/>
        <v>9</v>
      </c>
      <c r="C891" s="13" t="str">
        <f t="shared" si="116"/>
        <v>1</v>
      </c>
      <c r="D891" s="13" t="str">
        <f t="shared" si="117"/>
        <v>4</v>
      </c>
      <c r="E891" s="13" t="str">
        <f t="shared" si="118"/>
        <v>11</v>
      </c>
      <c r="F891" s="13" t="str">
        <f t="shared" si="119"/>
        <v>01</v>
      </c>
      <c r="G891" s="13" t="s">
        <v>880</v>
      </c>
      <c r="H891" s="13" t="s">
        <v>2809</v>
      </c>
      <c r="I891" s="16" t="s">
        <v>3384</v>
      </c>
      <c r="J891" s="13"/>
      <c r="K891" s="13"/>
      <c r="L891" s="13"/>
      <c r="M891" s="16"/>
    </row>
    <row r="892" spans="1:13" ht="63.75" x14ac:dyDescent="0.25">
      <c r="A892" s="13" t="str">
        <f t="shared" si="114"/>
        <v>1</v>
      </c>
      <c r="B892" s="13" t="str">
        <f t="shared" si="115"/>
        <v>9</v>
      </c>
      <c r="C892" s="13" t="str">
        <f t="shared" si="116"/>
        <v>1</v>
      </c>
      <c r="D892" s="13" t="str">
        <f t="shared" si="117"/>
        <v>4</v>
      </c>
      <c r="E892" s="13" t="str">
        <f t="shared" si="118"/>
        <v>11</v>
      </c>
      <c r="F892" s="13" t="str">
        <f t="shared" si="119"/>
        <v>02</v>
      </c>
      <c r="G892" s="13" t="s">
        <v>881</v>
      </c>
      <c r="H892" s="13" t="s">
        <v>2810</v>
      </c>
      <c r="I892" s="16" t="s">
        <v>3385</v>
      </c>
      <c r="J892" s="13"/>
      <c r="K892" s="13"/>
      <c r="L892" s="13"/>
      <c r="M892" s="16"/>
    </row>
    <row r="893" spans="1:13" ht="38.25" x14ac:dyDescent="0.25">
      <c r="A893" s="21" t="str">
        <f t="shared" si="114"/>
        <v>1</v>
      </c>
      <c r="B893" s="21" t="str">
        <f t="shared" si="115"/>
        <v>9</v>
      </c>
      <c r="C893" s="21" t="str">
        <f t="shared" si="116"/>
        <v>1</v>
      </c>
      <c r="D893" s="21" t="str">
        <f t="shared" si="117"/>
        <v>4</v>
      </c>
      <c r="E893" s="21" t="str">
        <f t="shared" si="118"/>
        <v>12</v>
      </c>
      <c r="F893" s="21" t="str">
        <f t="shared" si="119"/>
        <v>00</v>
      </c>
      <c r="G893" s="21" t="s">
        <v>882</v>
      </c>
      <c r="H893" s="21" t="s">
        <v>2811</v>
      </c>
      <c r="I893" s="22" t="s">
        <v>3386</v>
      </c>
      <c r="J893" s="21"/>
      <c r="K893" s="21"/>
      <c r="L893" s="21"/>
      <c r="M893" s="21"/>
    </row>
    <row r="894" spans="1:13" ht="38.25" x14ac:dyDescent="0.25">
      <c r="A894" s="13" t="str">
        <f t="shared" si="114"/>
        <v>1</v>
      </c>
      <c r="B894" s="13" t="str">
        <f t="shared" si="115"/>
        <v>9</v>
      </c>
      <c r="C894" s="13" t="str">
        <f t="shared" si="116"/>
        <v>1</v>
      </c>
      <c r="D894" s="13" t="str">
        <f t="shared" si="117"/>
        <v>4</v>
      </c>
      <c r="E894" s="13" t="str">
        <f t="shared" si="118"/>
        <v>12</v>
      </c>
      <c r="F894" s="13" t="str">
        <f t="shared" si="119"/>
        <v>01</v>
      </c>
      <c r="G894" s="13" t="s">
        <v>883</v>
      </c>
      <c r="H894" s="13" t="s">
        <v>2812</v>
      </c>
      <c r="I894" s="16" t="s">
        <v>3387</v>
      </c>
      <c r="J894" s="13"/>
      <c r="K894" s="13"/>
      <c r="L894" s="13"/>
      <c r="M894" s="16"/>
    </row>
    <row r="895" spans="1:13" ht="51" x14ac:dyDescent="0.25">
      <c r="A895" s="13" t="str">
        <f t="shared" si="114"/>
        <v>1</v>
      </c>
      <c r="B895" s="13" t="str">
        <f t="shared" si="115"/>
        <v>9</v>
      </c>
      <c r="C895" s="13" t="str">
        <f t="shared" si="116"/>
        <v>1</v>
      </c>
      <c r="D895" s="13" t="str">
        <f t="shared" si="117"/>
        <v>4</v>
      </c>
      <c r="E895" s="13" t="str">
        <f t="shared" si="118"/>
        <v>12</v>
      </c>
      <c r="F895" s="13" t="str">
        <f t="shared" si="119"/>
        <v>02</v>
      </c>
      <c r="G895" s="13" t="s">
        <v>884</v>
      </c>
      <c r="H895" s="13" t="s">
        <v>2813</v>
      </c>
      <c r="I895" s="16" t="s">
        <v>3388</v>
      </c>
      <c r="J895" s="13"/>
      <c r="K895" s="13"/>
      <c r="L895" s="13"/>
      <c r="M895" s="16"/>
    </row>
    <row r="896" spans="1:13" ht="38.25" x14ac:dyDescent="0.25">
      <c r="A896" s="13" t="str">
        <f t="shared" si="114"/>
        <v>1</v>
      </c>
      <c r="B896" s="13" t="str">
        <f t="shared" si="115"/>
        <v>9</v>
      </c>
      <c r="C896" s="13" t="str">
        <f t="shared" si="116"/>
        <v>1</v>
      </c>
      <c r="D896" s="13" t="str">
        <f t="shared" si="117"/>
        <v>4</v>
      </c>
      <c r="E896" s="13" t="str">
        <f t="shared" si="118"/>
        <v>12</v>
      </c>
      <c r="F896" s="13" t="str">
        <f t="shared" si="119"/>
        <v>03</v>
      </c>
      <c r="G896" s="13" t="s">
        <v>885</v>
      </c>
      <c r="H896" s="13" t="s">
        <v>2814</v>
      </c>
      <c r="I896" s="16" t="s">
        <v>3389</v>
      </c>
      <c r="J896" s="13"/>
      <c r="K896" s="13"/>
      <c r="L896" s="13"/>
      <c r="M896" s="16"/>
    </row>
    <row r="897" spans="1:13" ht="51" x14ac:dyDescent="0.25">
      <c r="A897" s="13" t="str">
        <f t="shared" si="114"/>
        <v>1</v>
      </c>
      <c r="B897" s="13" t="str">
        <f t="shared" si="115"/>
        <v>9</v>
      </c>
      <c r="C897" s="13" t="str">
        <f t="shared" si="116"/>
        <v>1</v>
      </c>
      <c r="D897" s="13" t="str">
        <f t="shared" si="117"/>
        <v>4</v>
      </c>
      <c r="E897" s="13" t="str">
        <f t="shared" si="118"/>
        <v>12</v>
      </c>
      <c r="F897" s="13" t="str">
        <f t="shared" si="119"/>
        <v>04</v>
      </c>
      <c r="G897" s="13" t="s">
        <v>886</v>
      </c>
      <c r="H897" s="13" t="s">
        <v>2815</v>
      </c>
      <c r="I897" s="16" t="s">
        <v>3390</v>
      </c>
      <c r="J897" s="13"/>
      <c r="K897" s="13"/>
      <c r="L897" s="13"/>
      <c r="M897" s="16"/>
    </row>
    <row r="898" spans="1:13" ht="63.75" x14ac:dyDescent="0.25">
      <c r="A898" s="13" t="str">
        <f t="shared" si="114"/>
        <v>1</v>
      </c>
      <c r="B898" s="13" t="str">
        <f t="shared" si="115"/>
        <v>9</v>
      </c>
      <c r="C898" s="13" t="str">
        <f t="shared" si="116"/>
        <v>1</v>
      </c>
      <c r="D898" s="13" t="str">
        <f t="shared" si="117"/>
        <v>4</v>
      </c>
      <c r="E898" s="13" t="str">
        <f t="shared" si="118"/>
        <v>12</v>
      </c>
      <c r="F898" s="13" t="str">
        <f t="shared" si="119"/>
        <v>05</v>
      </c>
      <c r="G898" s="13" t="s">
        <v>887</v>
      </c>
      <c r="H898" s="13" t="s">
        <v>2816</v>
      </c>
      <c r="I898" s="16" t="s">
        <v>3391</v>
      </c>
      <c r="J898" s="13"/>
      <c r="K898" s="13"/>
      <c r="L898" s="13"/>
      <c r="M898" s="16"/>
    </row>
    <row r="899" spans="1:13" ht="63.75" x14ac:dyDescent="0.25">
      <c r="A899" s="13" t="str">
        <f t="shared" si="114"/>
        <v>1</v>
      </c>
      <c r="B899" s="13" t="str">
        <f t="shared" si="115"/>
        <v>9</v>
      </c>
      <c r="C899" s="13" t="str">
        <f t="shared" si="116"/>
        <v>1</v>
      </c>
      <c r="D899" s="13" t="str">
        <f t="shared" si="117"/>
        <v>4</v>
      </c>
      <c r="E899" s="13" t="str">
        <f t="shared" si="118"/>
        <v>12</v>
      </c>
      <c r="F899" s="13" t="str">
        <f t="shared" si="119"/>
        <v>06</v>
      </c>
      <c r="G899" s="13" t="s">
        <v>888</v>
      </c>
      <c r="H899" s="13" t="s">
        <v>2817</v>
      </c>
      <c r="I899" s="16" t="s">
        <v>3392</v>
      </c>
      <c r="J899" s="13"/>
      <c r="K899" s="13"/>
      <c r="L899" s="13"/>
      <c r="M899" s="16"/>
    </row>
    <row r="900" spans="1:13" ht="38.25" x14ac:dyDescent="0.25">
      <c r="A900" s="13" t="str">
        <f t="shared" si="114"/>
        <v>1</v>
      </c>
      <c r="B900" s="13" t="str">
        <f t="shared" si="115"/>
        <v>9</v>
      </c>
      <c r="C900" s="13" t="str">
        <f t="shared" si="116"/>
        <v>1</v>
      </c>
      <c r="D900" s="13" t="str">
        <f t="shared" si="117"/>
        <v>4</v>
      </c>
      <c r="E900" s="13" t="str">
        <f t="shared" si="118"/>
        <v>12</v>
      </c>
      <c r="F900" s="13" t="str">
        <f t="shared" si="119"/>
        <v>07</v>
      </c>
      <c r="G900" s="13" t="s">
        <v>889</v>
      </c>
      <c r="H900" s="13" t="s">
        <v>2818</v>
      </c>
      <c r="I900" s="16" t="s">
        <v>3393</v>
      </c>
      <c r="J900" s="13"/>
      <c r="K900" s="13"/>
      <c r="L900" s="13"/>
      <c r="M900" s="16"/>
    </row>
    <row r="901" spans="1:13" ht="51" x14ac:dyDescent="0.25">
      <c r="A901" s="13" t="str">
        <f t="shared" si="114"/>
        <v>1</v>
      </c>
      <c r="B901" s="13" t="str">
        <f t="shared" si="115"/>
        <v>9</v>
      </c>
      <c r="C901" s="13" t="str">
        <f t="shared" si="116"/>
        <v>1</v>
      </c>
      <c r="D901" s="13" t="str">
        <f t="shared" si="117"/>
        <v>4</v>
      </c>
      <c r="E901" s="13" t="str">
        <f t="shared" si="118"/>
        <v>12</v>
      </c>
      <c r="F901" s="13" t="str">
        <f t="shared" si="119"/>
        <v>08</v>
      </c>
      <c r="G901" s="13" t="s">
        <v>890</v>
      </c>
      <c r="H901" s="13" t="s">
        <v>2819</v>
      </c>
      <c r="I901" s="16" t="s">
        <v>3394</v>
      </c>
      <c r="J901" s="13"/>
      <c r="K901" s="13"/>
      <c r="L901" s="13"/>
      <c r="M901" s="16"/>
    </row>
    <row r="902" spans="1:13" ht="38.25" x14ac:dyDescent="0.25">
      <c r="A902" s="13" t="str">
        <f t="shared" ref="A902:A965" si="120">MID(G902,1,1)</f>
        <v>1</v>
      </c>
      <c r="B902" s="13" t="str">
        <f t="shared" ref="B902:B965" si="121">MID(G902,2,1)</f>
        <v>9</v>
      </c>
      <c r="C902" s="13" t="str">
        <f t="shared" ref="C902:C965" si="122">MID(G902,3,1)</f>
        <v>1</v>
      </c>
      <c r="D902" s="13" t="str">
        <f t="shared" ref="D902:D965" si="123">MID(G902,4,1)</f>
        <v>4</v>
      </c>
      <c r="E902" s="13" t="str">
        <f t="shared" ref="E902:E965" si="124">MID(G902,6,2)</f>
        <v>12</v>
      </c>
      <c r="F902" s="13" t="str">
        <f t="shared" ref="F902:F965" si="125">MID(G902,9,2)</f>
        <v>09</v>
      </c>
      <c r="G902" s="13" t="s">
        <v>891</v>
      </c>
      <c r="H902" s="13" t="s">
        <v>2820</v>
      </c>
      <c r="I902" s="16" t="s">
        <v>3395</v>
      </c>
      <c r="J902" s="13"/>
      <c r="K902" s="13"/>
      <c r="L902" s="13"/>
      <c r="M902" s="16"/>
    </row>
    <row r="903" spans="1:13" ht="38.25" x14ac:dyDescent="0.25">
      <c r="A903" s="13" t="str">
        <f t="shared" si="120"/>
        <v>1</v>
      </c>
      <c r="B903" s="13" t="str">
        <f t="shared" si="121"/>
        <v>9</v>
      </c>
      <c r="C903" s="13" t="str">
        <f t="shared" si="122"/>
        <v>1</v>
      </c>
      <c r="D903" s="13" t="str">
        <f t="shared" si="123"/>
        <v>4</v>
      </c>
      <c r="E903" s="13" t="str">
        <f t="shared" si="124"/>
        <v>12</v>
      </c>
      <c r="F903" s="13" t="str">
        <f t="shared" si="125"/>
        <v>10</v>
      </c>
      <c r="G903" s="13" t="s">
        <v>892</v>
      </c>
      <c r="H903" s="13" t="s">
        <v>2821</v>
      </c>
      <c r="I903" s="16" t="s">
        <v>3396</v>
      </c>
      <c r="J903" s="13"/>
      <c r="K903" s="13"/>
      <c r="L903" s="13"/>
      <c r="M903" s="16"/>
    </row>
    <row r="904" spans="1:13" ht="38.25" x14ac:dyDescent="0.25">
      <c r="A904" s="13" t="str">
        <f t="shared" si="120"/>
        <v>1</v>
      </c>
      <c r="B904" s="13" t="str">
        <f t="shared" si="121"/>
        <v>9</v>
      </c>
      <c r="C904" s="13" t="str">
        <f t="shared" si="122"/>
        <v>1</v>
      </c>
      <c r="D904" s="13" t="str">
        <f t="shared" si="123"/>
        <v>4</v>
      </c>
      <c r="E904" s="13" t="str">
        <f t="shared" si="124"/>
        <v>12</v>
      </c>
      <c r="F904" s="13" t="str">
        <f t="shared" si="125"/>
        <v>11</v>
      </c>
      <c r="G904" s="13" t="s">
        <v>893</v>
      </c>
      <c r="H904" s="13" t="s">
        <v>2822</v>
      </c>
      <c r="I904" s="16" t="s">
        <v>3397</v>
      </c>
      <c r="J904" s="13"/>
      <c r="K904" s="13"/>
      <c r="L904" s="13"/>
      <c r="M904" s="16"/>
    </row>
    <row r="905" spans="1:13" ht="38.25" x14ac:dyDescent="0.25">
      <c r="A905" s="13" t="str">
        <f t="shared" si="120"/>
        <v>1</v>
      </c>
      <c r="B905" s="13" t="str">
        <f t="shared" si="121"/>
        <v>9</v>
      </c>
      <c r="C905" s="13" t="str">
        <f t="shared" si="122"/>
        <v>1</v>
      </c>
      <c r="D905" s="13" t="str">
        <f t="shared" si="123"/>
        <v>4</v>
      </c>
      <c r="E905" s="13" t="str">
        <f t="shared" si="124"/>
        <v>12</v>
      </c>
      <c r="F905" s="13" t="str">
        <f t="shared" si="125"/>
        <v>12</v>
      </c>
      <c r="G905" s="13" t="s">
        <v>894</v>
      </c>
      <c r="H905" s="13" t="s">
        <v>2823</v>
      </c>
      <c r="I905" s="16" t="s">
        <v>3398</v>
      </c>
      <c r="J905" s="13"/>
      <c r="K905" s="13"/>
      <c r="L905" s="13"/>
      <c r="M905" s="16"/>
    </row>
    <row r="906" spans="1:13" ht="38.25" x14ac:dyDescent="0.25">
      <c r="A906" s="13" t="str">
        <f t="shared" si="120"/>
        <v>1</v>
      </c>
      <c r="B906" s="13" t="str">
        <f t="shared" si="121"/>
        <v>9</v>
      </c>
      <c r="C906" s="13" t="str">
        <f t="shared" si="122"/>
        <v>1</v>
      </c>
      <c r="D906" s="13" t="str">
        <f t="shared" si="123"/>
        <v>4</v>
      </c>
      <c r="E906" s="13" t="str">
        <f t="shared" si="124"/>
        <v>12</v>
      </c>
      <c r="F906" s="13" t="str">
        <f t="shared" si="125"/>
        <v>13</v>
      </c>
      <c r="G906" s="13" t="s">
        <v>895</v>
      </c>
      <c r="H906" s="13" t="s">
        <v>2824</v>
      </c>
      <c r="I906" s="16" t="s">
        <v>3399</v>
      </c>
      <c r="J906" s="13"/>
      <c r="K906" s="13"/>
      <c r="L906" s="13"/>
      <c r="M906" s="16"/>
    </row>
    <row r="907" spans="1:13" ht="38.25" x14ac:dyDescent="0.25">
      <c r="A907" s="13" t="str">
        <f t="shared" si="120"/>
        <v>1</v>
      </c>
      <c r="B907" s="13" t="str">
        <f t="shared" si="121"/>
        <v>9</v>
      </c>
      <c r="C907" s="13" t="str">
        <f t="shared" si="122"/>
        <v>1</v>
      </c>
      <c r="D907" s="13" t="str">
        <f t="shared" si="123"/>
        <v>4</v>
      </c>
      <c r="E907" s="13" t="str">
        <f t="shared" si="124"/>
        <v>12</v>
      </c>
      <c r="F907" s="13" t="str">
        <f t="shared" si="125"/>
        <v>14</v>
      </c>
      <c r="G907" s="13" t="s">
        <v>896</v>
      </c>
      <c r="H907" s="13" t="s">
        <v>2825</v>
      </c>
      <c r="I907" s="16" t="s">
        <v>3400</v>
      </c>
      <c r="J907" s="13"/>
      <c r="K907" s="13"/>
      <c r="L907" s="13"/>
      <c r="M907" s="16"/>
    </row>
    <row r="908" spans="1:13" ht="38.25" x14ac:dyDescent="0.25">
      <c r="A908" s="21" t="str">
        <f t="shared" si="120"/>
        <v>1</v>
      </c>
      <c r="B908" s="21" t="str">
        <f t="shared" si="121"/>
        <v>9</v>
      </c>
      <c r="C908" s="21" t="str">
        <f t="shared" si="122"/>
        <v>1</v>
      </c>
      <c r="D908" s="21" t="str">
        <f t="shared" si="123"/>
        <v>4</v>
      </c>
      <c r="E908" s="21" t="str">
        <f t="shared" si="124"/>
        <v>13</v>
      </c>
      <c r="F908" s="21" t="str">
        <f t="shared" si="125"/>
        <v>00</v>
      </c>
      <c r="G908" s="21" t="s">
        <v>897</v>
      </c>
      <c r="H908" s="21" t="s">
        <v>2826</v>
      </c>
      <c r="I908" s="22" t="s">
        <v>3968</v>
      </c>
      <c r="J908" s="21"/>
      <c r="K908" s="21" t="s">
        <v>46</v>
      </c>
      <c r="L908" s="21" t="s">
        <v>4223</v>
      </c>
      <c r="M908" s="21"/>
    </row>
    <row r="909" spans="1:13" ht="51" x14ac:dyDescent="0.25">
      <c r="A909" s="13" t="str">
        <f t="shared" si="120"/>
        <v>1</v>
      </c>
      <c r="B909" s="13" t="str">
        <f t="shared" si="121"/>
        <v>9</v>
      </c>
      <c r="C909" s="13" t="str">
        <f t="shared" si="122"/>
        <v>1</v>
      </c>
      <c r="D909" s="13" t="str">
        <f t="shared" si="123"/>
        <v>4</v>
      </c>
      <c r="E909" s="13" t="str">
        <f t="shared" si="124"/>
        <v>13</v>
      </c>
      <c r="F909" s="13" t="str">
        <f t="shared" si="125"/>
        <v>01</v>
      </c>
      <c r="G909" s="13" t="s">
        <v>898</v>
      </c>
      <c r="H909" s="13" t="s">
        <v>2827</v>
      </c>
      <c r="I909" s="16" t="s">
        <v>3969</v>
      </c>
      <c r="J909" s="13"/>
      <c r="K909" s="13" t="s">
        <v>46</v>
      </c>
      <c r="L909" s="13" t="s">
        <v>4223</v>
      </c>
      <c r="M909" s="16"/>
    </row>
    <row r="910" spans="1:13" ht="38.25" x14ac:dyDescent="0.25">
      <c r="A910" s="13" t="str">
        <f t="shared" si="120"/>
        <v>1</v>
      </c>
      <c r="B910" s="13" t="str">
        <f t="shared" si="121"/>
        <v>9</v>
      </c>
      <c r="C910" s="13" t="str">
        <f t="shared" si="122"/>
        <v>1</v>
      </c>
      <c r="D910" s="13" t="str">
        <f t="shared" si="123"/>
        <v>4</v>
      </c>
      <c r="E910" s="13" t="str">
        <f t="shared" si="124"/>
        <v>13</v>
      </c>
      <c r="F910" s="13" t="str">
        <f t="shared" si="125"/>
        <v>02</v>
      </c>
      <c r="G910" s="13" t="s">
        <v>899</v>
      </c>
      <c r="H910" s="13" t="s">
        <v>2828</v>
      </c>
      <c r="I910" s="16" t="s">
        <v>3970</v>
      </c>
      <c r="J910" s="13"/>
      <c r="K910" s="13" t="s">
        <v>46</v>
      </c>
      <c r="L910" s="13" t="s">
        <v>4223</v>
      </c>
      <c r="M910" s="16"/>
    </row>
    <row r="911" spans="1:13" ht="25.5" x14ac:dyDescent="0.25">
      <c r="A911" s="21" t="str">
        <f t="shared" si="120"/>
        <v>1</v>
      </c>
      <c r="B911" s="21" t="str">
        <f t="shared" si="121"/>
        <v>9</v>
      </c>
      <c r="C911" s="21" t="str">
        <f t="shared" si="122"/>
        <v>1</v>
      </c>
      <c r="D911" s="21" t="str">
        <f t="shared" si="123"/>
        <v>4</v>
      </c>
      <c r="E911" s="21" t="str">
        <f t="shared" si="124"/>
        <v>99</v>
      </c>
      <c r="F911" s="21" t="str">
        <f t="shared" si="125"/>
        <v>00</v>
      </c>
      <c r="G911" s="21" t="s">
        <v>900</v>
      </c>
      <c r="H911" s="21" t="s">
        <v>2829</v>
      </c>
      <c r="I911" s="22" t="s">
        <v>3401</v>
      </c>
      <c r="J911" s="21"/>
      <c r="K911" s="21"/>
      <c r="L911" s="21"/>
      <c r="M911" s="21"/>
    </row>
    <row r="912" spans="1:13" ht="25.5" x14ac:dyDescent="0.25">
      <c r="A912" s="13" t="str">
        <f t="shared" si="120"/>
        <v>1</v>
      </c>
      <c r="B912" s="13" t="str">
        <f t="shared" si="121"/>
        <v>9</v>
      </c>
      <c r="C912" s="13" t="str">
        <f t="shared" si="122"/>
        <v>1</v>
      </c>
      <c r="D912" s="13" t="str">
        <f t="shared" si="123"/>
        <v>4</v>
      </c>
      <c r="E912" s="13" t="str">
        <f t="shared" si="124"/>
        <v>99</v>
      </c>
      <c r="F912" s="13" t="str">
        <f t="shared" si="125"/>
        <v>01</v>
      </c>
      <c r="G912" s="13" t="s">
        <v>901</v>
      </c>
      <c r="H912" s="13" t="s">
        <v>2830</v>
      </c>
      <c r="I912" s="16" t="s">
        <v>3402</v>
      </c>
      <c r="J912" s="13"/>
      <c r="K912" s="13"/>
      <c r="L912" s="13"/>
      <c r="M912" s="16"/>
    </row>
    <row r="913" spans="1:13" ht="25.5" x14ac:dyDescent="0.25">
      <c r="A913" s="13" t="str">
        <f t="shared" si="120"/>
        <v>1</v>
      </c>
      <c r="B913" s="13" t="str">
        <f t="shared" si="121"/>
        <v>9</v>
      </c>
      <c r="C913" s="13" t="str">
        <f t="shared" si="122"/>
        <v>1</v>
      </c>
      <c r="D913" s="13" t="str">
        <f t="shared" si="123"/>
        <v>4</v>
      </c>
      <c r="E913" s="13" t="str">
        <f t="shared" si="124"/>
        <v>99</v>
      </c>
      <c r="F913" s="13" t="str">
        <f t="shared" si="125"/>
        <v>02</v>
      </c>
      <c r="G913" s="13" t="s">
        <v>902</v>
      </c>
      <c r="H913" s="13" t="s">
        <v>2831</v>
      </c>
      <c r="I913" s="16" t="s">
        <v>3403</v>
      </c>
      <c r="J913" s="13"/>
      <c r="K913" s="13"/>
      <c r="L913" s="13"/>
      <c r="M913" s="16"/>
    </row>
    <row r="914" spans="1:13" ht="25.5" x14ac:dyDescent="0.25">
      <c r="A914" s="19" t="str">
        <f t="shared" si="120"/>
        <v>1</v>
      </c>
      <c r="B914" s="19" t="str">
        <f t="shared" si="121"/>
        <v>9</v>
      </c>
      <c r="C914" s="19" t="str">
        <f t="shared" si="122"/>
        <v>1</v>
      </c>
      <c r="D914" s="19" t="str">
        <f t="shared" si="123"/>
        <v>5</v>
      </c>
      <c r="E914" s="19" t="str">
        <f t="shared" si="124"/>
        <v>00</v>
      </c>
      <c r="F914" s="19" t="str">
        <f t="shared" si="125"/>
        <v>00</v>
      </c>
      <c r="G914" s="19" t="s">
        <v>903</v>
      </c>
      <c r="H914" s="19" t="s">
        <v>2832</v>
      </c>
      <c r="I914" s="20" t="s">
        <v>3404</v>
      </c>
      <c r="J914" s="19"/>
      <c r="K914" s="19"/>
      <c r="L914" s="19"/>
      <c r="M914" s="20"/>
    </row>
    <row r="915" spans="1:13" ht="38.25" x14ac:dyDescent="0.25">
      <c r="A915" s="21" t="str">
        <f t="shared" si="120"/>
        <v>1</v>
      </c>
      <c r="B915" s="21" t="str">
        <f t="shared" si="121"/>
        <v>9</v>
      </c>
      <c r="C915" s="21" t="str">
        <f t="shared" si="122"/>
        <v>1</v>
      </c>
      <c r="D915" s="21" t="str">
        <f t="shared" si="123"/>
        <v>5</v>
      </c>
      <c r="E915" s="21" t="str">
        <f t="shared" si="124"/>
        <v>01</v>
      </c>
      <c r="F915" s="21" t="str">
        <f t="shared" si="125"/>
        <v>00</v>
      </c>
      <c r="G915" s="21" t="s">
        <v>904</v>
      </c>
      <c r="H915" s="21" t="s">
        <v>2833</v>
      </c>
      <c r="I915" s="22" t="s">
        <v>3405</v>
      </c>
      <c r="J915" s="21"/>
      <c r="K915" s="21"/>
      <c r="L915" s="21"/>
      <c r="M915" s="21"/>
    </row>
    <row r="916" spans="1:13" ht="38.25" x14ac:dyDescent="0.25">
      <c r="A916" s="21" t="str">
        <f t="shared" si="120"/>
        <v>1</v>
      </c>
      <c r="B916" s="21" t="str">
        <f t="shared" si="121"/>
        <v>9</v>
      </c>
      <c r="C916" s="21" t="str">
        <f t="shared" si="122"/>
        <v>1</v>
      </c>
      <c r="D916" s="21" t="str">
        <f t="shared" si="123"/>
        <v>5</v>
      </c>
      <c r="E916" s="21" t="str">
        <f t="shared" si="124"/>
        <v>02</v>
      </c>
      <c r="F916" s="21" t="str">
        <f t="shared" si="125"/>
        <v>00</v>
      </c>
      <c r="G916" s="21" t="s">
        <v>905</v>
      </c>
      <c r="H916" s="21" t="s">
        <v>2834</v>
      </c>
      <c r="I916" s="22" t="s">
        <v>3406</v>
      </c>
      <c r="J916" s="21"/>
      <c r="K916" s="21"/>
      <c r="L916" s="21"/>
      <c r="M916" s="21"/>
    </row>
    <row r="917" spans="1:13" ht="38.25" x14ac:dyDescent="0.25">
      <c r="A917" s="21" t="str">
        <f t="shared" si="120"/>
        <v>1</v>
      </c>
      <c r="B917" s="21" t="str">
        <f t="shared" si="121"/>
        <v>9</v>
      </c>
      <c r="C917" s="21" t="str">
        <f t="shared" si="122"/>
        <v>1</v>
      </c>
      <c r="D917" s="21" t="str">
        <f t="shared" si="123"/>
        <v>5</v>
      </c>
      <c r="E917" s="21" t="str">
        <f t="shared" si="124"/>
        <v>03</v>
      </c>
      <c r="F917" s="21" t="str">
        <f t="shared" si="125"/>
        <v>00</v>
      </c>
      <c r="G917" s="21" t="s">
        <v>906</v>
      </c>
      <c r="H917" s="21" t="s">
        <v>2835</v>
      </c>
      <c r="I917" s="22" t="s">
        <v>3407</v>
      </c>
      <c r="J917" s="21"/>
      <c r="K917" s="21"/>
      <c r="L917" s="21"/>
      <c r="M917" s="21"/>
    </row>
    <row r="918" spans="1:13" ht="38.25" x14ac:dyDescent="0.25">
      <c r="A918" s="21" t="str">
        <f t="shared" si="120"/>
        <v>1</v>
      </c>
      <c r="B918" s="21" t="str">
        <f t="shared" si="121"/>
        <v>9</v>
      </c>
      <c r="C918" s="21" t="str">
        <f t="shared" si="122"/>
        <v>1</v>
      </c>
      <c r="D918" s="21" t="str">
        <f t="shared" si="123"/>
        <v>5</v>
      </c>
      <c r="E918" s="21" t="str">
        <f t="shared" si="124"/>
        <v>04</v>
      </c>
      <c r="F918" s="21" t="str">
        <f t="shared" si="125"/>
        <v>00</v>
      </c>
      <c r="G918" s="21" t="s">
        <v>907</v>
      </c>
      <c r="H918" s="21" t="s">
        <v>2836</v>
      </c>
      <c r="I918" s="22" t="s">
        <v>3408</v>
      </c>
      <c r="J918" s="21"/>
      <c r="K918" s="21"/>
      <c r="L918" s="21"/>
      <c r="M918" s="21"/>
    </row>
    <row r="919" spans="1:13" ht="38.25" x14ac:dyDescent="0.25">
      <c r="A919" s="21" t="str">
        <f t="shared" si="120"/>
        <v>1</v>
      </c>
      <c r="B919" s="21" t="str">
        <f t="shared" si="121"/>
        <v>9</v>
      </c>
      <c r="C919" s="21" t="str">
        <f t="shared" si="122"/>
        <v>1</v>
      </c>
      <c r="D919" s="21" t="str">
        <f t="shared" si="123"/>
        <v>5</v>
      </c>
      <c r="E919" s="21" t="str">
        <f t="shared" si="124"/>
        <v>05</v>
      </c>
      <c r="F919" s="21" t="str">
        <f t="shared" si="125"/>
        <v>00</v>
      </c>
      <c r="G919" s="21" t="s">
        <v>908</v>
      </c>
      <c r="H919" s="21" t="s">
        <v>2837</v>
      </c>
      <c r="I919" s="22" t="s">
        <v>3409</v>
      </c>
      <c r="J919" s="21"/>
      <c r="K919" s="21"/>
      <c r="L919" s="21"/>
      <c r="M919" s="21"/>
    </row>
    <row r="920" spans="1:13" ht="38.25" x14ac:dyDescent="0.25">
      <c r="A920" s="21" t="str">
        <f t="shared" si="120"/>
        <v>1</v>
      </c>
      <c r="B920" s="21" t="str">
        <f t="shared" si="121"/>
        <v>9</v>
      </c>
      <c r="C920" s="21" t="str">
        <f t="shared" si="122"/>
        <v>1</v>
      </c>
      <c r="D920" s="21" t="str">
        <f t="shared" si="123"/>
        <v>5</v>
      </c>
      <c r="E920" s="21" t="str">
        <f t="shared" si="124"/>
        <v>06</v>
      </c>
      <c r="F920" s="21" t="str">
        <f t="shared" si="125"/>
        <v>00</v>
      </c>
      <c r="G920" s="21" t="s">
        <v>909</v>
      </c>
      <c r="H920" s="21" t="s">
        <v>2838</v>
      </c>
      <c r="I920" s="22" t="s">
        <v>3410</v>
      </c>
      <c r="J920" s="21"/>
      <c r="K920" s="21"/>
      <c r="L920" s="21"/>
      <c r="M920" s="21"/>
    </row>
    <row r="921" spans="1:13" ht="38.25" x14ac:dyDescent="0.25">
      <c r="A921" s="21" t="str">
        <f t="shared" si="120"/>
        <v>1</v>
      </c>
      <c r="B921" s="21" t="str">
        <f t="shared" si="121"/>
        <v>9</v>
      </c>
      <c r="C921" s="21" t="str">
        <f t="shared" si="122"/>
        <v>1</v>
      </c>
      <c r="D921" s="21" t="str">
        <f t="shared" si="123"/>
        <v>5</v>
      </c>
      <c r="E921" s="21" t="str">
        <f t="shared" si="124"/>
        <v>07</v>
      </c>
      <c r="F921" s="21" t="str">
        <f t="shared" si="125"/>
        <v>00</v>
      </c>
      <c r="G921" s="21" t="s">
        <v>910</v>
      </c>
      <c r="H921" s="21" t="s">
        <v>2839</v>
      </c>
      <c r="I921" s="22" t="s">
        <v>3411</v>
      </c>
      <c r="J921" s="21"/>
      <c r="K921" s="21"/>
      <c r="L921" s="21"/>
      <c r="M921" s="21"/>
    </row>
    <row r="922" spans="1:13" ht="38.25" x14ac:dyDescent="0.25">
      <c r="A922" s="21" t="str">
        <f t="shared" si="120"/>
        <v>1</v>
      </c>
      <c r="B922" s="21" t="str">
        <f t="shared" si="121"/>
        <v>9</v>
      </c>
      <c r="C922" s="21" t="str">
        <f t="shared" si="122"/>
        <v>1</v>
      </c>
      <c r="D922" s="21" t="str">
        <f t="shared" si="123"/>
        <v>5</v>
      </c>
      <c r="E922" s="21" t="str">
        <f t="shared" si="124"/>
        <v>08</v>
      </c>
      <c r="F922" s="21" t="str">
        <f t="shared" si="125"/>
        <v>00</v>
      </c>
      <c r="G922" s="21" t="s">
        <v>911</v>
      </c>
      <c r="H922" s="21" t="s">
        <v>2840</v>
      </c>
      <c r="I922" s="22" t="s">
        <v>3412</v>
      </c>
      <c r="J922" s="21"/>
      <c r="K922" s="21"/>
      <c r="L922" s="21"/>
      <c r="M922" s="21"/>
    </row>
    <row r="923" spans="1:13" ht="38.25" x14ac:dyDescent="0.25">
      <c r="A923" s="21" t="str">
        <f t="shared" si="120"/>
        <v>1</v>
      </c>
      <c r="B923" s="21" t="str">
        <f t="shared" si="121"/>
        <v>9</v>
      </c>
      <c r="C923" s="21" t="str">
        <f t="shared" si="122"/>
        <v>1</v>
      </c>
      <c r="D923" s="21" t="str">
        <f t="shared" si="123"/>
        <v>5</v>
      </c>
      <c r="E923" s="21" t="str">
        <f t="shared" si="124"/>
        <v>09</v>
      </c>
      <c r="F923" s="21" t="str">
        <f t="shared" si="125"/>
        <v>00</v>
      </c>
      <c r="G923" s="21" t="s">
        <v>912</v>
      </c>
      <c r="H923" s="21" t="s">
        <v>2841</v>
      </c>
      <c r="I923" s="22" t="s">
        <v>3413</v>
      </c>
      <c r="J923" s="21"/>
      <c r="K923" s="21"/>
      <c r="L923" s="21"/>
      <c r="M923" s="21"/>
    </row>
    <row r="924" spans="1:13" ht="38.25" x14ac:dyDescent="0.25">
      <c r="A924" s="21" t="str">
        <f t="shared" si="120"/>
        <v>1</v>
      </c>
      <c r="B924" s="21" t="str">
        <f t="shared" si="121"/>
        <v>9</v>
      </c>
      <c r="C924" s="21" t="str">
        <f t="shared" si="122"/>
        <v>1</v>
      </c>
      <c r="D924" s="21" t="str">
        <f t="shared" si="123"/>
        <v>5</v>
      </c>
      <c r="E924" s="21" t="str">
        <f t="shared" si="124"/>
        <v>10</v>
      </c>
      <c r="F924" s="21" t="str">
        <f t="shared" si="125"/>
        <v>00</v>
      </c>
      <c r="G924" s="21" t="s">
        <v>913</v>
      </c>
      <c r="H924" s="21" t="s">
        <v>2842</v>
      </c>
      <c r="I924" s="22" t="s">
        <v>3414</v>
      </c>
      <c r="J924" s="21"/>
      <c r="K924" s="21"/>
      <c r="L924" s="21"/>
      <c r="M924" s="21"/>
    </row>
    <row r="925" spans="1:13" ht="38.25" x14ac:dyDescent="0.25">
      <c r="A925" s="21" t="str">
        <f t="shared" si="120"/>
        <v>1</v>
      </c>
      <c r="B925" s="21" t="str">
        <f t="shared" si="121"/>
        <v>9</v>
      </c>
      <c r="C925" s="21" t="str">
        <f t="shared" si="122"/>
        <v>1</v>
      </c>
      <c r="D925" s="21" t="str">
        <f t="shared" si="123"/>
        <v>5</v>
      </c>
      <c r="E925" s="21" t="str">
        <f t="shared" si="124"/>
        <v>11</v>
      </c>
      <c r="F925" s="21" t="str">
        <f t="shared" si="125"/>
        <v>00</v>
      </c>
      <c r="G925" s="21" t="s">
        <v>914</v>
      </c>
      <c r="H925" s="21" t="s">
        <v>2843</v>
      </c>
      <c r="I925" s="22" t="s">
        <v>4026</v>
      </c>
      <c r="J925" s="21"/>
      <c r="K925" s="21" t="s">
        <v>4018</v>
      </c>
      <c r="L925" s="21" t="s">
        <v>4222</v>
      </c>
      <c r="M925" s="21"/>
    </row>
    <row r="926" spans="1:13" ht="25.5" x14ac:dyDescent="0.25">
      <c r="A926" s="13" t="str">
        <f t="shared" si="120"/>
        <v>1</v>
      </c>
      <c r="B926" s="13" t="str">
        <f t="shared" si="121"/>
        <v>9</v>
      </c>
      <c r="C926" s="13" t="str">
        <f t="shared" si="122"/>
        <v>1</v>
      </c>
      <c r="D926" s="13" t="str">
        <f t="shared" si="123"/>
        <v>5</v>
      </c>
      <c r="E926" s="13" t="str">
        <f t="shared" si="124"/>
        <v>11</v>
      </c>
      <c r="F926" s="13" t="str">
        <f t="shared" si="125"/>
        <v>01</v>
      </c>
      <c r="G926" s="13" t="s">
        <v>915</v>
      </c>
      <c r="H926" s="13" t="s">
        <v>2844</v>
      </c>
      <c r="I926" s="16" t="s">
        <v>3971</v>
      </c>
      <c r="J926" s="13"/>
      <c r="K926" s="13" t="s">
        <v>46</v>
      </c>
      <c r="L926" s="13" t="s">
        <v>4223</v>
      </c>
      <c r="M926" s="16"/>
    </row>
    <row r="927" spans="1:13" ht="38.25" x14ac:dyDescent="0.25">
      <c r="A927" s="13" t="str">
        <f t="shared" si="120"/>
        <v>1</v>
      </c>
      <c r="B927" s="13" t="str">
        <f t="shared" si="121"/>
        <v>9</v>
      </c>
      <c r="C927" s="13" t="str">
        <f t="shared" si="122"/>
        <v>1</v>
      </c>
      <c r="D927" s="13" t="str">
        <f t="shared" si="123"/>
        <v>5</v>
      </c>
      <c r="E927" s="13" t="str">
        <f t="shared" si="124"/>
        <v>11</v>
      </c>
      <c r="F927" s="13" t="str">
        <f t="shared" si="125"/>
        <v>02</v>
      </c>
      <c r="G927" s="13" t="s">
        <v>916</v>
      </c>
      <c r="H927" s="13" t="s">
        <v>2845</v>
      </c>
      <c r="I927" s="16" t="s">
        <v>3976</v>
      </c>
      <c r="J927" s="13"/>
      <c r="K927" s="13" t="s">
        <v>46</v>
      </c>
      <c r="L927" s="13" t="s">
        <v>4223</v>
      </c>
      <c r="M927" s="16"/>
    </row>
    <row r="928" spans="1:13" ht="38.25" x14ac:dyDescent="0.25">
      <c r="A928" s="13" t="str">
        <f t="shared" si="120"/>
        <v>1</v>
      </c>
      <c r="B928" s="13" t="str">
        <f t="shared" si="121"/>
        <v>9</v>
      </c>
      <c r="C928" s="13" t="str">
        <f t="shared" si="122"/>
        <v>1</v>
      </c>
      <c r="D928" s="13" t="str">
        <f t="shared" si="123"/>
        <v>5</v>
      </c>
      <c r="E928" s="13" t="str">
        <f t="shared" si="124"/>
        <v>11</v>
      </c>
      <c r="F928" s="13" t="str">
        <f t="shared" si="125"/>
        <v>03</v>
      </c>
      <c r="G928" s="13" t="s">
        <v>917</v>
      </c>
      <c r="H928" s="13" t="s">
        <v>2846</v>
      </c>
      <c r="I928" s="16" t="s">
        <v>3975</v>
      </c>
      <c r="J928" s="13"/>
      <c r="K928" s="13" t="s">
        <v>46</v>
      </c>
      <c r="L928" s="13" t="s">
        <v>4223</v>
      </c>
      <c r="M928" s="16"/>
    </row>
    <row r="929" spans="1:13" ht="51" x14ac:dyDescent="0.25">
      <c r="A929" s="13" t="str">
        <f t="shared" si="120"/>
        <v>1</v>
      </c>
      <c r="B929" s="13" t="str">
        <f t="shared" si="121"/>
        <v>9</v>
      </c>
      <c r="C929" s="13" t="str">
        <f t="shared" si="122"/>
        <v>1</v>
      </c>
      <c r="D929" s="13" t="str">
        <f t="shared" si="123"/>
        <v>5</v>
      </c>
      <c r="E929" s="13" t="str">
        <f t="shared" si="124"/>
        <v>11</v>
      </c>
      <c r="F929" s="13" t="str">
        <f t="shared" si="125"/>
        <v>04</v>
      </c>
      <c r="G929" s="13" t="s">
        <v>918</v>
      </c>
      <c r="H929" s="13" t="s">
        <v>2847</v>
      </c>
      <c r="I929" s="16" t="s">
        <v>3974</v>
      </c>
      <c r="J929" s="13"/>
      <c r="K929" s="13" t="s">
        <v>46</v>
      </c>
      <c r="L929" s="13" t="s">
        <v>4223</v>
      </c>
      <c r="M929" s="16"/>
    </row>
    <row r="930" spans="1:13" ht="38.25" x14ac:dyDescent="0.25">
      <c r="A930" s="13" t="str">
        <f t="shared" si="120"/>
        <v>1</v>
      </c>
      <c r="B930" s="13" t="str">
        <f t="shared" si="121"/>
        <v>9</v>
      </c>
      <c r="C930" s="13" t="str">
        <f t="shared" si="122"/>
        <v>1</v>
      </c>
      <c r="D930" s="13" t="str">
        <f t="shared" si="123"/>
        <v>5</v>
      </c>
      <c r="E930" s="13" t="str">
        <f t="shared" si="124"/>
        <v>11</v>
      </c>
      <c r="F930" s="13" t="str">
        <f t="shared" si="125"/>
        <v>06</v>
      </c>
      <c r="G930" s="13" t="s">
        <v>919</v>
      </c>
      <c r="H930" s="13" t="s">
        <v>2848</v>
      </c>
      <c r="I930" s="16" t="s">
        <v>3973</v>
      </c>
      <c r="J930" s="13"/>
      <c r="K930" s="13" t="s">
        <v>46</v>
      </c>
      <c r="L930" s="13" t="s">
        <v>4223</v>
      </c>
      <c r="M930" s="16"/>
    </row>
    <row r="931" spans="1:13" ht="38.25" x14ac:dyDescent="0.25">
      <c r="A931" s="13" t="str">
        <f t="shared" si="120"/>
        <v>1</v>
      </c>
      <c r="B931" s="13" t="str">
        <f t="shared" si="121"/>
        <v>9</v>
      </c>
      <c r="C931" s="13" t="str">
        <f t="shared" si="122"/>
        <v>1</v>
      </c>
      <c r="D931" s="13" t="str">
        <f t="shared" si="123"/>
        <v>5</v>
      </c>
      <c r="E931" s="13" t="str">
        <f t="shared" si="124"/>
        <v>11</v>
      </c>
      <c r="F931" s="13" t="str">
        <f t="shared" si="125"/>
        <v>07</v>
      </c>
      <c r="G931" s="13" t="s">
        <v>920</v>
      </c>
      <c r="H931" s="13" t="s">
        <v>2849</v>
      </c>
      <c r="I931" s="16" t="s">
        <v>3972</v>
      </c>
      <c r="J931" s="13"/>
      <c r="K931" s="13" t="s">
        <v>46</v>
      </c>
      <c r="L931" s="13" t="s">
        <v>4223</v>
      </c>
      <c r="M931" s="16"/>
    </row>
    <row r="932" spans="1:13" ht="51" x14ac:dyDescent="0.25">
      <c r="A932" s="21" t="str">
        <f t="shared" si="120"/>
        <v>1</v>
      </c>
      <c r="B932" s="21" t="str">
        <f t="shared" si="121"/>
        <v>9</v>
      </c>
      <c r="C932" s="21" t="str">
        <f t="shared" si="122"/>
        <v>1</v>
      </c>
      <c r="D932" s="21" t="str">
        <f t="shared" si="123"/>
        <v>5</v>
      </c>
      <c r="E932" s="21" t="str">
        <f t="shared" si="124"/>
        <v>12</v>
      </c>
      <c r="F932" s="21" t="str">
        <f t="shared" si="125"/>
        <v>00</v>
      </c>
      <c r="G932" s="21" t="s">
        <v>921</v>
      </c>
      <c r="H932" s="21" t="s">
        <v>2850</v>
      </c>
      <c r="I932" s="22" t="s">
        <v>3415</v>
      </c>
      <c r="J932" s="21"/>
      <c r="K932" s="21"/>
      <c r="L932" s="21"/>
      <c r="M932" s="21"/>
    </row>
    <row r="933" spans="1:13" ht="51" x14ac:dyDescent="0.25">
      <c r="A933" s="21" t="str">
        <f t="shared" si="120"/>
        <v>1</v>
      </c>
      <c r="B933" s="21" t="str">
        <f t="shared" si="121"/>
        <v>9</v>
      </c>
      <c r="C933" s="21" t="str">
        <f t="shared" si="122"/>
        <v>1</v>
      </c>
      <c r="D933" s="21" t="str">
        <f t="shared" si="123"/>
        <v>5</v>
      </c>
      <c r="E933" s="21" t="str">
        <f t="shared" si="124"/>
        <v>13</v>
      </c>
      <c r="F933" s="21" t="str">
        <f t="shared" si="125"/>
        <v>00</v>
      </c>
      <c r="G933" s="21" t="s">
        <v>922</v>
      </c>
      <c r="H933" s="21" t="s">
        <v>2851</v>
      </c>
      <c r="I933" s="22" t="s">
        <v>3416</v>
      </c>
      <c r="J933" s="21"/>
      <c r="K933" s="21"/>
      <c r="L933" s="21"/>
      <c r="M933" s="21"/>
    </row>
    <row r="934" spans="1:13" ht="38.25" x14ac:dyDescent="0.25">
      <c r="A934" s="21" t="str">
        <f t="shared" si="120"/>
        <v>1</v>
      </c>
      <c r="B934" s="21" t="str">
        <f t="shared" si="121"/>
        <v>9</v>
      </c>
      <c r="C934" s="21" t="str">
        <f t="shared" si="122"/>
        <v>1</v>
      </c>
      <c r="D934" s="21" t="str">
        <f t="shared" si="123"/>
        <v>5</v>
      </c>
      <c r="E934" s="21" t="str">
        <f t="shared" si="124"/>
        <v>14</v>
      </c>
      <c r="F934" s="21" t="str">
        <f t="shared" si="125"/>
        <v>00</v>
      </c>
      <c r="G934" s="21" t="s">
        <v>923</v>
      </c>
      <c r="H934" s="21" t="s">
        <v>2852</v>
      </c>
      <c r="I934" s="22" t="s">
        <v>3417</v>
      </c>
      <c r="J934" s="21"/>
      <c r="K934" s="21"/>
      <c r="L934" s="21"/>
      <c r="M934" s="21"/>
    </row>
    <row r="935" spans="1:13" ht="38.25" x14ac:dyDescent="0.25">
      <c r="A935" s="21" t="str">
        <f t="shared" si="120"/>
        <v>1</v>
      </c>
      <c r="B935" s="21" t="str">
        <f t="shared" si="121"/>
        <v>9</v>
      </c>
      <c r="C935" s="21" t="str">
        <f t="shared" si="122"/>
        <v>1</v>
      </c>
      <c r="D935" s="21" t="str">
        <f t="shared" si="123"/>
        <v>5</v>
      </c>
      <c r="E935" s="21" t="str">
        <f t="shared" si="124"/>
        <v>15</v>
      </c>
      <c r="F935" s="21" t="str">
        <f t="shared" si="125"/>
        <v>00</v>
      </c>
      <c r="G935" s="21" t="s">
        <v>924</v>
      </c>
      <c r="H935" s="21" t="s">
        <v>2853</v>
      </c>
      <c r="I935" s="22" t="s">
        <v>3418</v>
      </c>
      <c r="J935" s="21"/>
      <c r="K935" s="21"/>
      <c r="L935" s="21"/>
      <c r="M935" s="21"/>
    </row>
    <row r="936" spans="1:13" ht="38.25" x14ac:dyDescent="0.25">
      <c r="A936" s="21" t="str">
        <f t="shared" si="120"/>
        <v>1</v>
      </c>
      <c r="B936" s="21" t="str">
        <f t="shared" si="121"/>
        <v>9</v>
      </c>
      <c r="C936" s="21" t="str">
        <f t="shared" si="122"/>
        <v>1</v>
      </c>
      <c r="D936" s="21" t="str">
        <f t="shared" si="123"/>
        <v>5</v>
      </c>
      <c r="E936" s="21" t="str">
        <f t="shared" si="124"/>
        <v>16</v>
      </c>
      <c r="F936" s="21" t="str">
        <f t="shared" si="125"/>
        <v>00</v>
      </c>
      <c r="G936" s="21" t="s">
        <v>925</v>
      </c>
      <c r="H936" s="21" t="s">
        <v>2854</v>
      </c>
      <c r="I936" s="22" t="s">
        <v>3419</v>
      </c>
      <c r="J936" s="21"/>
      <c r="K936" s="21"/>
      <c r="L936" s="21"/>
      <c r="M936" s="21"/>
    </row>
    <row r="937" spans="1:13" ht="38.25" x14ac:dyDescent="0.25">
      <c r="A937" s="21" t="str">
        <f t="shared" si="120"/>
        <v>1</v>
      </c>
      <c r="B937" s="21" t="str">
        <f t="shared" si="121"/>
        <v>9</v>
      </c>
      <c r="C937" s="21" t="str">
        <f t="shared" si="122"/>
        <v>1</v>
      </c>
      <c r="D937" s="21" t="str">
        <f t="shared" si="123"/>
        <v>5</v>
      </c>
      <c r="E937" s="21" t="str">
        <f t="shared" si="124"/>
        <v>17</v>
      </c>
      <c r="F937" s="21" t="str">
        <f t="shared" si="125"/>
        <v>00</v>
      </c>
      <c r="G937" s="21" t="s">
        <v>926</v>
      </c>
      <c r="H937" s="21" t="s">
        <v>2855</v>
      </c>
      <c r="I937" s="22" t="s">
        <v>3420</v>
      </c>
      <c r="J937" s="21"/>
      <c r="K937" s="21"/>
      <c r="L937" s="21"/>
      <c r="M937" s="21"/>
    </row>
    <row r="938" spans="1:13" ht="51" x14ac:dyDescent="0.25">
      <c r="A938" s="21" t="str">
        <f t="shared" si="120"/>
        <v>1</v>
      </c>
      <c r="B938" s="21" t="str">
        <f t="shared" si="121"/>
        <v>9</v>
      </c>
      <c r="C938" s="21" t="str">
        <f t="shared" si="122"/>
        <v>1</v>
      </c>
      <c r="D938" s="21" t="str">
        <f t="shared" si="123"/>
        <v>5</v>
      </c>
      <c r="E938" s="21" t="str">
        <f t="shared" si="124"/>
        <v>18</v>
      </c>
      <c r="F938" s="21" t="str">
        <f t="shared" si="125"/>
        <v>00</v>
      </c>
      <c r="G938" s="21" t="s">
        <v>927</v>
      </c>
      <c r="H938" s="21" t="s">
        <v>2856</v>
      </c>
      <c r="I938" s="22" t="s">
        <v>3421</v>
      </c>
      <c r="J938" s="21"/>
      <c r="K938" s="21"/>
      <c r="L938" s="21"/>
      <c r="M938" s="21"/>
    </row>
    <row r="939" spans="1:13" ht="51" x14ac:dyDescent="0.25">
      <c r="A939" s="21" t="str">
        <f t="shared" si="120"/>
        <v>1</v>
      </c>
      <c r="B939" s="21" t="str">
        <f t="shared" si="121"/>
        <v>9</v>
      </c>
      <c r="C939" s="21" t="str">
        <f t="shared" si="122"/>
        <v>1</v>
      </c>
      <c r="D939" s="21" t="str">
        <f t="shared" si="123"/>
        <v>5</v>
      </c>
      <c r="E939" s="21" t="str">
        <f t="shared" si="124"/>
        <v>19</v>
      </c>
      <c r="F939" s="21" t="str">
        <f t="shared" si="125"/>
        <v>00</v>
      </c>
      <c r="G939" s="21" t="s">
        <v>928</v>
      </c>
      <c r="H939" s="21" t="s">
        <v>2857</v>
      </c>
      <c r="I939" s="22" t="s">
        <v>3422</v>
      </c>
      <c r="J939" s="21"/>
      <c r="K939" s="21"/>
      <c r="L939" s="21"/>
      <c r="M939" s="21"/>
    </row>
    <row r="940" spans="1:13" ht="51" x14ac:dyDescent="0.25">
      <c r="A940" s="21" t="str">
        <f t="shared" si="120"/>
        <v>1</v>
      </c>
      <c r="B940" s="21" t="str">
        <f t="shared" si="121"/>
        <v>9</v>
      </c>
      <c r="C940" s="21" t="str">
        <f t="shared" si="122"/>
        <v>1</v>
      </c>
      <c r="D940" s="21" t="str">
        <f t="shared" si="123"/>
        <v>5</v>
      </c>
      <c r="E940" s="21" t="str">
        <f t="shared" si="124"/>
        <v>20</v>
      </c>
      <c r="F940" s="21" t="str">
        <f t="shared" si="125"/>
        <v>00</v>
      </c>
      <c r="G940" s="21" t="s">
        <v>929</v>
      </c>
      <c r="H940" s="21" t="s">
        <v>2858</v>
      </c>
      <c r="I940" s="22" t="s">
        <v>3423</v>
      </c>
      <c r="J940" s="21"/>
      <c r="K940" s="21"/>
      <c r="L940" s="21"/>
      <c r="M940" s="21"/>
    </row>
    <row r="941" spans="1:13" ht="38.25" x14ac:dyDescent="0.25">
      <c r="A941" s="13" t="str">
        <f t="shared" si="120"/>
        <v>1</v>
      </c>
      <c r="B941" s="13" t="str">
        <f t="shared" si="121"/>
        <v>9</v>
      </c>
      <c r="C941" s="13" t="str">
        <f t="shared" si="122"/>
        <v>1</v>
      </c>
      <c r="D941" s="13" t="str">
        <f t="shared" si="123"/>
        <v>5</v>
      </c>
      <c r="E941" s="13" t="str">
        <f t="shared" si="124"/>
        <v>20</v>
      </c>
      <c r="F941" s="13" t="str">
        <f t="shared" si="125"/>
        <v>01</v>
      </c>
      <c r="G941" s="13" t="s">
        <v>930</v>
      </c>
      <c r="H941" s="13" t="s">
        <v>2859</v>
      </c>
      <c r="I941" s="16" t="s">
        <v>3424</v>
      </c>
      <c r="J941" s="13"/>
      <c r="K941" s="13"/>
      <c r="L941" s="13"/>
      <c r="M941" s="16"/>
    </row>
    <row r="942" spans="1:13" ht="51" x14ac:dyDescent="0.25">
      <c r="A942" s="13" t="str">
        <f t="shared" si="120"/>
        <v>1</v>
      </c>
      <c r="B942" s="13" t="str">
        <f t="shared" si="121"/>
        <v>9</v>
      </c>
      <c r="C942" s="13" t="str">
        <f t="shared" si="122"/>
        <v>1</v>
      </c>
      <c r="D942" s="13" t="str">
        <f t="shared" si="123"/>
        <v>5</v>
      </c>
      <c r="E942" s="13" t="str">
        <f t="shared" si="124"/>
        <v>20</v>
      </c>
      <c r="F942" s="13" t="str">
        <f t="shared" si="125"/>
        <v>02</v>
      </c>
      <c r="G942" s="13" t="s">
        <v>931</v>
      </c>
      <c r="H942" s="13" t="s">
        <v>2860</v>
      </c>
      <c r="I942" s="16" t="s">
        <v>3425</v>
      </c>
      <c r="J942" s="13"/>
      <c r="K942" s="13"/>
      <c r="L942" s="13"/>
      <c r="M942" s="16"/>
    </row>
    <row r="943" spans="1:13" ht="25.5" x14ac:dyDescent="0.25">
      <c r="A943" s="21" t="str">
        <f t="shared" si="120"/>
        <v>1</v>
      </c>
      <c r="B943" s="21" t="str">
        <f t="shared" si="121"/>
        <v>9</v>
      </c>
      <c r="C943" s="21" t="str">
        <f t="shared" si="122"/>
        <v>1</v>
      </c>
      <c r="D943" s="21" t="str">
        <f t="shared" si="123"/>
        <v>5</v>
      </c>
      <c r="E943" s="21" t="str">
        <f t="shared" si="124"/>
        <v>99</v>
      </c>
      <c r="F943" s="21" t="str">
        <f t="shared" si="125"/>
        <v>00</v>
      </c>
      <c r="G943" s="21" t="s">
        <v>932</v>
      </c>
      <c r="H943" s="21" t="s">
        <v>2861</v>
      </c>
      <c r="I943" s="22" t="s">
        <v>3426</v>
      </c>
      <c r="J943" s="21"/>
      <c r="K943" s="21"/>
      <c r="L943" s="21"/>
      <c r="M943" s="21"/>
    </row>
    <row r="944" spans="1:13" ht="25.5" x14ac:dyDescent="0.25">
      <c r="A944" s="13" t="str">
        <f t="shared" si="120"/>
        <v>1</v>
      </c>
      <c r="B944" s="13" t="str">
        <f t="shared" si="121"/>
        <v>9</v>
      </c>
      <c r="C944" s="13" t="str">
        <f t="shared" si="122"/>
        <v>1</v>
      </c>
      <c r="D944" s="13" t="str">
        <f t="shared" si="123"/>
        <v>5</v>
      </c>
      <c r="E944" s="13" t="str">
        <f t="shared" si="124"/>
        <v>99</v>
      </c>
      <c r="F944" s="13" t="str">
        <f t="shared" si="125"/>
        <v>01</v>
      </c>
      <c r="G944" s="13" t="s">
        <v>933</v>
      </c>
      <c r="H944" s="13" t="s">
        <v>2862</v>
      </c>
      <c r="I944" s="16" t="s">
        <v>3427</v>
      </c>
      <c r="J944" s="13"/>
      <c r="K944" s="13"/>
      <c r="L944" s="13"/>
      <c r="M944" s="16"/>
    </row>
    <row r="945" spans="1:13" ht="25.5" x14ac:dyDescent="0.25">
      <c r="A945" s="13" t="str">
        <f t="shared" si="120"/>
        <v>1</v>
      </c>
      <c r="B945" s="13" t="str">
        <f t="shared" si="121"/>
        <v>9</v>
      </c>
      <c r="C945" s="13" t="str">
        <f t="shared" si="122"/>
        <v>1</v>
      </c>
      <c r="D945" s="13" t="str">
        <f t="shared" si="123"/>
        <v>5</v>
      </c>
      <c r="E945" s="13" t="str">
        <f t="shared" si="124"/>
        <v>99</v>
      </c>
      <c r="F945" s="13" t="str">
        <f t="shared" si="125"/>
        <v>02</v>
      </c>
      <c r="G945" s="13" t="s">
        <v>934</v>
      </c>
      <c r="H945" s="13" t="s">
        <v>2863</v>
      </c>
      <c r="I945" s="16" t="s">
        <v>3428</v>
      </c>
      <c r="J945" s="13"/>
      <c r="K945" s="13"/>
      <c r="L945" s="13"/>
      <c r="M945" s="16"/>
    </row>
    <row r="946" spans="1:13" ht="25.5" x14ac:dyDescent="0.25">
      <c r="A946" s="19" t="str">
        <f t="shared" si="120"/>
        <v>1</v>
      </c>
      <c r="B946" s="19" t="str">
        <f t="shared" si="121"/>
        <v>9</v>
      </c>
      <c r="C946" s="19" t="str">
        <f t="shared" si="122"/>
        <v>1</v>
      </c>
      <c r="D946" s="19" t="str">
        <f t="shared" si="123"/>
        <v>8</v>
      </c>
      <c r="E946" s="19" t="str">
        <f t="shared" si="124"/>
        <v>00</v>
      </c>
      <c r="F946" s="19" t="str">
        <f t="shared" si="125"/>
        <v>00</v>
      </c>
      <c r="G946" s="19" t="s">
        <v>935</v>
      </c>
      <c r="H946" s="19" t="s">
        <v>2864</v>
      </c>
      <c r="I946" s="20" t="s">
        <v>3429</v>
      </c>
      <c r="J946" s="19"/>
      <c r="K946" s="19"/>
      <c r="L946" s="19"/>
      <c r="M946" s="20"/>
    </row>
    <row r="947" spans="1:13" ht="25.5" x14ac:dyDescent="0.25">
      <c r="A947" s="21" t="str">
        <f t="shared" si="120"/>
        <v>1</v>
      </c>
      <c r="B947" s="21" t="str">
        <f t="shared" si="121"/>
        <v>9</v>
      </c>
      <c r="C947" s="21" t="str">
        <f t="shared" si="122"/>
        <v>1</v>
      </c>
      <c r="D947" s="21" t="str">
        <f t="shared" si="123"/>
        <v>8</v>
      </c>
      <c r="E947" s="21" t="str">
        <f t="shared" si="124"/>
        <v>01</v>
      </c>
      <c r="F947" s="21" t="str">
        <f t="shared" si="125"/>
        <v>00</v>
      </c>
      <c r="G947" s="21" t="s">
        <v>936</v>
      </c>
      <c r="H947" s="21" t="s">
        <v>2865</v>
      </c>
      <c r="I947" s="22" t="s">
        <v>3430</v>
      </c>
      <c r="J947" s="21"/>
      <c r="K947" s="21"/>
      <c r="L947" s="21"/>
      <c r="M947" s="21"/>
    </row>
    <row r="948" spans="1:13" ht="25.5" x14ac:dyDescent="0.25">
      <c r="A948" s="21" t="str">
        <f t="shared" si="120"/>
        <v>1</v>
      </c>
      <c r="B948" s="21" t="str">
        <f t="shared" si="121"/>
        <v>9</v>
      </c>
      <c r="C948" s="21" t="str">
        <f t="shared" si="122"/>
        <v>1</v>
      </c>
      <c r="D948" s="21" t="str">
        <f t="shared" si="123"/>
        <v>8</v>
      </c>
      <c r="E948" s="21" t="str">
        <f t="shared" si="124"/>
        <v>02</v>
      </c>
      <c r="F948" s="21" t="str">
        <f t="shared" si="125"/>
        <v>00</v>
      </c>
      <c r="G948" s="21" t="s">
        <v>937</v>
      </c>
      <c r="H948" s="21" t="s">
        <v>2866</v>
      </c>
      <c r="I948" s="22" t="s">
        <v>3431</v>
      </c>
      <c r="J948" s="21"/>
      <c r="K948" s="21"/>
      <c r="L948" s="21"/>
      <c r="M948" s="21"/>
    </row>
    <row r="949" spans="1:13" x14ac:dyDescent="0.25">
      <c r="A949" s="21" t="str">
        <f t="shared" si="120"/>
        <v>1</v>
      </c>
      <c r="B949" s="21" t="str">
        <f t="shared" si="121"/>
        <v>9</v>
      </c>
      <c r="C949" s="21" t="str">
        <f t="shared" si="122"/>
        <v>1</v>
      </c>
      <c r="D949" s="21" t="str">
        <f t="shared" si="123"/>
        <v>8</v>
      </c>
      <c r="E949" s="21" t="str">
        <f t="shared" si="124"/>
        <v>03</v>
      </c>
      <c r="F949" s="21" t="str">
        <f t="shared" si="125"/>
        <v>00</v>
      </c>
      <c r="G949" s="21" t="s">
        <v>938</v>
      </c>
      <c r="H949" s="21" t="s">
        <v>2867</v>
      </c>
      <c r="I949" s="22" t="s">
        <v>3432</v>
      </c>
      <c r="J949" s="21"/>
      <c r="K949" s="21"/>
      <c r="L949" s="21"/>
      <c r="M949" s="21"/>
    </row>
    <row r="950" spans="1:13" ht="25.5" x14ac:dyDescent="0.25">
      <c r="A950" s="21" t="str">
        <f t="shared" si="120"/>
        <v>1</v>
      </c>
      <c r="B950" s="21" t="str">
        <f t="shared" si="121"/>
        <v>9</v>
      </c>
      <c r="C950" s="21" t="str">
        <f t="shared" si="122"/>
        <v>1</v>
      </c>
      <c r="D950" s="21" t="str">
        <f t="shared" si="123"/>
        <v>8</v>
      </c>
      <c r="E950" s="21" t="str">
        <f t="shared" si="124"/>
        <v>04</v>
      </c>
      <c r="F950" s="21" t="str">
        <f t="shared" si="125"/>
        <v>00</v>
      </c>
      <c r="G950" s="21" t="s">
        <v>939</v>
      </c>
      <c r="H950" s="21" t="s">
        <v>2868</v>
      </c>
      <c r="I950" s="22" t="s">
        <v>3433</v>
      </c>
      <c r="J950" s="21"/>
      <c r="K950" s="21"/>
      <c r="L950" s="21"/>
      <c r="M950" s="21"/>
    </row>
    <row r="951" spans="1:13" ht="38.25" x14ac:dyDescent="0.25">
      <c r="A951" s="13" t="str">
        <f t="shared" si="120"/>
        <v>1</v>
      </c>
      <c r="B951" s="13" t="str">
        <f t="shared" si="121"/>
        <v>9</v>
      </c>
      <c r="C951" s="13" t="str">
        <f t="shared" si="122"/>
        <v>1</v>
      </c>
      <c r="D951" s="13" t="str">
        <f t="shared" si="123"/>
        <v>8</v>
      </c>
      <c r="E951" s="13" t="str">
        <f t="shared" si="124"/>
        <v>04</v>
      </c>
      <c r="F951" s="13" t="str">
        <f t="shared" si="125"/>
        <v>01</v>
      </c>
      <c r="G951" s="13" t="s">
        <v>940</v>
      </c>
      <c r="H951" s="13" t="s">
        <v>2869</v>
      </c>
      <c r="I951" s="16" t="s">
        <v>3434</v>
      </c>
      <c r="J951" s="13"/>
      <c r="K951" s="13"/>
      <c r="L951" s="13"/>
      <c r="M951" s="16"/>
    </row>
    <row r="952" spans="1:13" ht="38.25" x14ac:dyDescent="0.25">
      <c r="A952" s="13" t="str">
        <f t="shared" si="120"/>
        <v>1</v>
      </c>
      <c r="B952" s="13" t="str">
        <f t="shared" si="121"/>
        <v>9</v>
      </c>
      <c r="C952" s="13" t="str">
        <f t="shared" si="122"/>
        <v>1</v>
      </c>
      <c r="D952" s="13" t="str">
        <f t="shared" si="123"/>
        <v>8</v>
      </c>
      <c r="E952" s="13" t="str">
        <f t="shared" si="124"/>
        <v>04</v>
      </c>
      <c r="F952" s="13" t="str">
        <f t="shared" si="125"/>
        <v>02</v>
      </c>
      <c r="G952" s="13" t="s">
        <v>941</v>
      </c>
      <c r="H952" s="13" t="s">
        <v>2870</v>
      </c>
      <c r="I952" s="16" t="s">
        <v>3435</v>
      </c>
      <c r="J952" s="13"/>
      <c r="K952" s="13"/>
      <c r="L952" s="13"/>
      <c r="M952" s="16"/>
    </row>
    <row r="953" spans="1:13" ht="25.5" x14ac:dyDescent="0.25">
      <c r="A953" s="21" t="str">
        <f t="shared" si="120"/>
        <v>1</v>
      </c>
      <c r="B953" s="21" t="str">
        <f t="shared" si="121"/>
        <v>9</v>
      </c>
      <c r="C953" s="21" t="str">
        <f t="shared" si="122"/>
        <v>1</v>
      </c>
      <c r="D953" s="21" t="str">
        <f t="shared" si="123"/>
        <v>8</v>
      </c>
      <c r="E953" s="21" t="str">
        <f t="shared" si="124"/>
        <v>05</v>
      </c>
      <c r="F953" s="21" t="str">
        <f t="shared" si="125"/>
        <v>00</v>
      </c>
      <c r="G953" s="21" t="s">
        <v>942</v>
      </c>
      <c r="H953" s="21" t="s">
        <v>2871</v>
      </c>
      <c r="I953" s="22" t="s">
        <v>3436</v>
      </c>
      <c r="J953" s="21"/>
      <c r="K953" s="21"/>
      <c r="L953" s="21"/>
      <c r="M953" s="21"/>
    </row>
    <row r="954" spans="1:13" ht="25.5" x14ac:dyDescent="0.25">
      <c r="A954" s="21" t="str">
        <f t="shared" si="120"/>
        <v>1</v>
      </c>
      <c r="B954" s="21" t="str">
        <f t="shared" si="121"/>
        <v>9</v>
      </c>
      <c r="C954" s="21" t="str">
        <f t="shared" si="122"/>
        <v>1</v>
      </c>
      <c r="D954" s="21" t="str">
        <f t="shared" si="123"/>
        <v>8</v>
      </c>
      <c r="E954" s="21" t="str">
        <f t="shared" si="124"/>
        <v>06</v>
      </c>
      <c r="F954" s="21" t="str">
        <f t="shared" si="125"/>
        <v>00</v>
      </c>
      <c r="G954" s="21" t="s">
        <v>943</v>
      </c>
      <c r="H954" s="21" t="s">
        <v>2872</v>
      </c>
      <c r="I954" s="22" t="s">
        <v>3437</v>
      </c>
      <c r="J954" s="21"/>
      <c r="K954" s="21"/>
      <c r="L954" s="21"/>
      <c r="M954" s="21"/>
    </row>
    <row r="955" spans="1:13" ht="25.5" x14ac:dyDescent="0.25">
      <c r="A955" s="21" t="str">
        <f t="shared" si="120"/>
        <v>1</v>
      </c>
      <c r="B955" s="21" t="str">
        <f t="shared" si="121"/>
        <v>9</v>
      </c>
      <c r="C955" s="21" t="str">
        <f t="shared" si="122"/>
        <v>1</v>
      </c>
      <c r="D955" s="21" t="str">
        <f t="shared" si="123"/>
        <v>8</v>
      </c>
      <c r="E955" s="21" t="str">
        <f t="shared" si="124"/>
        <v>07</v>
      </c>
      <c r="F955" s="21" t="str">
        <f t="shared" si="125"/>
        <v>00</v>
      </c>
      <c r="G955" s="21" t="s">
        <v>944</v>
      </c>
      <c r="H955" s="21" t="s">
        <v>2873</v>
      </c>
      <c r="I955" s="22" t="s">
        <v>3438</v>
      </c>
      <c r="J955" s="21"/>
      <c r="K955" s="21"/>
      <c r="L955" s="21"/>
      <c r="M955" s="21"/>
    </row>
    <row r="956" spans="1:13" ht="25.5" x14ac:dyDescent="0.25">
      <c r="A956" s="21" t="str">
        <f t="shared" si="120"/>
        <v>1</v>
      </c>
      <c r="B956" s="21" t="str">
        <f t="shared" si="121"/>
        <v>9</v>
      </c>
      <c r="C956" s="21" t="str">
        <f t="shared" si="122"/>
        <v>1</v>
      </c>
      <c r="D956" s="21" t="str">
        <f t="shared" si="123"/>
        <v>8</v>
      </c>
      <c r="E956" s="21" t="str">
        <f t="shared" si="124"/>
        <v>08</v>
      </c>
      <c r="F956" s="21" t="str">
        <f t="shared" si="125"/>
        <v>00</v>
      </c>
      <c r="G956" s="21" t="s">
        <v>945</v>
      </c>
      <c r="H956" s="21" t="s">
        <v>2874</v>
      </c>
      <c r="I956" s="22" t="s">
        <v>3439</v>
      </c>
      <c r="J956" s="21"/>
      <c r="K956" s="21"/>
      <c r="L956" s="21"/>
      <c r="M956" s="21"/>
    </row>
    <row r="957" spans="1:13" x14ac:dyDescent="0.25">
      <c r="A957" s="21" t="str">
        <f t="shared" si="120"/>
        <v>1</v>
      </c>
      <c r="B957" s="21" t="str">
        <f t="shared" si="121"/>
        <v>9</v>
      </c>
      <c r="C957" s="21" t="str">
        <f t="shared" si="122"/>
        <v>1</v>
      </c>
      <c r="D957" s="21" t="str">
        <f t="shared" si="123"/>
        <v>8</v>
      </c>
      <c r="E957" s="21" t="str">
        <f t="shared" si="124"/>
        <v>09</v>
      </c>
      <c r="F957" s="21" t="str">
        <f t="shared" si="125"/>
        <v>00</v>
      </c>
      <c r="G957" s="21" t="s">
        <v>946</v>
      </c>
      <c r="H957" s="21" t="s">
        <v>2875</v>
      </c>
      <c r="I957" s="22" t="s">
        <v>3440</v>
      </c>
      <c r="J957" s="21"/>
      <c r="K957" s="21"/>
      <c r="L957" s="21"/>
      <c r="M957" s="21"/>
    </row>
    <row r="958" spans="1:13" x14ac:dyDescent="0.25">
      <c r="A958" s="21" t="str">
        <f t="shared" si="120"/>
        <v>1</v>
      </c>
      <c r="B958" s="21" t="str">
        <f t="shared" si="121"/>
        <v>9</v>
      </c>
      <c r="C958" s="21" t="str">
        <f t="shared" si="122"/>
        <v>1</v>
      </c>
      <c r="D958" s="21" t="str">
        <f t="shared" si="123"/>
        <v>8</v>
      </c>
      <c r="E958" s="21" t="str">
        <f t="shared" si="124"/>
        <v>10</v>
      </c>
      <c r="F958" s="21" t="str">
        <f t="shared" si="125"/>
        <v>00</v>
      </c>
      <c r="G958" s="21" t="s">
        <v>947</v>
      </c>
      <c r="H958" s="21" t="s">
        <v>2876</v>
      </c>
      <c r="I958" s="22" t="s">
        <v>3441</v>
      </c>
      <c r="J958" s="21"/>
      <c r="K958" s="21"/>
      <c r="L958" s="21"/>
      <c r="M958" s="21"/>
    </row>
    <row r="959" spans="1:13" ht="38.25" x14ac:dyDescent="0.25">
      <c r="A959" s="21" t="str">
        <f t="shared" si="120"/>
        <v>1</v>
      </c>
      <c r="B959" s="21" t="str">
        <f t="shared" si="121"/>
        <v>9</v>
      </c>
      <c r="C959" s="21" t="str">
        <f t="shared" si="122"/>
        <v>1</v>
      </c>
      <c r="D959" s="21" t="str">
        <f t="shared" si="123"/>
        <v>8</v>
      </c>
      <c r="E959" s="21" t="str">
        <f t="shared" si="124"/>
        <v>11</v>
      </c>
      <c r="F959" s="21" t="str">
        <f t="shared" si="125"/>
        <v>00</v>
      </c>
      <c r="G959" s="21" t="s">
        <v>948</v>
      </c>
      <c r="H959" s="21" t="s">
        <v>2877</v>
      </c>
      <c r="I959" s="22" t="s">
        <v>3442</v>
      </c>
      <c r="J959" s="21"/>
      <c r="K959" s="21"/>
      <c r="L959" s="21"/>
      <c r="M959" s="21"/>
    </row>
    <row r="960" spans="1:13" ht="25.5" x14ac:dyDescent="0.25">
      <c r="A960" s="21" t="str">
        <f t="shared" si="120"/>
        <v>1</v>
      </c>
      <c r="B960" s="21" t="str">
        <f t="shared" si="121"/>
        <v>9</v>
      </c>
      <c r="C960" s="21" t="str">
        <f t="shared" si="122"/>
        <v>1</v>
      </c>
      <c r="D960" s="21" t="str">
        <f t="shared" si="123"/>
        <v>8</v>
      </c>
      <c r="E960" s="21" t="str">
        <f t="shared" si="124"/>
        <v>12</v>
      </c>
      <c r="F960" s="21" t="str">
        <f t="shared" si="125"/>
        <v>00</v>
      </c>
      <c r="G960" s="21" t="s">
        <v>949</v>
      </c>
      <c r="H960" s="21" t="s">
        <v>2878</v>
      </c>
      <c r="I960" s="22" t="s">
        <v>3443</v>
      </c>
      <c r="J960" s="21"/>
      <c r="K960" s="21"/>
      <c r="L960" s="21"/>
      <c r="M960" s="21"/>
    </row>
    <row r="961" spans="1:13" ht="38.25" x14ac:dyDescent="0.25">
      <c r="A961" s="47" t="str">
        <f t="shared" si="120"/>
        <v>1</v>
      </c>
      <c r="B961" s="47" t="str">
        <f t="shared" si="121"/>
        <v>9</v>
      </c>
      <c r="C961" s="47" t="str">
        <f t="shared" si="122"/>
        <v>1</v>
      </c>
      <c r="D961" s="47" t="str">
        <f t="shared" si="123"/>
        <v>8</v>
      </c>
      <c r="E961" s="47" t="str">
        <f t="shared" si="124"/>
        <v>13</v>
      </c>
      <c r="F961" s="47" t="str">
        <f t="shared" si="125"/>
        <v>00</v>
      </c>
      <c r="G961" s="47" t="s">
        <v>950</v>
      </c>
      <c r="H961" s="47" t="s">
        <v>2879</v>
      </c>
      <c r="I961" s="48" t="s">
        <v>3444</v>
      </c>
      <c r="J961" s="21"/>
      <c r="K961" s="21" t="s">
        <v>3947</v>
      </c>
      <c r="L961" s="21" t="s">
        <v>4220</v>
      </c>
      <c r="M961" s="21"/>
    </row>
    <row r="962" spans="1:13" ht="25.5" x14ac:dyDescent="0.25">
      <c r="A962" s="21" t="str">
        <f t="shared" si="120"/>
        <v>1</v>
      </c>
      <c r="B962" s="21" t="str">
        <f t="shared" si="121"/>
        <v>9</v>
      </c>
      <c r="C962" s="21" t="str">
        <f t="shared" si="122"/>
        <v>1</v>
      </c>
      <c r="D962" s="21" t="str">
        <f t="shared" si="123"/>
        <v>8</v>
      </c>
      <c r="E962" s="21" t="str">
        <f t="shared" si="124"/>
        <v>14</v>
      </c>
      <c r="F962" s="21" t="str">
        <f t="shared" si="125"/>
        <v>00</v>
      </c>
      <c r="G962" s="21" t="s">
        <v>951</v>
      </c>
      <c r="H962" s="21" t="s">
        <v>2880</v>
      </c>
      <c r="I962" s="22" t="s">
        <v>3445</v>
      </c>
      <c r="J962" s="21"/>
      <c r="K962" s="21"/>
      <c r="L962" s="21"/>
      <c r="M962" s="21"/>
    </row>
    <row r="963" spans="1:13" ht="38.25" x14ac:dyDescent="0.25">
      <c r="A963" s="21" t="str">
        <f t="shared" si="120"/>
        <v>1</v>
      </c>
      <c r="B963" s="21" t="str">
        <f t="shared" si="121"/>
        <v>9</v>
      </c>
      <c r="C963" s="21" t="str">
        <f t="shared" si="122"/>
        <v>1</v>
      </c>
      <c r="D963" s="21" t="str">
        <f t="shared" si="123"/>
        <v>8</v>
      </c>
      <c r="E963" s="21" t="str">
        <f t="shared" si="124"/>
        <v>15</v>
      </c>
      <c r="F963" s="21" t="str">
        <f t="shared" si="125"/>
        <v>00</v>
      </c>
      <c r="G963" s="21" t="s">
        <v>952</v>
      </c>
      <c r="H963" s="21" t="s">
        <v>2881</v>
      </c>
      <c r="I963" s="22" t="s">
        <v>3446</v>
      </c>
      <c r="J963" s="21"/>
      <c r="K963" s="21"/>
      <c r="L963" s="21"/>
      <c r="M963" s="21"/>
    </row>
    <row r="964" spans="1:13" ht="25.5" x14ac:dyDescent="0.25">
      <c r="A964" s="21" t="str">
        <f t="shared" si="120"/>
        <v>1</v>
      </c>
      <c r="B964" s="21" t="str">
        <f t="shared" si="121"/>
        <v>9</v>
      </c>
      <c r="C964" s="21" t="str">
        <f t="shared" si="122"/>
        <v>1</v>
      </c>
      <c r="D964" s="21" t="str">
        <f t="shared" si="123"/>
        <v>8</v>
      </c>
      <c r="E964" s="21" t="str">
        <f t="shared" si="124"/>
        <v>16</v>
      </c>
      <c r="F964" s="21" t="str">
        <f t="shared" si="125"/>
        <v>00</v>
      </c>
      <c r="G964" s="21" t="s">
        <v>953</v>
      </c>
      <c r="H964" s="21" t="s">
        <v>2882</v>
      </c>
      <c r="I964" s="22" t="s">
        <v>3447</v>
      </c>
      <c r="J964" s="21"/>
      <c r="K964" s="21"/>
      <c r="L964" s="21"/>
      <c r="M964" s="21"/>
    </row>
    <row r="965" spans="1:13" ht="25.5" x14ac:dyDescent="0.25">
      <c r="A965" s="21" t="str">
        <f t="shared" si="120"/>
        <v>1</v>
      </c>
      <c r="B965" s="21" t="str">
        <f t="shared" si="121"/>
        <v>9</v>
      </c>
      <c r="C965" s="21" t="str">
        <f t="shared" si="122"/>
        <v>1</v>
      </c>
      <c r="D965" s="21" t="str">
        <f t="shared" si="123"/>
        <v>8</v>
      </c>
      <c r="E965" s="21" t="str">
        <f t="shared" si="124"/>
        <v>17</v>
      </c>
      <c r="F965" s="21" t="str">
        <f t="shared" si="125"/>
        <v>00</v>
      </c>
      <c r="G965" s="21" t="s">
        <v>954</v>
      </c>
      <c r="H965" s="21" t="s">
        <v>2883</v>
      </c>
      <c r="I965" s="22" t="s">
        <v>3448</v>
      </c>
      <c r="J965" s="21"/>
      <c r="K965" s="21"/>
      <c r="L965" s="21"/>
      <c r="M965" s="21"/>
    </row>
    <row r="966" spans="1:13" ht="25.5" x14ac:dyDescent="0.25">
      <c r="A966" s="13" t="str">
        <f t="shared" ref="A966:A1031" si="126">MID(G966,1,1)</f>
        <v>1</v>
      </c>
      <c r="B966" s="13" t="str">
        <f t="shared" ref="B966:B1031" si="127">MID(G966,2,1)</f>
        <v>9</v>
      </c>
      <c r="C966" s="13" t="str">
        <f t="shared" ref="C966:C1031" si="128">MID(G966,3,1)</f>
        <v>1</v>
      </c>
      <c r="D966" s="13" t="str">
        <f t="shared" ref="D966:D1031" si="129">MID(G966,4,1)</f>
        <v>8</v>
      </c>
      <c r="E966" s="13" t="str">
        <f t="shared" ref="E966:E1031" si="130">MID(G966,6,2)</f>
        <v>17</v>
      </c>
      <c r="F966" s="13" t="str">
        <f t="shared" ref="F966:F1031" si="131">MID(G966,9,2)</f>
        <v>01</v>
      </c>
      <c r="G966" s="13" t="s">
        <v>955</v>
      </c>
      <c r="H966" s="13" t="s">
        <v>2884</v>
      </c>
      <c r="I966" s="16" t="s">
        <v>3449</v>
      </c>
      <c r="J966" s="13"/>
      <c r="K966" s="13"/>
      <c r="L966" s="13"/>
      <c r="M966" s="16"/>
    </row>
    <row r="967" spans="1:13" ht="25.5" x14ac:dyDescent="0.25">
      <c r="A967" s="13" t="str">
        <f t="shared" si="126"/>
        <v>1</v>
      </c>
      <c r="B967" s="13" t="str">
        <f t="shared" si="127"/>
        <v>9</v>
      </c>
      <c r="C967" s="13" t="str">
        <f t="shared" si="128"/>
        <v>1</v>
      </c>
      <c r="D967" s="13" t="str">
        <f t="shared" si="129"/>
        <v>8</v>
      </c>
      <c r="E967" s="13" t="str">
        <f t="shared" si="130"/>
        <v>17</v>
      </c>
      <c r="F967" s="13" t="str">
        <f t="shared" si="131"/>
        <v>02</v>
      </c>
      <c r="G967" s="13" t="s">
        <v>956</v>
      </c>
      <c r="H967" s="13" t="s">
        <v>2885</v>
      </c>
      <c r="I967" s="16" t="s">
        <v>3450</v>
      </c>
      <c r="J967" s="13"/>
      <c r="K967" s="13"/>
      <c r="L967" s="13"/>
      <c r="M967" s="16"/>
    </row>
    <row r="968" spans="1:13" ht="38.25" x14ac:dyDescent="0.25">
      <c r="A968" s="21" t="str">
        <f t="shared" si="126"/>
        <v>1</v>
      </c>
      <c r="B968" s="21" t="str">
        <f t="shared" si="127"/>
        <v>9</v>
      </c>
      <c r="C968" s="21" t="str">
        <f t="shared" si="128"/>
        <v>1</v>
      </c>
      <c r="D968" s="21" t="str">
        <f t="shared" si="129"/>
        <v>8</v>
      </c>
      <c r="E968" s="21" t="str">
        <f t="shared" si="130"/>
        <v>18</v>
      </c>
      <c r="F968" s="21" t="str">
        <f t="shared" si="131"/>
        <v>00</v>
      </c>
      <c r="G968" s="21" t="s">
        <v>957</v>
      </c>
      <c r="H968" s="21" t="s">
        <v>2886</v>
      </c>
      <c r="I968" s="22" t="s">
        <v>3451</v>
      </c>
      <c r="J968" s="21"/>
      <c r="K968" s="21"/>
      <c r="L968" s="21"/>
      <c r="M968" s="21"/>
    </row>
    <row r="969" spans="1:13" ht="25.5" x14ac:dyDescent="0.25">
      <c r="A969" s="13" t="str">
        <f t="shared" si="126"/>
        <v>1</v>
      </c>
      <c r="B969" s="13" t="str">
        <f t="shared" si="127"/>
        <v>9</v>
      </c>
      <c r="C969" s="13" t="str">
        <f t="shared" si="128"/>
        <v>1</v>
      </c>
      <c r="D969" s="13" t="str">
        <f t="shared" si="129"/>
        <v>8</v>
      </c>
      <c r="E969" s="13" t="str">
        <f t="shared" si="130"/>
        <v>18</v>
      </c>
      <c r="F969" s="13" t="str">
        <f t="shared" si="131"/>
        <v>01</v>
      </c>
      <c r="G969" s="13" t="s">
        <v>958</v>
      </c>
      <c r="H969" s="13" t="s">
        <v>2887</v>
      </c>
      <c r="I969" s="16" t="s">
        <v>3452</v>
      </c>
      <c r="J969" s="13"/>
      <c r="K969" s="13"/>
      <c r="L969" s="13"/>
      <c r="M969" s="16"/>
    </row>
    <row r="970" spans="1:13" ht="25.5" x14ac:dyDescent="0.25">
      <c r="A970" s="13" t="str">
        <f t="shared" si="126"/>
        <v>1</v>
      </c>
      <c r="B970" s="13" t="str">
        <f t="shared" si="127"/>
        <v>9</v>
      </c>
      <c r="C970" s="13" t="str">
        <f t="shared" si="128"/>
        <v>1</v>
      </c>
      <c r="D970" s="13" t="str">
        <f t="shared" si="129"/>
        <v>8</v>
      </c>
      <c r="E970" s="13" t="str">
        <f t="shared" si="130"/>
        <v>18</v>
      </c>
      <c r="F970" s="13" t="str">
        <f t="shared" si="131"/>
        <v>02</v>
      </c>
      <c r="G970" s="13" t="s">
        <v>959</v>
      </c>
      <c r="H970" s="13" t="s">
        <v>2888</v>
      </c>
      <c r="I970" s="16" t="s">
        <v>3453</v>
      </c>
      <c r="J970" s="13"/>
      <c r="K970" s="13"/>
      <c r="L970" s="13"/>
      <c r="M970" s="16"/>
    </row>
    <row r="971" spans="1:13" ht="38.25" x14ac:dyDescent="0.25">
      <c r="A971" s="21" t="str">
        <f t="shared" si="126"/>
        <v>1</v>
      </c>
      <c r="B971" s="21" t="str">
        <f t="shared" si="127"/>
        <v>9</v>
      </c>
      <c r="C971" s="21" t="str">
        <f t="shared" si="128"/>
        <v>1</v>
      </c>
      <c r="D971" s="21" t="str">
        <f t="shared" si="129"/>
        <v>8</v>
      </c>
      <c r="E971" s="21" t="str">
        <f t="shared" si="130"/>
        <v>19</v>
      </c>
      <c r="F971" s="21" t="str">
        <f t="shared" si="131"/>
        <v>00</v>
      </c>
      <c r="G971" s="21" t="s">
        <v>960</v>
      </c>
      <c r="H971" s="21" t="s">
        <v>2889</v>
      </c>
      <c r="I971" s="22" t="s">
        <v>3454</v>
      </c>
      <c r="J971" s="21"/>
      <c r="K971" s="21"/>
      <c r="L971" s="21"/>
      <c r="M971" s="21"/>
    </row>
    <row r="972" spans="1:13" ht="51" x14ac:dyDescent="0.25">
      <c r="A972" s="21" t="str">
        <f t="shared" si="126"/>
        <v>1</v>
      </c>
      <c r="B972" s="21" t="str">
        <f t="shared" si="127"/>
        <v>9</v>
      </c>
      <c r="C972" s="21" t="str">
        <f t="shared" si="128"/>
        <v>1</v>
      </c>
      <c r="D972" s="21" t="str">
        <f t="shared" si="129"/>
        <v>8</v>
      </c>
      <c r="E972" s="21" t="str">
        <f t="shared" si="130"/>
        <v>20</v>
      </c>
      <c r="F972" s="21" t="str">
        <f t="shared" si="131"/>
        <v>00</v>
      </c>
      <c r="G972" s="21" t="s">
        <v>961</v>
      </c>
      <c r="H972" s="21" t="s">
        <v>2890</v>
      </c>
      <c r="I972" s="22" t="s">
        <v>3455</v>
      </c>
      <c r="J972" s="21"/>
      <c r="K972" s="21"/>
      <c r="L972" s="21"/>
      <c r="M972" s="21"/>
    </row>
    <row r="973" spans="1:13" ht="38.25" x14ac:dyDescent="0.25">
      <c r="A973" s="21" t="str">
        <f t="shared" si="126"/>
        <v>1</v>
      </c>
      <c r="B973" s="21" t="str">
        <f t="shared" si="127"/>
        <v>9</v>
      </c>
      <c r="C973" s="21" t="str">
        <f t="shared" si="128"/>
        <v>1</v>
      </c>
      <c r="D973" s="21" t="str">
        <f t="shared" si="129"/>
        <v>8</v>
      </c>
      <c r="E973" s="21" t="str">
        <f t="shared" si="130"/>
        <v>21</v>
      </c>
      <c r="F973" s="21" t="str">
        <f t="shared" si="131"/>
        <v>00</v>
      </c>
      <c r="G973" s="21" t="s">
        <v>962</v>
      </c>
      <c r="H973" s="21" t="s">
        <v>2891</v>
      </c>
      <c r="I973" s="22" t="s">
        <v>3456</v>
      </c>
      <c r="J973" s="21"/>
      <c r="K973" s="21"/>
      <c r="L973" s="21"/>
      <c r="M973" s="21"/>
    </row>
    <row r="974" spans="1:13" ht="38.25" x14ac:dyDescent="0.25">
      <c r="A974" s="21" t="str">
        <f t="shared" si="126"/>
        <v>1</v>
      </c>
      <c r="B974" s="21" t="str">
        <f t="shared" si="127"/>
        <v>9</v>
      </c>
      <c r="C974" s="21" t="str">
        <f t="shared" si="128"/>
        <v>1</v>
      </c>
      <c r="D974" s="21" t="str">
        <f t="shared" si="129"/>
        <v>8</v>
      </c>
      <c r="E974" s="21" t="str">
        <f t="shared" si="130"/>
        <v>23</v>
      </c>
      <c r="F974" s="21" t="str">
        <f t="shared" si="131"/>
        <v>00</v>
      </c>
      <c r="G974" s="21" t="s">
        <v>963</v>
      </c>
      <c r="H974" s="21" t="s">
        <v>2892</v>
      </c>
      <c r="I974" s="22" t="s">
        <v>3457</v>
      </c>
      <c r="J974" s="21"/>
      <c r="K974" s="21"/>
      <c r="L974" s="21"/>
      <c r="M974" s="21"/>
    </row>
    <row r="975" spans="1:13" ht="38.25" x14ac:dyDescent="0.25">
      <c r="A975" s="21" t="str">
        <f t="shared" si="126"/>
        <v>1</v>
      </c>
      <c r="B975" s="21" t="str">
        <f t="shared" si="127"/>
        <v>9</v>
      </c>
      <c r="C975" s="21" t="str">
        <f t="shared" si="128"/>
        <v>1</v>
      </c>
      <c r="D975" s="21" t="str">
        <f t="shared" si="129"/>
        <v>8</v>
      </c>
      <c r="E975" s="21" t="str">
        <f t="shared" si="130"/>
        <v>24</v>
      </c>
      <c r="F975" s="21" t="str">
        <f t="shared" si="131"/>
        <v>00</v>
      </c>
      <c r="G975" s="21" t="s">
        <v>964</v>
      </c>
      <c r="H975" s="21" t="s">
        <v>2893</v>
      </c>
      <c r="I975" s="22" t="s">
        <v>3977</v>
      </c>
      <c r="J975" s="21"/>
      <c r="K975" s="21" t="s">
        <v>46</v>
      </c>
      <c r="L975" s="21" t="s">
        <v>4223</v>
      </c>
      <c r="M975" s="21"/>
    </row>
    <row r="976" spans="1:13" ht="25.5" x14ac:dyDescent="0.25">
      <c r="A976" s="13" t="str">
        <f t="shared" si="126"/>
        <v>1</v>
      </c>
      <c r="B976" s="13" t="str">
        <f t="shared" si="127"/>
        <v>9</v>
      </c>
      <c r="C976" s="13" t="str">
        <f t="shared" si="128"/>
        <v>1</v>
      </c>
      <c r="D976" s="13" t="str">
        <f t="shared" si="129"/>
        <v>8</v>
      </c>
      <c r="E976" s="13" t="str">
        <f t="shared" si="130"/>
        <v>24</v>
      </c>
      <c r="F976" s="13" t="str">
        <f t="shared" si="131"/>
        <v>01</v>
      </c>
      <c r="G976" s="13" t="s">
        <v>965</v>
      </c>
      <c r="H976" s="13" t="s">
        <v>2894</v>
      </c>
      <c r="I976" s="16" t="s">
        <v>3984</v>
      </c>
      <c r="J976" s="13"/>
      <c r="K976" s="13" t="s">
        <v>46</v>
      </c>
      <c r="L976" s="13" t="s">
        <v>4223</v>
      </c>
      <c r="M976" s="16"/>
    </row>
    <row r="977" spans="1:13" ht="38.25" x14ac:dyDescent="0.25">
      <c r="A977" s="13" t="str">
        <f t="shared" si="126"/>
        <v>1</v>
      </c>
      <c r="B977" s="13" t="str">
        <f t="shared" si="127"/>
        <v>9</v>
      </c>
      <c r="C977" s="13" t="str">
        <f t="shared" si="128"/>
        <v>1</v>
      </c>
      <c r="D977" s="13" t="str">
        <f t="shared" si="129"/>
        <v>8</v>
      </c>
      <c r="E977" s="13" t="str">
        <f t="shared" si="130"/>
        <v>24</v>
      </c>
      <c r="F977" s="13" t="str">
        <f t="shared" si="131"/>
        <v>02</v>
      </c>
      <c r="G977" s="13" t="s">
        <v>966</v>
      </c>
      <c r="H977" s="13" t="s">
        <v>2895</v>
      </c>
      <c r="I977" s="16" t="s">
        <v>3983</v>
      </c>
      <c r="J977" s="13"/>
      <c r="K977" s="13" t="s">
        <v>46</v>
      </c>
      <c r="L977" s="13" t="s">
        <v>4223</v>
      </c>
      <c r="M977" s="16"/>
    </row>
    <row r="978" spans="1:13" ht="25.5" x14ac:dyDescent="0.25">
      <c r="A978" s="13" t="str">
        <f t="shared" si="126"/>
        <v>1</v>
      </c>
      <c r="B978" s="13" t="str">
        <f t="shared" si="127"/>
        <v>9</v>
      </c>
      <c r="C978" s="13" t="str">
        <f t="shared" si="128"/>
        <v>1</v>
      </c>
      <c r="D978" s="13" t="str">
        <f t="shared" si="129"/>
        <v>8</v>
      </c>
      <c r="E978" s="13" t="str">
        <f t="shared" si="130"/>
        <v>24</v>
      </c>
      <c r="F978" s="13" t="str">
        <f t="shared" si="131"/>
        <v>03</v>
      </c>
      <c r="G978" s="13" t="s">
        <v>967</v>
      </c>
      <c r="H978" s="13" t="s">
        <v>2896</v>
      </c>
      <c r="I978" s="16" t="s">
        <v>3982</v>
      </c>
      <c r="J978" s="13"/>
      <c r="K978" s="13" t="s">
        <v>46</v>
      </c>
      <c r="L978" s="13" t="s">
        <v>4223</v>
      </c>
      <c r="M978" s="16"/>
    </row>
    <row r="979" spans="1:13" ht="51" x14ac:dyDescent="0.25">
      <c r="A979" s="13" t="str">
        <f t="shared" si="126"/>
        <v>1</v>
      </c>
      <c r="B979" s="13" t="str">
        <f t="shared" si="127"/>
        <v>9</v>
      </c>
      <c r="C979" s="13" t="str">
        <f t="shared" si="128"/>
        <v>1</v>
      </c>
      <c r="D979" s="13" t="str">
        <f t="shared" si="129"/>
        <v>8</v>
      </c>
      <c r="E979" s="13" t="str">
        <f t="shared" si="130"/>
        <v>24</v>
      </c>
      <c r="F979" s="13" t="str">
        <f t="shared" si="131"/>
        <v>04</v>
      </c>
      <c r="G979" s="13" t="s">
        <v>968</v>
      </c>
      <c r="H979" s="13" t="s">
        <v>2897</v>
      </c>
      <c r="I979" s="16" t="s">
        <v>3981</v>
      </c>
      <c r="J979" s="13"/>
      <c r="K979" s="13" t="s">
        <v>46</v>
      </c>
      <c r="L979" s="13" t="s">
        <v>4223</v>
      </c>
      <c r="M979" s="16"/>
    </row>
    <row r="980" spans="1:13" ht="25.5" x14ac:dyDescent="0.25">
      <c r="A980" s="13" t="str">
        <f t="shared" si="126"/>
        <v>1</v>
      </c>
      <c r="B980" s="13" t="str">
        <f t="shared" si="127"/>
        <v>9</v>
      </c>
      <c r="C980" s="13" t="str">
        <f t="shared" si="128"/>
        <v>1</v>
      </c>
      <c r="D980" s="13" t="str">
        <f t="shared" si="129"/>
        <v>8</v>
      </c>
      <c r="E980" s="13" t="str">
        <f t="shared" si="130"/>
        <v>24</v>
      </c>
      <c r="F980" s="13" t="str">
        <f t="shared" si="131"/>
        <v>06</v>
      </c>
      <c r="G980" s="13" t="s">
        <v>969</v>
      </c>
      <c r="H980" s="13" t="s">
        <v>2898</v>
      </c>
      <c r="I980" s="16" t="s">
        <v>3980</v>
      </c>
      <c r="J980" s="13"/>
      <c r="K980" s="13" t="s">
        <v>46</v>
      </c>
      <c r="L980" s="13" t="s">
        <v>4223</v>
      </c>
      <c r="M980" s="16"/>
    </row>
    <row r="981" spans="1:13" ht="38.25" x14ac:dyDescent="0.25">
      <c r="A981" s="13" t="str">
        <f t="shared" si="126"/>
        <v>1</v>
      </c>
      <c r="B981" s="13" t="str">
        <f t="shared" si="127"/>
        <v>9</v>
      </c>
      <c r="C981" s="13" t="str">
        <f t="shared" si="128"/>
        <v>1</v>
      </c>
      <c r="D981" s="13" t="str">
        <f t="shared" si="129"/>
        <v>8</v>
      </c>
      <c r="E981" s="13" t="str">
        <f t="shared" si="130"/>
        <v>24</v>
      </c>
      <c r="F981" s="13" t="str">
        <f t="shared" si="131"/>
        <v>07</v>
      </c>
      <c r="G981" s="13" t="s">
        <v>970</v>
      </c>
      <c r="H981" s="13" t="s">
        <v>2899</v>
      </c>
      <c r="I981" s="16" t="s">
        <v>3979</v>
      </c>
      <c r="J981" s="13"/>
      <c r="K981" s="13" t="s">
        <v>46</v>
      </c>
      <c r="L981" s="13" t="s">
        <v>4223</v>
      </c>
      <c r="M981" s="16"/>
    </row>
    <row r="982" spans="1:13" ht="38.25" x14ac:dyDescent="0.25">
      <c r="A982" s="21" t="str">
        <f t="shared" si="126"/>
        <v>1</v>
      </c>
      <c r="B982" s="21" t="str">
        <f t="shared" si="127"/>
        <v>9</v>
      </c>
      <c r="C982" s="21" t="str">
        <f t="shared" si="128"/>
        <v>1</v>
      </c>
      <c r="D982" s="21" t="str">
        <f t="shared" si="129"/>
        <v>8</v>
      </c>
      <c r="E982" s="21" t="str">
        <f t="shared" si="130"/>
        <v>25</v>
      </c>
      <c r="F982" s="21" t="str">
        <f t="shared" si="131"/>
        <v>00</v>
      </c>
      <c r="G982" s="21" t="s">
        <v>971</v>
      </c>
      <c r="H982" s="21" t="s">
        <v>2900</v>
      </c>
      <c r="I982" s="22" t="s">
        <v>3978</v>
      </c>
      <c r="J982" s="21"/>
      <c r="K982" s="21" t="s">
        <v>46</v>
      </c>
      <c r="L982" s="21" t="s">
        <v>4223</v>
      </c>
      <c r="M982" s="21"/>
    </row>
    <row r="983" spans="1:13" ht="25.5" x14ac:dyDescent="0.25">
      <c r="A983" s="21" t="str">
        <f t="shared" si="126"/>
        <v>1</v>
      </c>
      <c r="B983" s="21" t="str">
        <f t="shared" si="127"/>
        <v>9</v>
      </c>
      <c r="C983" s="21" t="str">
        <f t="shared" si="128"/>
        <v>1</v>
      </c>
      <c r="D983" s="21" t="str">
        <f t="shared" si="129"/>
        <v>8</v>
      </c>
      <c r="E983" s="21" t="str">
        <f t="shared" si="130"/>
        <v>26</v>
      </c>
      <c r="F983" s="21" t="str">
        <f t="shared" si="131"/>
        <v>00</v>
      </c>
      <c r="G983" s="21" t="s">
        <v>972</v>
      </c>
      <c r="H983" s="21" t="s">
        <v>2901</v>
      </c>
      <c r="I983" s="22" t="s">
        <v>3985</v>
      </c>
      <c r="J983" s="21"/>
      <c r="K983" s="21" t="s">
        <v>46</v>
      </c>
      <c r="L983" s="21" t="s">
        <v>4226</v>
      </c>
      <c r="M983" s="21"/>
    </row>
    <row r="984" spans="1:13" ht="38.25" x14ac:dyDescent="0.25">
      <c r="A984" s="21" t="str">
        <f t="shared" si="126"/>
        <v>1</v>
      </c>
      <c r="B984" s="21" t="str">
        <f t="shared" si="127"/>
        <v>9</v>
      </c>
      <c r="C984" s="21" t="str">
        <f t="shared" si="128"/>
        <v>1</v>
      </c>
      <c r="D984" s="21" t="str">
        <f t="shared" si="129"/>
        <v>8</v>
      </c>
      <c r="E984" s="21" t="str">
        <f t="shared" si="130"/>
        <v>27</v>
      </c>
      <c r="F984" s="21" t="str">
        <f t="shared" si="131"/>
        <v>00</v>
      </c>
      <c r="G984" s="21" t="s">
        <v>973</v>
      </c>
      <c r="H984" s="21" t="s">
        <v>2902</v>
      </c>
      <c r="I984" s="22" t="s">
        <v>3986</v>
      </c>
      <c r="J984" s="21"/>
      <c r="K984" s="21" t="s">
        <v>46</v>
      </c>
      <c r="L984" s="21" t="s">
        <v>4226</v>
      </c>
      <c r="M984" s="21"/>
    </row>
    <row r="985" spans="1:13" ht="25.5" x14ac:dyDescent="0.25">
      <c r="A985" s="21" t="str">
        <f t="shared" si="126"/>
        <v>1</v>
      </c>
      <c r="B985" s="21" t="str">
        <f t="shared" si="127"/>
        <v>9</v>
      </c>
      <c r="C985" s="21" t="str">
        <f t="shared" si="128"/>
        <v>1</v>
      </c>
      <c r="D985" s="21" t="str">
        <f t="shared" si="129"/>
        <v>8</v>
      </c>
      <c r="E985" s="21" t="str">
        <f t="shared" si="130"/>
        <v>99</v>
      </c>
      <c r="F985" s="21" t="str">
        <f t="shared" si="131"/>
        <v>00</v>
      </c>
      <c r="G985" s="21" t="s">
        <v>974</v>
      </c>
      <c r="H985" s="21" t="s">
        <v>2903</v>
      </c>
      <c r="I985" s="22" t="s">
        <v>4178</v>
      </c>
      <c r="J985" s="21"/>
      <c r="K985" s="21" t="s">
        <v>4021</v>
      </c>
      <c r="L985" s="21" t="s">
        <v>4227</v>
      </c>
      <c r="M985" s="21"/>
    </row>
    <row r="986" spans="1:13" x14ac:dyDescent="0.25">
      <c r="A986" s="43" t="str">
        <f>MID(G986,1,1)</f>
        <v>1</v>
      </c>
      <c r="B986" s="43" t="str">
        <f>MID(G986,2,1)</f>
        <v>9</v>
      </c>
      <c r="C986" s="43" t="str">
        <f>MID(G986,3,1)</f>
        <v>1</v>
      </c>
      <c r="D986" s="43" t="str">
        <f>MID(G986,4,1)</f>
        <v>8</v>
      </c>
      <c r="E986" s="43" t="str">
        <f>MID(G986,6,2)</f>
        <v>99</v>
      </c>
      <c r="F986" s="43" t="str">
        <f>MID(G986,9,2)</f>
        <v>01</v>
      </c>
      <c r="G986" s="13" t="s">
        <v>4179</v>
      </c>
      <c r="H986" s="13" t="s">
        <v>4181</v>
      </c>
      <c r="I986" s="16" t="s">
        <v>4182</v>
      </c>
      <c r="J986" s="13"/>
      <c r="K986" s="13" t="s">
        <v>46</v>
      </c>
      <c r="L986" s="13" t="s">
        <v>4228</v>
      </c>
      <c r="M986" s="16"/>
    </row>
    <row r="987" spans="1:13" ht="25.5" x14ac:dyDescent="0.25">
      <c r="A987" s="43" t="str">
        <f>MID(G987,1,1)</f>
        <v>1</v>
      </c>
      <c r="B987" s="43" t="str">
        <f>MID(G987,2,1)</f>
        <v>9</v>
      </c>
      <c r="C987" s="43" t="str">
        <f>MID(G987,3,1)</f>
        <v>1</v>
      </c>
      <c r="D987" s="43" t="str">
        <f>MID(G987,4,1)</f>
        <v>8</v>
      </c>
      <c r="E987" s="43" t="str">
        <f>MID(G987,6,2)</f>
        <v>99</v>
      </c>
      <c r="F987" s="43" t="str">
        <f>MID(G987,9,2)</f>
        <v>02</v>
      </c>
      <c r="G987" s="13" t="s">
        <v>4180</v>
      </c>
      <c r="H987" s="13" t="s">
        <v>4183</v>
      </c>
      <c r="I987" s="16" t="s">
        <v>4184</v>
      </c>
      <c r="J987" s="13"/>
      <c r="K987" s="13" t="s">
        <v>46</v>
      </c>
      <c r="L987" s="13" t="s">
        <v>4228</v>
      </c>
      <c r="M987" s="16"/>
    </row>
    <row r="988" spans="1:13" x14ac:dyDescent="0.25">
      <c r="A988" s="19" t="str">
        <f t="shared" si="126"/>
        <v>1</v>
      </c>
      <c r="B988" s="19" t="str">
        <f t="shared" si="127"/>
        <v>9</v>
      </c>
      <c r="C988" s="19" t="str">
        <f t="shared" si="128"/>
        <v>1</v>
      </c>
      <c r="D988" s="19" t="str">
        <f t="shared" si="129"/>
        <v>9</v>
      </c>
      <c r="E988" s="19" t="str">
        <f t="shared" si="130"/>
        <v>00</v>
      </c>
      <c r="F988" s="19" t="str">
        <f t="shared" si="131"/>
        <v>00</v>
      </c>
      <c r="G988" s="19" t="s">
        <v>975</v>
      </c>
      <c r="H988" s="19" t="s">
        <v>2904</v>
      </c>
      <c r="I988" s="20" t="s">
        <v>3458</v>
      </c>
      <c r="J988" s="19"/>
      <c r="K988" s="19"/>
      <c r="L988" s="19"/>
      <c r="M988" s="20"/>
    </row>
    <row r="989" spans="1:13" ht="25.5" x14ac:dyDescent="0.25">
      <c r="A989" s="21" t="str">
        <f t="shared" si="126"/>
        <v>1</v>
      </c>
      <c r="B989" s="21" t="str">
        <f t="shared" si="127"/>
        <v>9</v>
      </c>
      <c r="C989" s="21" t="str">
        <f t="shared" si="128"/>
        <v>1</v>
      </c>
      <c r="D989" s="21" t="str">
        <f t="shared" si="129"/>
        <v>9</v>
      </c>
      <c r="E989" s="21" t="str">
        <f t="shared" si="130"/>
        <v>01</v>
      </c>
      <c r="F989" s="21" t="str">
        <f t="shared" si="131"/>
        <v>00</v>
      </c>
      <c r="G989" s="21" t="s">
        <v>976</v>
      </c>
      <c r="H989" s="21" t="s">
        <v>2905</v>
      </c>
      <c r="I989" s="22" t="s">
        <v>3459</v>
      </c>
      <c r="J989" s="21"/>
      <c r="K989" s="21"/>
      <c r="L989" s="21"/>
      <c r="M989" s="21"/>
    </row>
    <row r="990" spans="1:13" ht="38.25" x14ac:dyDescent="0.25">
      <c r="A990" s="21" t="str">
        <f t="shared" si="126"/>
        <v>1</v>
      </c>
      <c r="B990" s="21" t="str">
        <f t="shared" si="127"/>
        <v>9</v>
      </c>
      <c r="C990" s="21" t="str">
        <f t="shared" si="128"/>
        <v>1</v>
      </c>
      <c r="D990" s="21" t="str">
        <f t="shared" si="129"/>
        <v>9</v>
      </c>
      <c r="E990" s="21" t="str">
        <f t="shared" si="130"/>
        <v>02</v>
      </c>
      <c r="F990" s="21" t="str">
        <f t="shared" si="131"/>
        <v>00</v>
      </c>
      <c r="G990" s="21" t="s">
        <v>977</v>
      </c>
      <c r="H990" s="21" t="s">
        <v>2906</v>
      </c>
      <c r="I990" s="22" t="s">
        <v>3460</v>
      </c>
      <c r="J990" s="21"/>
      <c r="K990" s="21"/>
      <c r="L990" s="21"/>
      <c r="M990" s="21"/>
    </row>
    <row r="991" spans="1:13" ht="25.5" x14ac:dyDescent="0.25">
      <c r="A991" s="21" t="str">
        <f t="shared" si="126"/>
        <v>1</v>
      </c>
      <c r="B991" s="21" t="str">
        <f t="shared" si="127"/>
        <v>9</v>
      </c>
      <c r="C991" s="21" t="str">
        <f t="shared" si="128"/>
        <v>1</v>
      </c>
      <c r="D991" s="21" t="str">
        <f t="shared" si="129"/>
        <v>9</v>
      </c>
      <c r="E991" s="21" t="str">
        <f t="shared" si="130"/>
        <v>03</v>
      </c>
      <c r="F991" s="21" t="str">
        <f t="shared" si="131"/>
        <v>00</v>
      </c>
      <c r="G991" s="21" t="s">
        <v>978</v>
      </c>
      <c r="H991" s="21" t="s">
        <v>2907</v>
      </c>
      <c r="I991" s="22" t="s">
        <v>3461</v>
      </c>
      <c r="J991" s="21"/>
      <c r="K991" s="21"/>
      <c r="L991" s="21"/>
      <c r="M991" s="21"/>
    </row>
    <row r="992" spans="1:13" ht="38.25" x14ac:dyDescent="0.25">
      <c r="A992" s="21" t="str">
        <f t="shared" si="126"/>
        <v>1</v>
      </c>
      <c r="B992" s="21" t="str">
        <f t="shared" si="127"/>
        <v>9</v>
      </c>
      <c r="C992" s="21" t="str">
        <f t="shared" si="128"/>
        <v>1</v>
      </c>
      <c r="D992" s="21" t="str">
        <f t="shared" si="129"/>
        <v>9</v>
      </c>
      <c r="E992" s="21" t="str">
        <f t="shared" si="130"/>
        <v>04</v>
      </c>
      <c r="F992" s="21" t="str">
        <f t="shared" si="131"/>
        <v>00</v>
      </c>
      <c r="G992" s="21" t="s">
        <v>979</v>
      </c>
      <c r="H992" s="21" t="s">
        <v>2908</v>
      </c>
      <c r="I992" s="22" t="s">
        <v>3462</v>
      </c>
      <c r="J992" s="21"/>
      <c r="K992" s="21"/>
      <c r="L992" s="21"/>
      <c r="M992" s="21"/>
    </row>
    <row r="993" spans="1:13" ht="25.5" x14ac:dyDescent="0.25">
      <c r="A993" s="21" t="str">
        <f t="shared" si="126"/>
        <v>1</v>
      </c>
      <c r="B993" s="21" t="str">
        <f t="shared" si="127"/>
        <v>9</v>
      </c>
      <c r="C993" s="21" t="str">
        <f t="shared" si="128"/>
        <v>1</v>
      </c>
      <c r="D993" s="21" t="str">
        <f t="shared" si="129"/>
        <v>9</v>
      </c>
      <c r="E993" s="21" t="str">
        <f t="shared" si="130"/>
        <v>05</v>
      </c>
      <c r="F993" s="21" t="str">
        <f t="shared" si="131"/>
        <v>00</v>
      </c>
      <c r="G993" s="21" t="s">
        <v>980</v>
      </c>
      <c r="H993" s="21" t="s">
        <v>2909</v>
      </c>
      <c r="I993" s="22" t="s">
        <v>3463</v>
      </c>
      <c r="J993" s="21"/>
      <c r="K993" s="21"/>
      <c r="L993" s="21"/>
      <c r="M993" s="21"/>
    </row>
    <row r="994" spans="1:13" ht="25.5" x14ac:dyDescent="0.25">
      <c r="A994" s="21" t="str">
        <f t="shared" si="126"/>
        <v>1</v>
      </c>
      <c r="B994" s="21" t="str">
        <f t="shared" si="127"/>
        <v>9</v>
      </c>
      <c r="C994" s="21" t="str">
        <f t="shared" si="128"/>
        <v>1</v>
      </c>
      <c r="D994" s="21" t="str">
        <f t="shared" si="129"/>
        <v>9</v>
      </c>
      <c r="E994" s="21" t="str">
        <f t="shared" si="130"/>
        <v>06</v>
      </c>
      <c r="F994" s="21" t="str">
        <f t="shared" si="131"/>
        <v>00</v>
      </c>
      <c r="G994" s="21" t="s">
        <v>981</v>
      </c>
      <c r="H994" s="21" t="s">
        <v>2910</v>
      </c>
      <c r="I994" s="22" t="s">
        <v>3464</v>
      </c>
      <c r="J994" s="21"/>
      <c r="K994" s="21"/>
      <c r="L994" s="21"/>
      <c r="M994" s="21"/>
    </row>
    <row r="995" spans="1:13" ht="25.5" x14ac:dyDescent="0.25">
      <c r="A995" s="21" t="str">
        <f t="shared" si="126"/>
        <v>1</v>
      </c>
      <c r="B995" s="21" t="str">
        <f t="shared" si="127"/>
        <v>9</v>
      </c>
      <c r="C995" s="21" t="str">
        <f t="shared" si="128"/>
        <v>1</v>
      </c>
      <c r="D995" s="21" t="str">
        <f t="shared" si="129"/>
        <v>9</v>
      </c>
      <c r="E995" s="21" t="str">
        <f t="shared" si="130"/>
        <v>07</v>
      </c>
      <c r="F995" s="21" t="str">
        <f t="shared" si="131"/>
        <v>00</v>
      </c>
      <c r="G995" s="21" t="s">
        <v>982</v>
      </c>
      <c r="H995" s="21" t="s">
        <v>2911</v>
      </c>
      <c r="I995" s="22" t="s">
        <v>3465</v>
      </c>
      <c r="J995" s="21"/>
      <c r="K995" s="21"/>
      <c r="L995" s="21"/>
      <c r="M995" s="21"/>
    </row>
    <row r="996" spans="1:13" x14ac:dyDescent="0.25">
      <c r="A996" s="21" t="str">
        <f t="shared" si="126"/>
        <v>1</v>
      </c>
      <c r="B996" s="21" t="str">
        <f t="shared" si="127"/>
        <v>9</v>
      </c>
      <c r="C996" s="21" t="str">
        <f t="shared" si="128"/>
        <v>1</v>
      </c>
      <c r="D996" s="21" t="str">
        <f t="shared" si="129"/>
        <v>9</v>
      </c>
      <c r="E996" s="21" t="str">
        <f t="shared" si="130"/>
        <v>08</v>
      </c>
      <c r="F996" s="21" t="str">
        <f t="shared" si="131"/>
        <v>00</v>
      </c>
      <c r="G996" s="21" t="s">
        <v>983</v>
      </c>
      <c r="H996" s="21" t="s">
        <v>2912</v>
      </c>
      <c r="I996" s="22" t="s">
        <v>3466</v>
      </c>
      <c r="J996" s="21"/>
      <c r="K996" s="21"/>
      <c r="L996" s="21"/>
      <c r="M996" s="21"/>
    </row>
    <row r="997" spans="1:13" ht="25.5" x14ac:dyDescent="0.25">
      <c r="A997" s="21" t="str">
        <f t="shared" si="126"/>
        <v>1</v>
      </c>
      <c r="B997" s="21" t="str">
        <f t="shared" si="127"/>
        <v>9</v>
      </c>
      <c r="C997" s="21" t="str">
        <f t="shared" si="128"/>
        <v>1</v>
      </c>
      <c r="D997" s="21" t="str">
        <f t="shared" si="129"/>
        <v>9</v>
      </c>
      <c r="E997" s="21" t="str">
        <f t="shared" si="130"/>
        <v>09</v>
      </c>
      <c r="F997" s="21" t="str">
        <f t="shared" si="131"/>
        <v>00</v>
      </c>
      <c r="G997" s="21" t="s">
        <v>984</v>
      </c>
      <c r="H997" s="21" t="s">
        <v>2913</v>
      </c>
      <c r="I997" s="22" t="s">
        <v>3467</v>
      </c>
      <c r="J997" s="21"/>
      <c r="K997" s="21"/>
      <c r="L997" s="21"/>
      <c r="M997" s="21"/>
    </row>
    <row r="998" spans="1:13" ht="38.25" x14ac:dyDescent="0.25">
      <c r="A998" s="21" t="str">
        <f t="shared" si="126"/>
        <v>1</v>
      </c>
      <c r="B998" s="21" t="str">
        <f t="shared" si="127"/>
        <v>9</v>
      </c>
      <c r="C998" s="21" t="str">
        <f t="shared" si="128"/>
        <v>1</v>
      </c>
      <c r="D998" s="21" t="str">
        <f t="shared" si="129"/>
        <v>9</v>
      </c>
      <c r="E998" s="21" t="str">
        <f t="shared" si="130"/>
        <v>10</v>
      </c>
      <c r="F998" s="21" t="str">
        <f t="shared" si="131"/>
        <v>00</v>
      </c>
      <c r="G998" s="21" t="s">
        <v>985</v>
      </c>
      <c r="H998" s="21" t="s">
        <v>2914</v>
      </c>
      <c r="I998" s="22" t="s">
        <v>3468</v>
      </c>
      <c r="J998" s="21"/>
      <c r="K998" s="21"/>
      <c r="L998" s="21"/>
      <c r="M998" s="21"/>
    </row>
    <row r="999" spans="1:13" ht="25.5" x14ac:dyDescent="0.25">
      <c r="A999" s="21" t="str">
        <f t="shared" si="126"/>
        <v>1</v>
      </c>
      <c r="B999" s="21" t="str">
        <f t="shared" si="127"/>
        <v>9</v>
      </c>
      <c r="C999" s="21" t="str">
        <f t="shared" si="128"/>
        <v>1</v>
      </c>
      <c r="D999" s="21" t="str">
        <f t="shared" si="129"/>
        <v>9</v>
      </c>
      <c r="E999" s="21" t="str">
        <f t="shared" si="130"/>
        <v>12</v>
      </c>
      <c r="F999" s="21" t="str">
        <f t="shared" si="131"/>
        <v>00</v>
      </c>
      <c r="G999" s="21" t="s">
        <v>986</v>
      </c>
      <c r="H999" s="21" t="s">
        <v>2915</v>
      </c>
      <c r="I999" s="22" t="s">
        <v>3469</v>
      </c>
      <c r="J999" s="21"/>
      <c r="K999" s="21"/>
      <c r="L999" s="21"/>
      <c r="M999" s="21"/>
    </row>
    <row r="1000" spans="1:13" ht="25.5" x14ac:dyDescent="0.25">
      <c r="A1000" s="21" t="str">
        <f t="shared" si="126"/>
        <v>1</v>
      </c>
      <c r="B1000" s="21" t="str">
        <f t="shared" si="127"/>
        <v>9</v>
      </c>
      <c r="C1000" s="21" t="str">
        <f t="shared" si="128"/>
        <v>1</v>
      </c>
      <c r="D1000" s="21" t="str">
        <f t="shared" si="129"/>
        <v>9</v>
      </c>
      <c r="E1000" s="21" t="str">
        <f t="shared" si="130"/>
        <v>13</v>
      </c>
      <c r="F1000" s="21" t="str">
        <f t="shared" si="131"/>
        <v>00</v>
      </c>
      <c r="G1000" s="21" t="s">
        <v>987</v>
      </c>
      <c r="H1000" s="21" t="s">
        <v>2916</v>
      </c>
      <c r="I1000" s="22" t="s">
        <v>3470</v>
      </c>
      <c r="J1000" s="21"/>
      <c r="K1000" s="21"/>
      <c r="L1000" s="21"/>
      <c r="M1000" s="21"/>
    </row>
    <row r="1001" spans="1:13" ht="38.25" x14ac:dyDescent="0.25">
      <c r="A1001" s="21" t="str">
        <f t="shared" si="126"/>
        <v>1</v>
      </c>
      <c r="B1001" s="21" t="str">
        <f t="shared" si="127"/>
        <v>9</v>
      </c>
      <c r="C1001" s="21" t="str">
        <f t="shared" si="128"/>
        <v>1</v>
      </c>
      <c r="D1001" s="21" t="str">
        <f t="shared" si="129"/>
        <v>9</v>
      </c>
      <c r="E1001" s="21" t="str">
        <f t="shared" si="130"/>
        <v>14</v>
      </c>
      <c r="F1001" s="21" t="str">
        <f t="shared" si="131"/>
        <v>00</v>
      </c>
      <c r="G1001" s="21" t="s">
        <v>988</v>
      </c>
      <c r="H1001" s="21" t="s">
        <v>2917</v>
      </c>
      <c r="I1001" s="22" t="s">
        <v>3471</v>
      </c>
      <c r="J1001" s="21"/>
      <c r="K1001" s="21"/>
      <c r="L1001" s="21"/>
      <c r="M1001" s="21"/>
    </row>
    <row r="1002" spans="1:13" x14ac:dyDescent="0.25">
      <c r="A1002" s="21" t="str">
        <f t="shared" si="126"/>
        <v>1</v>
      </c>
      <c r="B1002" s="21" t="str">
        <f t="shared" si="127"/>
        <v>9</v>
      </c>
      <c r="C1002" s="21" t="str">
        <f t="shared" si="128"/>
        <v>1</v>
      </c>
      <c r="D1002" s="21" t="str">
        <f t="shared" si="129"/>
        <v>9</v>
      </c>
      <c r="E1002" s="21" t="str">
        <f t="shared" si="130"/>
        <v>15</v>
      </c>
      <c r="F1002" s="21" t="str">
        <f t="shared" si="131"/>
        <v>00</v>
      </c>
      <c r="G1002" s="21" t="s">
        <v>989</v>
      </c>
      <c r="H1002" s="21" t="s">
        <v>2918</v>
      </c>
      <c r="I1002" s="22" t="s">
        <v>3472</v>
      </c>
      <c r="J1002" s="21"/>
      <c r="K1002" s="21"/>
      <c r="L1002" s="21"/>
      <c r="M1002" s="21"/>
    </row>
    <row r="1003" spans="1:13" ht="25.5" x14ac:dyDescent="0.25">
      <c r="A1003" s="21" t="str">
        <f t="shared" si="126"/>
        <v>1</v>
      </c>
      <c r="B1003" s="21" t="str">
        <f t="shared" si="127"/>
        <v>9</v>
      </c>
      <c r="C1003" s="21" t="str">
        <f t="shared" si="128"/>
        <v>1</v>
      </c>
      <c r="D1003" s="21" t="str">
        <f t="shared" si="129"/>
        <v>9</v>
      </c>
      <c r="E1003" s="21" t="str">
        <f t="shared" si="130"/>
        <v>16</v>
      </c>
      <c r="F1003" s="21" t="str">
        <f t="shared" si="131"/>
        <v>00</v>
      </c>
      <c r="G1003" s="21" t="s">
        <v>990</v>
      </c>
      <c r="H1003" s="21" t="s">
        <v>2919</v>
      </c>
      <c r="I1003" s="22" t="s">
        <v>3473</v>
      </c>
      <c r="J1003" s="21"/>
      <c r="K1003" s="21"/>
      <c r="L1003" s="21"/>
      <c r="M1003" s="21"/>
    </row>
    <row r="1004" spans="1:13" ht="38.25" x14ac:dyDescent="0.25">
      <c r="A1004" s="21" t="str">
        <f t="shared" si="126"/>
        <v>1</v>
      </c>
      <c r="B1004" s="21" t="str">
        <f t="shared" si="127"/>
        <v>9</v>
      </c>
      <c r="C1004" s="21" t="str">
        <f t="shared" si="128"/>
        <v>1</v>
      </c>
      <c r="D1004" s="21" t="str">
        <f t="shared" si="129"/>
        <v>9</v>
      </c>
      <c r="E1004" s="21" t="str">
        <f t="shared" si="130"/>
        <v>17</v>
      </c>
      <c r="F1004" s="21" t="str">
        <f t="shared" si="131"/>
        <v>00</v>
      </c>
      <c r="G1004" s="21" t="s">
        <v>991</v>
      </c>
      <c r="H1004" s="21" t="s">
        <v>2920</v>
      </c>
      <c r="I1004" s="22" t="s">
        <v>3474</v>
      </c>
      <c r="J1004" s="21"/>
      <c r="K1004" s="21"/>
      <c r="L1004" s="21"/>
      <c r="M1004" s="21"/>
    </row>
    <row r="1005" spans="1:13" ht="25.5" x14ac:dyDescent="0.25">
      <c r="A1005" s="21" t="str">
        <f t="shared" si="126"/>
        <v>1</v>
      </c>
      <c r="B1005" s="21" t="str">
        <f t="shared" si="127"/>
        <v>9</v>
      </c>
      <c r="C1005" s="21" t="str">
        <f t="shared" si="128"/>
        <v>1</v>
      </c>
      <c r="D1005" s="21" t="str">
        <f t="shared" si="129"/>
        <v>9</v>
      </c>
      <c r="E1005" s="21" t="str">
        <f t="shared" si="130"/>
        <v>18</v>
      </c>
      <c r="F1005" s="21" t="str">
        <f t="shared" si="131"/>
        <v>00</v>
      </c>
      <c r="G1005" s="21" t="s">
        <v>992</v>
      </c>
      <c r="H1005" s="21" t="s">
        <v>2921</v>
      </c>
      <c r="I1005" s="22" t="s">
        <v>3475</v>
      </c>
      <c r="J1005" s="21"/>
      <c r="K1005" s="21"/>
      <c r="L1005" s="21"/>
      <c r="M1005" s="21"/>
    </row>
    <row r="1006" spans="1:13" ht="25.5" x14ac:dyDescent="0.25">
      <c r="A1006" s="21" t="str">
        <f t="shared" si="126"/>
        <v>1</v>
      </c>
      <c r="B1006" s="21" t="str">
        <f t="shared" si="127"/>
        <v>9</v>
      </c>
      <c r="C1006" s="21" t="str">
        <f t="shared" si="128"/>
        <v>1</v>
      </c>
      <c r="D1006" s="21" t="str">
        <f t="shared" si="129"/>
        <v>9</v>
      </c>
      <c r="E1006" s="21" t="str">
        <f t="shared" si="130"/>
        <v>20</v>
      </c>
      <c r="F1006" s="21" t="str">
        <f t="shared" si="131"/>
        <v>00</v>
      </c>
      <c r="G1006" s="21" t="s">
        <v>993</v>
      </c>
      <c r="H1006" s="21" t="s">
        <v>2922</v>
      </c>
      <c r="I1006" s="22" t="s">
        <v>3476</v>
      </c>
      <c r="J1006" s="21"/>
      <c r="K1006" s="21"/>
      <c r="L1006" s="21"/>
      <c r="M1006" s="21"/>
    </row>
    <row r="1007" spans="1:13" ht="25.5" x14ac:dyDescent="0.25">
      <c r="A1007" s="21" t="str">
        <f t="shared" si="126"/>
        <v>1</v>
      </c>
      <c r="B1007" s="21" t="str">
        <f t="shared" si="127"/>
        <v>9</v>
      </c>
      <c r="C1007" s="21" t="str">
        <f t="shared" si="128"/>
        <v>1</v>
      </c>
      <c r="D1007" s="21" t="str">
        <f t="shared" si="129"/>
        <v>9</v>
      </c>
      <c r="E1007" s="21" t="str">
        <f t="shared" si="130"/>
        <v>26</v>
      </c>
      <c r="F1007" s="21" t="str">
        <f t="shared" si="131"/>
        <v>00</v>
      </c>
      <c r="G1007" s="21" t="s">
        <v>994</v>
      </c>
      <c r="H1007" s="21" t="s">
        <v>2923</v>
      </c>
      <c r="I1007" s="22" t="s">
        <v>3477</v>
      </c>
      <c r="J1007" s="21"/>
      <c r="K1007" s="21"/>
      <c r="L1007" s="21"/>
      <c r="M1007" s="21"/>
    </row>
    <row r="1008" spans="1:13" ht="25.5" x14ac:dyDescent="0.25">
      <c r="A1008" s="13" t="str">
        <f t="shared" si="126"/>
        <v>1</v>
      </c>
      <c r="B1008" s="13" t="str">
        <f t="shared" si="127"/>
        <v>9</v>
      </c>
      <c r="C1008" s="13" t="str">
        <f t="shared" si="128"/>
        <v>1</v>
      </c>
      <c r="D1008" s="13" t="str">
        <f t="shared" si="129"/>
        <v>9</v>
      </c>
      <c r="E1008" s="13" t="str">
        <f t="shared" si="130"/>
        <v>26</v>
      </c>
      <c r="F1008" s="13" t="str">
        <f t="shared" si="131"/>
        <v>01</v>
      </c>
      <c r="G1008" s="13" t="s">
        <v>995</v>
      </c>
      <c r="H1008" s="13" t="s">
        <v>2924</v>
      </c>
      <c r="I1008" s="16" t="s">
        <v>3478</v>
      </c>
      <c r="J1008" s="13"/>
      <c r="K1008" s="13"/>
      <c r="L1008" s="13"/>
      <c r="M1008" s="16"/>
    </row>
    <row r="1009" spans="1:13" ht="25.5" x14ac:dyDescent="0.25">
      <c r="A1009" s="13" t="str">
        <f t="shared" si="126"/>
        <v>1</v>
      </c>
      <c r="B1009" s="13" t="str">
        <f t="shared" si="127"/>
        <v>9</v>
      </c>
      <c r="C1009" s="13" t="str">
        <f t="shared" si="128"/>
        <v>1</v>
      </c>
      <c r="D1009" s="13" t="str">
        <f t="shared" si="129"/>
        <v>9</v>
      </c>
      <c r="E1009" s="13" t="str">
        <f t="shared" si="130"/>
        <v>26</v>
      </c>
      <c r="F1009" s="13" t="str">
        <f t="shared" si="131"/>
        <v>02</v>
      </c>
      <c r="G1009" s="13" t="s">
        <v>996</v>
      </c>
      <c r="H1009" s="13" t="s">
        <v>2925</v>
      </c>
      <c r="I1009" s="16" t="s">
        <v>3479</v>
      </c>
      <c r="J1009" s="13"/>
      <c r="K1009" s="13"/>
      <c r="L1009" s="13"/>
      <c r="M1009" s="16"/>
    </row>
    <row r="1010" spans="1:13" ht="25.5" x14ac:dyDescent="0.25">
      <c r="A1010" s="21" t="str">
        <f t="shared" si="126"/>
        <v>1</v>
      </c>
      <c r="B1010" s="21" t="str">
        <f t="shared" si="127"/>
        <v>9</v>
      </c>
      <c r="C1010" s="21" t="str">
        <f t="shared" si="128"/>
        <v>1</v>
      </c>
      <c r="D1010" s="21" t="str">
        <f t="shared" si="129"/>
        <v>9</v>
      </c>
      <c r="E1010" s="21" t="str">
        <f t="shared" si="130"/>
        <v>27</v>
      </c>
      <c r="F1010" s="21" t="str">
        <f t="shared" si="131"/>
        <v>00</v>
      </c>
      <c r="G1010" s="21" t="s">
        <v>997</v>
      </c>
      <c r="H1010" s="21" t="s">
        <v>2926</v>
      </c>
      <c r="I1010" s="22" t="s">
        <v>4186</v>
      </c>
      <c r="J1010" s="21"/>
      <c r="K1010" s="21" t="s">
        <v>4018</v>
      </c>
      <c r="L1010" s="21" t="s">
        <v>4229</v>
      </c>
      <c r="M1010" s="21"/>
    </row>
    <row r="1011" spans="1:13" ht="38.25" x14ac:dyDescent="0.25">
      <c r="A1011" s="21" t="str">
        <f t="shared" si="126"/>
        <v>1</v>
      </c>
      <c r="B1011" s="21" t="str">
        <f t="shared" si="127"/>
        <v>9</v>
      </c>
      <c r="C1011" s="21" t="str">
        <f t="shared" si="128"/>
        <v>1</v>
      </c>
      <c r="D1011" s="21" t="str">
        <f t="shared" si="129"/>
        <v>9</v>
      </c>
      <c r="E1011" s="21" t="str">
        <f t="shared" si="130"/>
        <v>28</v>
      </c>
      <c r="F1011" s="21" t="str">
        <f t="shared" si="131"/>
        <v>00</v>
      </c>
      <c r="G1011" s="21" t="s">
        <v>998</v>
      </c>
      <c r="H1011" s="21" t="s">
        <v>2927</v>
      </c>
      <c r="I1011" s="22" t="s">
        <v>3480</v>
      </c>
      <c r="J1011" s="21"/>
      <c r="K1011" s="21"/>
      <c r="L1011" s="21"/>
      <c r="M1011" s="21"/>
    </row>
    <row r="1012" spans="1:13" ht="25.5" x14ac:dyDescent="0.25">
      <c r="A1012" s="21" t="str">
        <f t="shared" si="126"/>
        <v>1</v>
      </c>
      <c r="B1012" s="21" t="str">
        <f t="shared" si="127"/>
        <v>9</v>
      </c>
      <c r="C1012" s="21" t="str">
        <f t="shared" si="128"/>
        <v>1</v>
      </c>
      <c r="D1012" s="21" t="str">
        <f t="shared" si="129"/>
        <v>9</v>
      </c>
      <c r="E1012" s="21" t="str">
        <f t="shared" si="130"/>
        <v>29</v>
      </c>
      <c r="F1012" s="21" t="str">
        <f t="shared" si="131"/>
        <v>00</v>
      </c>
      <c r="G1012" s="21" t="s">
        <v>999</v>
      </c>
      <c r="H1012" s="21" t="s">
        <v>2928</v>
      </c>
      <c r="I1012" s="22" t="s">
        <v>3481</v>
      </c>
      <c r="J1012" s="21"/>
      <c r="K1012" s="21"/>
      <c r="L1012" s="21"/>
      <c r="M1012" s="21"/>
    </row>
    <row r="1013" spans="1:13" ht="25.5" x14ac:dyDescent="0.25">
      <c r="A1013" s="21" t="str">
        <f t="shared" si="126"/>
        <v>1</v>
      </c>
      <c r="B1013" s="21" t="str">
        <f t="shared" si="127"/>
        <v>9</v>
      </c>
      <c r="C1013" s="21" t="str">
        <f t="shared" si="128"/>
        <v>1</v>
      </c>
      <c r="D1013" s="21" t="str">
        <f t="shared" si="129"/>
        <v>9</v>
      </c>
      <c r="E1013" s="21" t="str">
        <f t="shared" si="130"/>
        <v>30</v>
      </c>
      <c r="F1013" s="21" t="str">
        <f t="shared" si="131"/>
        <v>00</v>
      </c>
      <c r="G1013" s="21" t="s">
        <v>1000</v>
      </c>
      <c r="H1013" s="21" t="s">
        <v>2929</v>
      </c>
      <c r="I1013" s="22" t="s">
        <v>3482</v>
      </c>
      <c r="J1013" s="21"/>
      <c r="K1013" s="21"/>
      <c r="L1013" s="21"/>
      <c r="M1013" s="21"/>
    </row>
    <row r="1014" spans="1:13" x14ac:dyDescent="0.25">
      <c r="A1014" s="21" t="str">
        <f t="shared" si="126"/>
        <v>1</v>
      </c>
      <c r="B1014" s="21" t="str">
        <f t="shared" si="127"/>
        <v>9</v>
      </c>
      <c r="C1014" s="21" t="str">
        <f t="shared" si="128"/>
        <v>1</v>
      </c>
      <c r="D1014" s="21" t="str">
        <f t="shared" si="129"/>
        <v>9</v>
      </c>
      <c r="E1014" s="21" t="str">
        <f t="shared" si="130"/>
        <v>31</v>
      </c>
      <c r="F1014" s="21" t="str">
        <f t="shared" si="131"/>
        <v>00</v>
      </c>
      <c r="G1014" s="21" t="s">
        <v>1001</v>
      </c>
      <c r="H1014" s="21" t="s">
        <v>2930</v>
      </c>
      <c r="I1014" s="22" t="s">
        <v>3483</v>
      </c>
      <c r="J1014" s="21"/>
      <c r="K1014" s="21"/>
      <c r="L1014" s="21"/>
      <c r="M1014" s="21"/>
    </row>
    <row r="1015" spans="1:13" ht="25.5" x14ac:dyDescent="0.25">
      <c r="A1015" s="21" t="str">
        <f t="shared" si="126"/>
        <v>1</v>
      </c>
      <c r="B1015" s="21" t="str">
        <f t="shared" si="127"/>
        <v>9</v>
      </c>
      <c r="C1015" s="21" t="str">
        <f t="shared" si="128"/>
        <v>1</v>
      </c>
      <c r="D1015" s="21" t="str">
        <f t="shared" si="129"/>
        <v>9</v>
      </c>
      <c r="E1015" s="21" t="str">
        <f t="shared" si="130"/>
        <v>32</v>
      </c>
      <c r="F1015" s="21" t="str">
        <f t="shared" si="131"/>
        <v>00</v>
      </c>
      <c r="G1015" s="21" t="s">
        <v>1002</v>
      </c>
      <c r="H1015" s="21" t="s">
        <v>2931</v>
      </c>
      <c r="I1015" s="22" t="s">
        <v>3484</v>
      </c>
      <c r="J1015" s="21"/>
      <c r="K1015" s="21"/>
      <c r="L1015" s="21"/>
      <c r="M1015" s="21"/>
    </row>
    <row r="1016" spans="1:13" ht="25.5" x14ac:dyDescent="0.25">
      <c r="A1016" s="13" t="str">
        <f t="shared" si="126"/>
        <v>1</v>
      </c>
      <c r="B1016" s="13" t="str">
        <f t="shared" si="127"/>
        <v>9</v>
      </c>
      <c r="C1016" s="13" t="str">
        <f t="shared" si="128"/>
        <v>1</v>
      </c>
      <c r="D1016" s="13" t="str">
        <f t="shared" si="129"/>
        <v>9</v>
      </c>
      <c r="E1016" s="13" t="str">
        <f t="shared" si="130"/>
        <v>32</v>
      </c>
      <c r="F1016" s="13" t="str">
        <f t="shared" si="131"/>
        <v>10</v>
      </c>
      <c r="G1016" s="13" t="s">
        <v>1003</v>
      </c>
      <c r="H1016" s="13" t="s">
        <v>2932</v>
      </c>
      <c r="I1016" s="16" t="s">
        <v>3485</v>
      </c>
      <c r="J1016" s="13"/>
      <c r="K1016" s="13"/>
      <c r="L1016" s="13"/>
      <c r="M1016" s="16"/>
    </row>
    <row r="1017" spans="1:13" x14ac:dyDescent="0.25">
      <c r="A1017" s="13" t="str">
        <f t="shared" si="126"/>
        <v>1</v>
      </c>
      <c r="B1017" s="13" t="str">
        <f t="shared" si="127"/>
        <v>9</v>
      </c>
      <c r="C1017" s="13" t="str">
        <f t="shared" si="128"/>
        <v>1</v>
      </c>
      <c r="D1017" s="13" t="str">
        <f t="shared" si="129"/>
        <v>9</v>
      </c>
      <c r="E1017" s="13" t="str">
        <f t="shared" si="130"/>
        <v>32</v>
      </c>
      <c r="F1017" s="13" t="str">
        <f t="shared" si="131"/>
        <v>20</v>
      </c>
      <c r="G1017" s="13" t="s">
        <v>1004</v>
      </c>
      <c r="H1017" s="13" t="s">
        <v>2933</v>
      </c>
      <c r="I1017" s="16" t="s">
        <v>3486</v>
      </c>
      <c r="J1017" s="13"/>
      <c r="K1017" s="13"/>
      <c r="L1017" s="13"/>
      <c r="M1017" s="16"/>
    </row>
    <row r="1018" spans="1:13" x14ac:dyDescent="0.25">
      <c r="A1018" s="21" t="str">
        <f t="shared" si="126"/>
        <v>1</v>
      </c>
      <c r="B1018" s="21" t="str">
        <f t="shared" si="127"/>
        <v>9</v>
      </c>
      <c r="C1018" s="21" t="str">
        <f t="shared" si="128"/>
        <v>1</v>
      </c>
      <c r="D1018" s="21" t="str">
        <f t="shared" si="129"/>
        <v>9</v>
      </c>
      <c r="E1018" s="21" t="str">
        <f t="shared" si="130"/>
        <v>33</v>
      </c>
      <c r="F1018" s="21" t="str">
        <f t="shared" si="131"/>
        <v>00</v>
      </c>
      <c r="G1018" s="21" t="s">
        <v>1005</v>
      </c>
      <c r="H1018" s="21" t="s">
        <v>2934</v>
      </c>
      <c r="I1018" s="22" t="s">
        <v>3487</v>
      </c>
      <c r="J1018" s="21"/>
      <c r="K1018" s="21"/>
      <c r="L1018" s="21"/>
      <c r="M1018" s="21"/>
    </row>
    <row r="1019" spans="1:13" ht="25.5" x14ac:dyDescent="0.25">
      <c r="A1019" s="21" t="str">
        <f t="shared" si="126"/>
        <v>1</v>
      </c>
      <c r="B1019" s="21" t="str">
        <f t="shared" si="127"/>
        <v>9</v>
      </c>
      <c r="C1019" s="21" t="str">
        <f t="shared" si="128"/>
        <v>1</v>
      </c>
      <c r="D1019" s="21" t="str">
        <f t="shared" si="129"/>
        <v>9</v>
      </c>
      <c r="E1019" s="21" t="str">
        <f t="shared" si="130"/>
        <v>34</v>
      </c>
      <c r="F1019" s="21" t="str">
        <f t="shared" si="131"/>
        <v>00</v>
      </c>
      <c r="G1019" s="21" t="s">
        <v>1006</v>
      </c>
      <c r="H1019" s="21" t="s">
        <v>2935</v>
      </c>
      <c r="I1019" s="22" t="s">
        <v>3488</v>
      </c>
      <c r="J1019" s="21"/>
      <c r="K1019" s="21"/>
      <c r="L1019" s="21"/>
      <c r="M1019" s="21"/>
    </row>
    <row r="1020" spans="1:13" ht="25.5" x14ac:dyDescent="0.25">
      <c r="A1020" s="21" t="str">
        <f t="shared" si="126"/>
        <v>1</v>
      </c>
      <c r="B1020" s="21" t="str">
        <f t="shared" si="127"/>
        <v>9</v>
      </c>
      <c r="C1020" s="21" t="str">
        <f t="shared" si="128"/>
        <v>1</v>
      </c>
      <c r="D1020" s="21" t="str">
        <f t="shared" si="129"/>
        <v>9</v>
      </c>
      <c r="E1020" s="21" t="str">
        <f t="shared" si="130"/>
        <v>35</v>
      </c>
      <c r="F1020" s="21" t="str">
        <f t="shared" si="131"/>
        <v>00</v>
      </c>
      <c r="G1020" s="21" t="s">
        <v>1007</v>
      </c>
      <c r="H1020" s="21" t="s">
        <v>2936</v>
      </c>
      <c r="I1020" s="22" t="s">
        <v>3489</v>
      </c>
      <c r="J1020" s="21"/>
      <c r="K1020" s="21"/>
      <c r="L1020" s="21"/>
      <c r="M1020" s="21"/>
    </row>
    <row r="1021" spans="1:13" ht="25.5" x14ac:dyDescent="0.25">
      <c r="A1021" s="13" t="str">
        <f t="shared" si="126"/>
        <v>1</v>
      </c>
      <c r="B1021" s="13" t="str">
        <f t="shared" si="127"/>
        <v>9</v>
      </c>
      <c r="C1021" s="13" t="str">
        <f t="shared" si="128"/>
        <v>1</v>
      </c>
      <c r="D1021" s="13" t="str">
        <f t="shared" si="129"/>
        <v>9</v>
      </c>
      <c r="E1021" s="13" t="str">
        <f t="shared" si="130"/>
        <v>35</v>
      </c>
      <c r="F1021" s="13" t="str">
        <f t="shared" si="131"/>
        <v>10</v>
      </c>
      <c r="G1021" s="13" t="s">
        <v>1008</v>
      </c>
      <c r="H1021" s="13" t="s">
        <v>2937</v>
      </c>
      <c r="I1021" s="16" t="s">
        <v>3490</v>
      </c>
      <c r="J1021" s="13"/>
      <c r="K1021" s="13"/>
      <c r="L1021" s="13"/>
      <c r="M1021" s="16"/>
    </row>
    <row r="1022" spans="1:13" x14ac:dyDescent="0.25">
      <c r="A1022" s="13" t="str">
        <f t="shared" si="126"/>
        <v>1</v>
      </c>
      <c r="B1022" s="13" t="str">
        <f t="shared" si="127"/>
        <v>9</v>
      </c>
      <c r="C1022" s="13" t="str">
        <f t="shared" si="128"/>
        <v>1</v>
      </c>
      <c r="D1022" s="13" t="str">
        <f t="shared" si="129"/>
        <v>9</v>
      </c>
      <c r="E1022" s="13" t="str">
        <f t="shared" si="130"/>
        <v>35</v>
      </c>
      <c r="F1022" s="13" t="str">
        <f t="shared" si="131"/>
        <v>20</v>
      </c>
      <c r="G1022" s="13" t="s">
        <v>1009</v>
      </c>
      <c r="H1022" s="13" t="s">
        <v>2938</v>
      </c>
      <c r="I1022" s="16" t="s">
        <v>3491</v>
      </c>
      <c r="J1022" s="13"/>
      <c r="K1022" s="13"/>
      <c r="L1022" s="13"/>
      <c r="M1022" s="16"/>
    </row>
    <row r="1023" spans="1:13" ht="25.5" x14ac:dyDescent="0.25">
      <c r="A1023" s="21" t="str">
        <f t="shared" si="126"/>
        <v>1</v>
      </c>
      <c r="B1023" s="21" t="str">
        <f t="shared" si="127"/>
        <v>9</v>
      </c>
      <c r="C1023" s="21" t="str">
        <f t="shared" si="128"/>
        <v>1</v>
      </c>
      <c r="D1023" s="21" t="str">
        <f t="shared" si="129"/>
        <v>9</v>
      </c>
      <c r="E1023" s="21" t="str">
        <f t="shared" si="130"/>
        <v>36</v>
      </c>
      <c r="F1023" s="21" t="str">
        <f t="shared" si="131"/>
        <v>00</v>
      </c>
      <c r="G1023" s="21" t="s">
        <v>1010</v>
      </c>
      <c r="H1023" s="21" t="s">
        <v>2939</v>
      </c>
      <c r="I1023" s="22" t="s">
        <v>3492</v>
      </c>
      <c r="J1023" s="21"/>
      <c r="K1023" s="21"/>
      <c r="L1023" s="21"/>
      <c r="M1023" s="21"/>
    </row>
    <row r="1024" spans="1:13" ht="25.5" x14ac:dyDescent="0.25">
      <c r="A1024" s="21" t="str">
        <f t="shared" si="126"/>
        <v>1</v>
      </c>
      <c r="B1024" s="21" t="str">
        <f t="shared" si="127"/>
        <v>9</v>
      </c>
      <c r="C1024" s="21" t="str">
        <f t="shared" si="128"/>
        <v>1</v>
      </c>
      <c r="D1024" s="21" t="str">
        <f t="shared" si="129"/>
        <v>9</v>
      </c>
      <c r="E1024" s="21" t="str">
        <f t="shared" si="130"/>
        <v>37</v>
      </c>
      <c r="F1024" s="21" t="str">
        <f t="shared" si="131"/>
        <v>00</v>
      </c>
      <c r="G1024" s="21" t="s">
        <v>1011</v>
      </c>
      <c r="H1024" s="21" t="s">
        <v>2940</v>
      </c>
      <c r="I1024" s="22" t="s">
        <v>3493</v>
      </c>
      <c r="J1024" s="21"/>
      <c r="K1024" s="21"/>
      <c r="L1024" s="21"/>
      <c r="M1024" s="21"/>
    </row>
    <row r="1025" spans="1:13" ht="25.5" x14ac:dyDescent="0.25">
      <c r="A1025" s="21" t="str">
        <f t="shared" si="126"/>
        <v>1</v>
      </c>
      <c r="B1025" s="21" t="str">
        <f t="shared" si="127"/>
        <v>9</v>
      </c>
      <c r="C1025" s="21" t="str">
        <f t="shared" si="128"/>
        <v>1</v>
      </c>
      <c r="D1025" s="21" t="str">
        <f t="shared" si="129"/>
        <v>9</v>
      </c>
      <c r="E1025" s="21" t="str">
        <f t="shared" si="130"/>
        <v>38</v>
      </c>
      <c r="F1025" s="21" t="str">
        <f t="shared" si="131"/>
        <v>00</v>
      </c>
      <c r="G1025" s="21" t="s">
        <v>1012</v>
      </c>
      <c r="H1025" s="21" t="s">
        <v>2941</v>
      </c>
      <c r="I1025" s="22" t="s">
        <v>3494</v>
      </c>
      <c r="J1025" s="21"/>
      <c r="K1025" s="21"/>
      <c r="L1025" s="21"/>
      <c r="M1025" s="21"/>
    </row>
    <row r="1026" spans="1:13" ht="25.5" x14ac:dyDescent="0.25">
      <c r="A1026" s="21" t="str">
        <f t="shared" si="126"/>
        <v>1</v>
      </c>
      <c r="B1026" s="21" t="str">
        <f t="shared" si="127"/>
        <v>9</v>
      </c>
      <c r="C1026" s="21" t="str">
        <f t="shared" si="128"/>
        <v>1</v>
      </c>
      <c r="D1026" s="21" t="str">
        <f t="shared" si="129"/>
        <v>9</v>
      </c>
      <c r="E1026" s="21" t="str">
        <f t="shared" si="130"/>
        <v>41</v>
      </c>
      <c r="F1026" s="21" t="str">
        <f t="shared" si="131"/>
        <v>00</v>
      </c>
      <c r="G1026" s="21" t="s">
        <v>1013</v>
      </c>
      <c r="H1026" s="21" t="s">
        <v>2942</v>
      </c>
      <c r="I1026" s="22" t="s">
        <v>3495</v>
      </c>
      <c r="J1026" s="21"/>
      <c r="K1026" s="21"/>
      <c r="L1026" s="21"/>
      <c r="M1026" s="21"/>
    </row>
    <row r="1027" spans="1:13" ht="25.5" x14ac:dyDescent="0.25">
      <c r="A1027" s="21" t="str">
        <f t="shared" si="126"/>
        <v>1</v>
      </c>
      <c r="B1027" s="21" t="str">
        <f t="shared" si="127"/>
        <v>9</v>
      </c>
      <c r="C1027" s="21" t="str">
        <f t="shared" si="128"/>
        <v>1</v>
      </c>
      <c r="D1027" s="21" t="str">
        <f t="shared" si="129"/>
        <v>9</v>
      </c>
      <c r="E1027" s="21" t="str">
        <f t="shared" si="130"/>
        <v>48</v>
      </c>
      <c r="F1027" s="21" t="str">
        <f t="shared" si="131"/>
        <v>00</v>
      </c>
      <c r="G1027" s="21" t="s">
        <v>1014</v>
      </c>
      <c r="H1027" s="21" t="s">
        <v>2943</v>
      </c>
      <c r="I1027" s="22" t="s">
        <v>3496</v>
      </c>
      <c r="J1027" s="21"/>
      <c r="K1027" s="21"/>
      <c r="L1027" s="21"/>
      <c r="M1027" s="21"/>
    </row>
    <row r="1028" spans="1:13" ht="38.25" x14ac:dyDescent="0.25">
      <c r="A1028" s="21" t="str">
        <f t="shared" si="126"/>
        <v>1</v>
      </c>
      <c r="B1028" s="21" t="str">
        <f t="shared" si="127"/>
        <v>9</v>
      </c>
      <c r="C1028" s="21" t="str">
        <f t="shared" si="128"/>
        <v>1</v>
      </c>
      <c r="D1028" s="21" t="str">
        <f t="shared" si="129"/>
        <v>9</v>
      </c>
      <c r="E1028" s="21" t="str">
        <f t="shared" si="130"/>
        <v>49</v>
      </c>
      <c r="F1028" s="21" t="str">
        <f t="shared" si="131"/>
        <v>00</v>
      </c>
      <c r="G1028" s="21" t="s">
        <v>1015</v>
      </c>
      <c r="H1028" s="21" t="s">
        <v>2944</v>
      </c>
      <c r="I1028" s="22" t="s">
        <v>3497</v>
      </c>
      <c r="J1028" s="21"/>
      <c r="K1028" s="21"/>
      <c r="L1028" s="21"/>
      <c r="M1028" s="21"/>
    </row>
    <row r="1029" spans="1:13" ht="25.5" x14ac:dyDescent="0.25">
      <c r="A1029" s="21" t="str">
        <f t="shared" si="126"/>
        <v>1</v>
      </c>
      <c r="B1029" s="21" t="str">
        <f t="shared" si="127"/>
        <v>9</v>
      </c>
      <c r="C1029" s="21" t="str">
        <f t="shared" si="128"/>
        <v>1</v>
      </c>
      <c r="D1029" s="21" t="str">
        <f t="shared" si="129"/>
        <v>9</v>
      </c>
      <c r="E1029" s="21" t="str">
        <f t="shared" si="130"/>
        <v>50</v>
      </c>
      <c r="F1029" s="21" t="str">
        <f t="shared" si="131"/>
        <v>00</v>
      </c>
      <c r="G1029" s="21" t="s">
        <v>1016</v>
      </c>
      <c r="H1029" s="21" t="s">
        <v>2945</v>
      </c>
      <c r="I1029" s="22" t="s">
        <v>4067</v>
      </c>
      <c r="J1029" s="21"/>
      <c r="K1029" s="21" t="s">
        <v>4018</v>
      </c>
      <c r="L1029" s="21" t="s">
        <v>4229</v>
      </c>
      <c r="M1029" s="21"/>
    </row>
    <row r="1030" spans="1:13" ht="25.5" x14ac:dyDescent="0.25">
      <c r="A1030" s="21" t="str">
        <f t="shared" si="126"/>
        <v>1</v>
      </c>
      <c r="B1030" s="21" t="str">
        <f t="shared" si="127"/>
        <v>9</v>
      </c>
      <c r="C1030" s="21" t="str">
        <f t="shared" si="128"/>
        <v>1</v>
      </c>
      <c r="D1030" s="21" t="str">
        <f t="shared" si="129"/>
        <v>9</v>
      </c>
      <c r="E1030" s="21" t="str">
        <f t="shared" si="130"/>
        <v>51</v>
      </c>
      <c r="F1030" s="21" t="str">
        <f t="shared" si="131"/>
        <v>00</v>
      </c>
      <c r="G1030" s="21" t="s">
        <v>1017</v>
      </c>
      <c r="H1030" s="21" t="s">
        <v>2946</v>
      </c>
      <c r="I1030" s="22" t="s">
        <v>4027</v>
      </c>
      <c r="J1030" s="21"/>
      <c r="K1030" s="21" t="s">
        <v>4018</v>
      </c>
      <c r="L1030" s="21" t="s">
        <v>4229</v>
      </c>
      <c r="M1030" s="21"/>
    </row>
    <row r="1031" spans="1:13" ht="38.25" x14ac:dyDescent="0.25">
      <c r="A1031" s="13" t="str">
        <f t="shared" si="126"/>
        <v>1</v>
      </c>
      <c r="B1031" s="13" t="str">
        <f t="shared" si="127"/>
        <v>9</v>
      </c>
      <c r="C1031" s="13" t="str">
        <f t="shared" si="128"/>
        <v>1</v>
      </c>
      <c r="D1031" s="13" t="str">
        <f t="shared" si="129"/>
        <v>9</v>
      </c>
      <c r="E1031" s="13" t="str">
        <f t="shared" si="130"/>
        <v>51</v>
      </c>
      <c r="F1031" s="13" t="str">
        <f t="shared" si="131"/>
        <v>10</v>
      </c>
      <c r="G1031" s="13" t="s">
        <v>1018</v>
      </c>
      <c r="H1031" s="13" t="s">
        <v>2947</v>
      </c>
      <c r="I1031" s="16" t="s">
        <v>3987</v>
      </c>
      <c r="J1031" s="13"/>
      <c r="K1031" s="13" t="s">
        <v>46</v>
      </c>
      <c r="L1031" s="13" t="s">
        <v>4238</v>
      </c>
      <c r="M1031" s="16"/>
    </row>
    <row r="1032" spans="1:13" ht="38.25" x14ac:dyDescent="0.25">
      <c r="A1032" s="13" t="str">
        <f t="shared" ref="A1032:A1096" si="132">MID(G1032,1,1)</f>
        <v>1</v>
      </c>
      <c r="B1032" s="13" t="str">
        <f t="shared" ref="B1032:B1096" si="133">MID(G1032,2,1)</f>
        <v>9</v>
      </c>
      <c r="C1032" s="13" t="str">
        <f t="shared" ref="C1032:C1096" si="134">MID(G1032,3,1)</f>
        <v>1</v>
      </c>
      <c r="D1032" s="13" t="str">
        <f t="shared" ref="D1032:D1096" si="135">MID(G1032,4,1)</f>
        <v>9</v>
      </c>
      <c r="E1032" s="13" t="str">
        <f t="shared" ref="E1032:E1096" si="136">MID(G1032,6,2)</f>
        <v>51</v>
      </c>
      <c r="F1032" s="13" t="str">
        <f t="shared" ref="F1032:F1096" si="137">MID(G1032,9,2)</f>
        <v>20</v>
      </c>
      <c r="G1032" s="13" t="s">
        <v>1019</v>
      </c>
      <c r="H1032" s="13" t="s">
        <v>2948</v>
      </c>
      <c r="I1032" s="16" t="s">
        <v>3991</v>
      </c>
      <c r="J1032" s="13"/>
      <c r="K1032" s="13" t="s">
        <v>46</v>
      </c>
      <c r="L1032" s="13" t="s">
        <v>4238</v>
      </c>
      <c r="M1032" s="16"/>
    </row>
    <row r="1033" spans="1:13" ht="38.25" x14ac:dyDescent="0.25">
      <c r="A1033" s="13" t="str">
        <f t="shared" si="132"/>
        <v>1</v>
      </c>
      <c r="B1033" s="13" t="str">
        <f t="shared" si="133"/>
        <v>9</v>
      </c>
      <c r="C1033" s="13" t="str">
        <f t="shared" si="134"/>
        <v>1</v>
      </c>
      <c r="D1033" s="13" t="str">
        <f t="shared" si="135"/>
        <v>9</v>
      </c>
      <c r="E1033" s="13" t="str">
        <f t="shared" si="136"/>
        <v>51</v>
      </c>
      <c r="F1033" s="13" t="str">
        <f t="shared" si="137"/>
        <v>30</v>
      </c>
      <c r="G1033" s="13" t="s">
        <v>1020</v>
      </c>
      <c r="H1033" s="13" t="s">
        <v>2949</v>
      </c>
      <c r="I1033" s="16" t="s">
        <v>3990</v>
      </c>
      <c r="J1033" s="13"/>
      <c r="K1033" s="13" t="s">
        <v>46</v>
      </c>
      <c r="L1033" s="13" t="s">
        <v>4238</v>
      </c>
      <c r="M1033" s="16"/>
    </row>
    <row r="1034" spans="1:13" ht="51" x14ac:dyDescent="0.25">
      <c r="A1034" s="13" t="str">
        <f t="shared" si="132"/>
        <v>1</v>
      </c>
      <c r="B1034" s="13" t="str">
        <f t="shared" si="133"/>
        <v>9</v>
      </c>
      <c r="C1034" s="13" t="str">
        <f t="shared" si="134"/>
        <v>1</v>
      </c>
      <c r="D1034" s="13" t="str">
        <f t="shared" si="135"/>
        <v>9</v>
      </c>
      <c r="E1034" s="13" t="str">
        <f t="shared" si="136"/>
        <v>51</v>
      </c>
      <c r="F1034" s="13" t="str">
        <f t="shared" si="137"/>
        <v>40</v>
      </c>
      <c r="G1034" s="13" t="s">
        <v>1021</v>
      </c>
      <c r="H1034" s="13" t="s">
        <v>2950</v>
      </c>
      <c r="I1034" s="16" t="s">
        <v>3989</v>
      </c>
      <c r="J1034" s="13"/>
      <c r="K1034" s="13" t="s">
        <v>46</v>
      </c>
      <c r="L1034" s="13" t="s">
        <v>4238</v>
      </c>
      <c r="M1034" s="16"/>
    </row>
    <row r="1035" spans="1:13" ht="25.5" x14ac:dyDescent="0.25">
      <c r="A1035" s="13" t="str">
        <f t="shared" si="132"/>
        <v>1</v>
      </c>
      <c r="B1035" s="13" t="str">
        <f t="shared" si="133"/>
        <v>9</v>
      </c>
      <c r="C1035" s="13" t="str">
        <f t="shared" si="134"/>
        <v>1</v>
      </c>
      <c r="D1035" s="13" t="str">
        <f t="shared" si="135"/>
        <v>9</v>
      </c>
      <c r="E1035" s="13" t="str">
        <f t="shared" si="136"/>
        <v>51</v>
      </c>
      <c r="F1035" s="13" t="str">
        <f t="shared" si="137"/>
        <v>50</v>
      </c>
      <c r="G1035" s="13" t="s">
        <v>1022</v>
      </c>
      <c r="H1035" s="13" t="s">
        <v>2951</v>
      </c>
      <c r="I1035" s="16" t="s">
        <v>3988</v>
      </c>
      <c r="J1035" s="13"/>
      <c r="K1035" s="13" t="s">
        <v>46</v>
      </c>
      <c r="L1035" s="13" t="s">
        <v>4238</v>
      </c>
      <c r="M1035" s="16"/>
    </row>
    <row r="1036" spans="1:13" x14ac:dyDescent="0.25">
      <c r="A1036" s="21" t="str">
        <f t="shared" si="132"/>
        <v>1</v>
      </c>
      <c r="B1036" s="21" t="str">
        <f t="shared" si="133"/>
        <v>9</v>
      </c>
      <c r="C1036" s="21" t="str">
        <f t="shared" si="134"/>
        <v>1</v>
      </c>
      <c r="D1036" s="21" t="str">
        <f t="shared" si="135"/>
        <v>9</v>
      </c>
      <c r="E1036" s="21" t="str">
        <f t="shared" si="136"/>
        <v>52</v>
      </c>
      <c r="F1036" s="21" t="str">
        <f t="shared" si="137"/>
        <v>00</v>
      </c>
      <c r="G1036" s="21" t="s">
        <v>1023</v>
      </c>
      <c r="H1036" s="21" t="s">
        <v>2952</v>
      </c>
      <c r="I1036" s="22" t="s">
        <v>3498</v>
      </c>
      <c r="J1036" s="21"/>
      <c r="K1036" s="21"/>
      <c r="L1036" s="21"/>
      <c r="M1036" s="21"/>
    </row>
    <row r="1037" spans="1:13" ht="25.5" x14ac:dyDescent="0.25">
      <c r="A1037" s="21" t="str">
        <f t="shared" si="132"/>
        <v>1</v>
      </c>
      <c r="B1037" s="21" t="str">
        <f t="shared" si="133"/>
        <v>9</v>
      </c>
      <c r="C1037" s="21" t="str">
        <f t="shared" si="134"/>
        <v>1</v>
      </c>
      <c r="D1037" s="21" t="str">
        <f t="shared" si="135"/>
        <v>9</v>
      </c>
      <c r="E1037" s="21" t="str">
        <f t="shared" si="136"/>
        <v>53</v>
      </c>
      <c r="F1037" s="21" t="str">
        <f t="shared" si="137"/>
        <v>00</v>
      </c>
      <c r="G1037" s="21" t="s">
        <v>1024</v>
      </c>
      <c r="H1037" s="21" t="s">
        <v>2953</v>
      </c>
      <c r="I1037" s="22" t="s">
        <v>3499</v>
      </c>
      <c r="J1037" s="21"/>
      <c r="K1037" s="21"/>
      <c r="L1037" s="21"/>
      <c r="M1037" s="21"/>
    </row>
    <row r="1038" spans="1:13" ht="25.5" x14ac:dyDescent="0.25">
      <c r="A1038" s="21" t="str">
        <f t="shared" si="132"/>
        <v>1</v>
      </c>
      <c r="B1038" s="21" t="str">
        <f t="shared" si="133"/>
        <v>9</v>
      </c>
      <c r="C1038" s="21" t="str">
        <f t="shared" si="134"/>
        <v>1</v>
      </c>
      <c r="D1038" s="21" t="str">
        <f t="shared" si="135"/>
        <v>9</v>
      </c>
      <c r="E1038" s="21" t="str">
        <f t="shared" si="136"/>
        <v>60</v>
      </c>
      <c r="F1038" s="21" t="str">
        <f t="shared" si="137"/>
        <v>00</v>
      </c>
      <c r="G1038" s="21" t="s">
        <v>1025</v>
      </c>
      <c r="H1038" s="21" t="s">
        <v>2954</v>
      </c>
      <c r="I1038" s="22" t="s">
        <v>3500</v>
      </c>
      <c r="J1038" s="21"/>
      <c r="K1038" s="21"/>
      <c r="L1038" s="21"/>
      <c r="M1038" s="21"/>
    </row>
    <row r="1039" spans="1:13" ht="25.5" x14ac:dyDescent="0.25">
      <c r="A1039" s="21" t="str">
        <f t="shared" si="132"/>
        <v>1</v>
      </c>
      <c r="B1039" s="21" t="str">
        <f t="shared" si="133"/>
        <v>9</v>
      </c>
      <c r="C1039" s="21" t="str">
        <f t="shared" si="134"/>
        <v>1</v>
      </c>
      <c r="D1039" s="21" t="str">
        <f t="shared" si="135"/>
        <v>9</v>
      </c>
      <c r="E1039" s="21" t="str">
        <f t="shared" si="136"/>
        <v>70</v>
      </c>
      <c r="F1039" s="21" t="str">
        <f t="shared" si="137"/>
        <v>00</v>
      </c>
      <c r="G1039" s="21" t="s">
        <v>1026</v>
      </c>
      <c r="H1039" s="21" t="s">
        <v>2955</v>
      </c>
      <c r="I1039" s="22" t="s">
        <v>3501</v>
      </c>
      <c r="J1039" s="21"/>
      <c r="K1039" s="21"/>
      <c r="L1039" s="21"/>
      <c r="M1039" s="21"/>
    </row>
    <row r="1040" spans="1:13" ht="38.25" x14ac:dyDescent="0.25">
      <c r="A1040" s="13" t="str">
        <f t="shared" si="132"/>
        <v>1</v>
      </c>
      <c r="B1040" s="13" t="str">
        <f t="shared" si="133"/>
        <v>9</v>
      </c>
      <c r="C1040" s="13" t="str">
        <f t="shared" si="134"/>
        <v>1</v>
      </c>
      <c r="D1040" s="13" t="str">
        <f t="shared" si="135"/>
        <v>9</v>
      </c>
      <c r="E1040" s="13" t="str">
        <f t="shared" si="136"/>
        <v>70</v>
      </c>
      <c r="F1040" s="13" t="str">
        <f t="shared" si="137"/>
        <v>01</v>
      </c>
      <c r="G1040" s="13" t="s">
        <v>1027</v>
      </c>
      <c r="H1040" s="13" t="s">
        <v>2956</v>
      </c>
      <c r="I1040" s="16" t="s">
        <v>3502</v>
      </c>
      <c r="J1040" s="13"/>
      <c r="K1040" s="13"/>
      <c r="L1040" s="13"/>
      <c r="M1040" s="16"/>
    </row>
    <row r="1041" spans="1:13" ht="51" x14ac:dyDescent="0.25">
      <c r="A1041" s="13" t="str">
        <f t="shared" si="132"/>
        <v>1</v>
      </c>
      <c r="B1041" s="13" t="str">
        <f t="shared" si="133"/>
        <v>9</v>
      </c>
      <c r="C1041" s="13" t="str">
        <f t="shared" si="134"/>
        <v>1</v>
      </c>
      <c r="D1041" s="13" t="str">
        <f t="shared" si="135"/>
        <v>9</v>
      </c>
      <c r="E1041" s="13" t="str">
        <f t="shared" si="136"/>
        <v>70</v>
      </c>
      <c r="F1041" s="13" t="str">
        <f t="shared" si="137"/>
        <v>02</v>
      </c>
      <c r="G1041" s="13" t="s">
        <v>1028</v>
      </c>
      <c r="H1041" s="13" t="s">
        <v>2957</v>
      </c>
      <c r="I1041" s="16" t="s">
        <v>3503</v>
      </c>
      <c r="J1041" s="13"/>
      <c r="K1041" s="13"/>
      <c r="L1041" s="13"/>
      <c r="M1041" s="16"/>
    </row>
    <row r="1042" spans="1:13" x14ac:dyDescent="0.25">
      <c r="A1042" s="21" t="str">
        <f t="shared" si="132"/>
        <v>1</v>
      </c>
      <c r="B1042" s="21" t="str">
        <f t="shared" si="133"/>
        <v>9</v>
      </c>
      <c r="C1042" s="21" t="str">
        <f t="shared" si="134"/>
        <v>1</v>
      </c>
      <c r="D1042" s="21" t="str">
        <f t="shared" si="135"/>
        <v>9</v>
      </c>
      <c r="E1042" s="21" t="str">
        <f t="shared" si="136"/>
        <v>99</v>
      </c>
      <c r="F1042" s="21" t="str">
        <f t="shared" si="137"/>
        <v>00</v>
      </c>
      <c r="G1042" s="21" t="s">
        <v>1029</v>
      </c>
      <c r="H1042" s="21" t="s">
        <v>2958</v>
      </c>
      <c r="I1042" s="22" t="s">
        <v>4185</v>
      </c>
      <c r="J1042" s="21"/>
      <c r="K1042" s="21" t="s">
        <v>4018</v>
      </c>
      <c r="L1042" s="21" t="s">
        <v>4230</v>
      </c>
      <c r="M1042" s="21"/>
    </row>
    <row r="1043" spans="1:13" x14ac:dyDescent="0.25">
      <c r="A1043" s="12" t="str">
        <f t="shared" si="132"/>
        <v>1</v>
      </c>
      <c r="B1043" s="12" t="str">
        <f t="shared" si="133"/>
        <v>9</v>
      </c>
      <c r="C1043" s="12" t="str">
        <f t="shared" si="134"/>
        <v>2</v>
      </c>
      <c r="D1043" s="12" t="str">
        <f t="shared" si="135"/>
        <v>0</v>
      </c>
      <c r="E1043" s="12" t="str">
        <f t="shared" si="136"/>
        <v>00</v>
      </c>
      <c r="F1043" s="12" t="str">
        <f t="shared" si="137"/>
        <v>00</v>
      </c>
      <c r="G1043" s="12" t="s">
        <v>1030</v>
      </c>
      <c r="H1043" s="12" t="s">
        <v>2959</v>
      </c>
      <c r="I1043" s="15" t="s">
        <v>3504</v>
      </c>
      <c r="J1043" s="12"/>
      <c r="K1043" s="12"/>
      <c r="L1043" s="12"/>
      <c r="M1043" s="15"/>
    </row>
    <row r="1044" spans="1:13" ht="25.5" x14ac:dyDescent="0.25">
      <c r="A1044" s="19" t="str">
        <f t="shared" si="132"/>
        <v>1</v>
      </c>
      <c r="B1044" s="19" t="str">
        <f t="shared" si="133"/>
        <v>9</v>
      </c>
      <c r="C1044" s="19" t="str">
        <f t="shared" si="134"/>
        <v>2</v>
      </c>
      <c r="D1044" s="19" t="str">
        <f t="shared" si="135"/>
        <v>1</v>
      </c>
      <c r="E1044" s="19" t="str">
        <f t="shared" si="136"/>
        <v>00</v>
      </c>
      <c r="F1044" s="19" t="str">
        <f t="shared" si="137"/>
        <v>00</v>
      </c>
      <c r="G1044" s="19" t="s">
        <v>1031</v>
      </c>
      <c r="H1044" s="19" t="s">
        <v>2960</v>
      </c>
      <c r="I1044" s="20" t="s">
        <v>3505</v>
      </c>
      <c r="J1044" s="19"/>
      <c r="K1044" s="19"/>
      <c r="L1044" s="19"/>
      <c r="M1044" s="20"/>
    </row>
    <row r="1045" spans="1:13" ht="25.5" x14ac:dyDescent="0.25">
      <c r="A1045" s="21" t="str">
        <f t="shared" si="132"/>
        <v>1</v>
      </c>
      <c r="B1045" s="21" t="str">
        <f t="shared" si="133"/>
        <v>9</v>
      </c>
      <c r="C1045" s="21" t="str">
        <f t="shared" si="134"/>
        <v>2</v>
      </c>
      <c r="D1045" s="21" t="str">
        <f t="shared" si="135"/>
        <v>1</v>
      </c>
      <c r="E1045" s="21" t="str">
        <f t="shared" si="136"/>
        <v>05</v>
      </c>
      <c r="F1045" s="21" t="str">
        <f t="shared" si="137"/>
        <v>00</v>
      </c>
      <c r="G1045" s="21" t="s">
        <v>1032</v>
      </c>
      <c r="H1045" s="21" t="s">
        <v>2961</v>
      </c>
      <c r="I1045" s="22" t="s">
        <v>4028</v>
      </c>
      <c r="J1045" s="21"/>
      <c r="K1045" s="21" t="s">
        <v>4018</v>
      </c>
      <c r="L1045" s="21" t="s">
        <v>4231</v>
      </c>
      <c r="M1045" s="21"/>
    </row>
    <row r="1046" spans="1:13" ht="25.5" x14ac:dyDescent="0.25">
      <c r="A1046" s="21" t="str">
        <f t="shared" si="132"/>
        <v>1</v>
      </c>
      <c r="B1046" s="21" t="str">
        <f t="shared" si="133"/>
        <v>9</v>
      </c>
      <c r="C1046" s="21" t="str">
        <f t="shared" si="134"/>
        <v>2</v>
      </c>
      <c r="D1046" s="21" t="str">
        <f t="shared" si="135"/>
        <v>1</v>
      </c>
      <c r="E1046" s="21" t="str">
        <f t="shared" si="136"/>
        <v>06</v>
      </c>
      <c r="F1046" s="21" t="str">
        <f t="shared" si="137"/>
        <v>00</v>
      </c>
      <c r="G1046" s="21" t="s">
        <v>1033</v>
      </c>
      <c r="H1046" s="21" t="s">
        <v>2962</v>
      </c>
      <c r="I1046" s="22" t="s">
        <v>4187</v>
      </c>
      <c r="J1046" s="21"/>
      <c r="K1046" s="21" t="s">
        <v>4018</v>
      </c>
      <c r="L1046" s="21" t="s">
        <v>4229</v>
      </c>
      <c r="M1046" s="21"/>
    </row>
    <row r="1047" spans="1:13" ht="25.5" x14ac:dyDescent="0.25">
      <c r="A1047" s="21" t="str">
        <f t="shared" si="132"/>
        <v>1</v>
      </c>
      <c r="B1047" s="21" t="str">
        <f t="shared" si="133"/>
        <v>9</v>
      </c>
      <c r="C1047" s="21" t="str">
        <f t="shared" si="134"/>
        <v>2</v>
      </c>
      <c r="D1047" s="21" t="str">
        <f t="shared" si="135"/>
        <v>1</v>
      </c>
      <c r="E1047" s="21" t="str">
        <f t="shared" si="136"/>
        <v>07</v>
      </c>
      <c r="F1047" s="21" t="str">
        <f t="shared" si="137"/>
        <v>00</v>
      </c>
      <c r="G1047" s="21" t="s">
        <v>1034</v>
      </c>
      <c r="H1047" s="21" t="s">
        <v>2963</v>
      </c>
      <c r="I1047" s="22" t="s">
        <v>3506</v>
      </c>
      <c r="J1047" s="21"/>
      <c r="K1047" s="21"/>
      <c r="L1047" s="21"/>
      <c r="M1047" s="21"/>
    </row>
    <row r="1048" spans="1:13" x14ac:dyDescent="0.25">
      <c r="A1048" s="21" t="str">
        <f t="shared" si="132"/>
        <v>1</v>
      </c>
      <c r="B1048" s="21" t="str">
        <f t="shared" si="133"/>
        <v>9</v>
      </c>
      <c r="C1048" s="21" t="str">
        <f t="shared" si="134"/>
        <v>2</v>
      </c>
      <c r="D1048" s="21" t="str">
        <f t="shared" si="135"/>
        <v>1</v>
      </c>
      <c r="E1048" s="21" t="str">
        <f t="shared" si="136"/>
        <v>99</v>
      </c>
      <c r="F1048" s="21" t="str">
        <f t="shared" si="137"/>
        <v>00</v>
      </c>
      <c r="G1048" s="21" t="s">
        <v>1035</v>
      </c>
      <c r="H1048" s="21" t="s">
        <v>2964</v>
      </c>
      <c r="I1048" s="22" t="s">
        <v>3507</v>
      </c>
      <c r="J1048" s="21"/>
      <c r="K1048" s="21"/>
      <c r="L1048" s="21"/>
      <c r="M1048" s="21"/>
    </row>
    <row r="1049" spans="1:13" ht="25.5" x14ac:dyDescent="0.25">
      <c r="A1049" s="19" t="str">
        <f t="shared" si="132"/>
        <v>1</v>
      </c>
      <c r="B1049" s="19" t="str">
        <f t="shared" si="133"/>
        <v>9</v>
      </c>
      <c r="C1049" s="19" t="str">
        <f t="shared" si="134"/>
        <v>2</v>
      </c>
      <c r="D1049" s="19" t="str">
        <f t="shared" si="135"/>
        <v>2</v>
      </c>
      <c r="E1049" s="19" t="str">
        <f t="shared" si="136"/>
        <v>00</v>
      </c>
      <c r="F1049" s="19" t="str">
        <f t="shared" si="137"/>
        <v>00</v>
      </c>
      <c r="G1049" s="19" t="s">
        <v>1036</v>
      </c>
      <c r="H1049" s="19" t="s">
        <v>2965</v>
      </c>
      <c r="I1049" s="20" t="s">
        <v>3508</v>
      </c>
      <c r="J1049" s="19"/>
      <c r="K1049" s="19"/>
      <c r="L1049" s="19"/>
      <c r="M1049" s="20"/>
    </row>
    <row r="1050" spans="1:13" ht="25.5" x14ac:dyDescent="0.25">
      <c r="A1050" s="21" t="str">
        <f t="shared" si="132"/>
        <v>1</v>
      </c>
      <c r="B1050" s="21" t="str">
        <f t="shared" si="133"/>
        <v>9</v>
      </c>
      <c r="C1050" s="21" t="str">
        <f t="shared" si="134"/>
        <v>2</v>
      </c>
      <c r="D1050" s="21" t="str">
        <f t="shared" si="135"/>
        <v>2</v>
      </c>
      <c r="E1050" s="21" t="str">
        <f t="shared" si="136"/>
        <v>01</v>
      </c>
      <c r="F1050" s="21" t="str">
        <f t="shared" si="137"/>
        <v>00</v>
      </c>
      <c r="G1050" s="21" t="s">
        <v>1037</v>
      </c>
      <c r="H1050" s="21" t="s">
        <v>2966</v>
      </c>
      <c r="I1050" s="22" t="s">
        <v>4029</v>
      </c>
      <c r="J1050" s="21"/>
      <c r="K1050" s="21" t="s">
        <v>4021</v>
      </c>
      <c r="L1050" s="21" t="s">
        <v>4239</v>
      </c>
      <c r="M1050" s="21"/>
    </row>
    <row r="1051" spans="1:13" ht="25.5" x14ac:dyDescent="0.25">
      <c r="A1051" s="13" t="str">
        <f t="shared" si="132"/>
        <v>1</v>
      </c>
      <c r="B1051" s="13" t="str">
        <f t="shared" si="133"/>
        <v>9</v>
      </c>
      <c r="C1051" s="13" t="str">
        <f t="shared" si="134"/>
        <v>2</v>
      </c>
      <c r="D1051" s="13" t="str">
        <f t="shared" si="135"/>
        <v>2</v>
      </c>
      <c r="E1051" s="13" t="str">
        <f t="shared" si="136"/>
        <v>01</v>
      </c>
      <c r="F1051" s="13" t="str">
        <f t="shared" si="137"/>
        <v>10</v>
      </c>
      <c r="G1051" s="13" t="s">
        <v>1038</v>
      </c>
      <c r="H1051" s="13" t="s">
        <v>2967</v>
      </c>
      <c r="I1051" s="16" t="s">
        <v>3992</v>
      </c>
      <c r="J1051" s="13"/>
      <c r="K1051" s="13" t="s">
        <v>46</v>
      </c>
      <c r="L1051" s="13" t="s">
        <v>4232</v>
      </c>
      <c r="M1051" s="16"/>
    </row>
    <row r="1052" spans="1:13" ht="25.5" x14ac:dyDescent="0.25">
      <c r="A1052" s="13" t="str">
        <f t="shared" si="132"/>
        <v>1</v>
      </c>
      <c r="B1052" s="13" t="str">
        <f t="shared" si="133"/>
        <v>9</v>
      </c>
      <c r="C1052" s="13" t="str">
        <f t="shared" si="134"/>
        <v>2</v>
      </c>
      <c r="D1052" s="13" t="str">
        <f t="shared" si="135"/>
        <v>2</v>
      </c>
      <c r="E1052" s="13" t="str">
        <f t="shared" si="136"/>
        <v>01</v>
      </c>
      <c r="F1052" s="13" t="str">
        <f t="shared" si="137"/>
        <v>20</v>
      </c>
      <c r="G1052" s="13" t="s">
        <v>1039</v>
      </c>
      <c r="H1052" s="13" t="s">
        <v>2968</v>
      </c>
      <c r="I1052" s="16" t="s">
        <v>3993</v>
      </c>
      <c r="J1052" s="13"/>
      <c r="K1052" s="13" t="s">
        <v>46</v>
      </c>
      <c r="L1052" s="13" t="s">
        <v>4232</v>
      </c>
      <c r="M1052" s="16"/>
    </row>
    <row r="1053" spans="1:13" ht="25.5" x14ac:dyDescent="0.25">
      <c r="A1053" s="21" t="str">
        <f t="shared" si="132"/>
        <v>1</v>
      </c>
      <c r="B1053" s="21" t="str">
        <f t="shared" si="133"/>
        <v>9</v>
      </c>
      <c r="C1053" s="21" t="str">
        <f t="shared" si="134"/>
        <v>2</v>
      </c>
      <c r="D1053" s="21" t="str">
        <f t="shared" si="135"/>
        <v>2</v>
      </c>
      <c r="E1053" s="21" t="str">
        <f t="shared" si="136"/>
        <v>02</v>
      </c>
      <c r="F1053" s="21" t="str">
        <f t="shared" si="137"/>
        <v>00</v>
      </c>
      <c r="G1053" s="21" t="s">
        <v>1040</v>
      </c>
      <c r="H1053" s="21" t="s">
        <v>2969</v>
      </c>
      <c r="I1053" s="22" t="s">
        <v>4030</v>
      </c>
      <c r="J1053" s="21"/>
      <c r="K1053" s="21" t="s">
        <v>4018</v>
      </c>
      <c r="L1053" s="21" t="s">
        <v>4240</v>
      </c>
      <c r="M1053" s="21"/>
    </row>
    <row r="1054" spans="1:13" ht="38.25" x14ac:dyDescent="0.25">
      <c r="A1054" s="13" t="str">
        <f t="shared" si="132"/>
        <v>1</v>
      </c>
      <c r="B1054" s="13" t="str">
        <f t="shared" si="133"/>
        <v>9</v>
      </c>
      <c r="C1054" s="13" t="str">
        <f t="shared" si="134"/>
        <v>2</v>
      </c>
      <c r="D1054" s="13" t="str">
        <f t="shared" si="135"/>
        <v>2</v>
      </c>
      <c r="E1054" s="13" t="str">
        <f t="shared" si="136"/>
        <v>02</v>
      </c>
      <c r="F1054" s="13" t="str">
        <f t="shared" si="137"/>
        <v>10</v>
      </c>
      <c r="G1054" s="13" t="s">
        <v>1041</v>
      </c>
      <c r="H1054" s="13" t="s">
        <v>2970</v>
      </c>
      <c r="I1054" s="16" t="s">
        <v>3994</v>
      </c>
      <c r="J1054" s="13"/>
      <c r="K1054" s="13" t="s">
        <v>46</v>
      </c>
      <c r="L1054" s="13" t="s">
        <v>4238</v>
      </c>
      <c r="M1054" s="16"/>
    </row>
    <row r="1055" spans="1:13" ht="38.25" x14ac:dyDescent="0.25">
      <c r="A1055" s="13" t="str">
        <f t="shared" si="132"/>
        <v>1</v>
      </c>
      <c r="B1055" s="13" t="str">
        <f t="shared" si="133"/>
        <v>9</v>
      </c>
      <c r="C1055" s="13" t="str">
        <f t="shared" si="134"/>
        <v>2</v>
      </c>
      <c r="D1055" s="13" t="str">
        <f t="shared" si="135"/>
        <v>2</v>
      </c>
      <c r="E1055" s="13" t="str">
        <f t="shared" si="136"/>
        <v>02</v>
      </c>
      <c r="F1055" s="13" t="str">
        <f t="shared" si="137"/>
        <v>20</v>
      </c>
      <c r="G1055" s="13" t="s">
        <v>1042</v>
      </c>
      <c r="H1055" s="13" t="s">
        <v>2971</v>
      </c>
      <c r="I1055" s="16" t="s">
        <v>3995</v>
      </c>
      <c r="J1055" s="13"/>
      <c r="K1055" s="13" t="s">
        <v>46</v>
      </c>
      <c r="L1055" s="13" t="s">
        <v>4238</v>
      </c>
      <c r="M1055" s="16"/>
    </row>
    <row r="1056" spans="1:13" ht="25.5" x14ac:dyDescent="0.25">
      <c r="A1056" s="13" t="str">
        <f t="shared" si="132"/>
        <v>1</v>
      </c>
      <c r="B1056" s="13" t="str">
        <f t="shared" si="133"/>
        <v>9</v>
      </c>
      <c r="C1056" s="13" t="str">
        <f t="shared" si="134"/>
        <v>2</v>
      </c>
      <c r="D1056" s="13" t="str">
        <f t="shared" si="135"/>
        <v>2</v>
      </c>
      <c r="E1056" s="13" t="str">
        <f t="shared" si="136"/>
        <v>02</v>
      </c>
      <c r="F1056" s="13" t="str">
        <f t="shared" si="137"/>
        <v>30</v>
      </c>
      <c r="G1056" s="13" t="s">
        <v>1043</v>
      </c>
      <c r="H1056" s="13" t="s">
        <v>2972</v>
      </c>
      <c r="I1056" s="16" t="s">
        <v>3996</v>
      </c>
      <c r="J1056" s="13"/>
      <c r="K1056" s="13" t="s">
        <v>46</v>
      </c>
      <c r="L1056" s="13" t="s">
        <v>4238</v>
      </c>
      <c r="M1056" s="16"/>
    </row>
    <row r="1057" spans="1:13" ht="25.5" x14ac:dyDescent="0.25">
      <c r="A1057" s="13" t="str">
        <f t="shared" si="132"/>
        <v>1</v>
      </c>
      <c r="B1057" s="13" t="str">
        <f t="shared" si="133"/>
        <v>9</v>
      </c>
      <c r="C1057" s="13" t="str">
        <f t="shared" si="134"/>
        <v>2</v>
      </c>
      <c r="D1057" s="13" t="str">
        <f t="shared" si="135"/>
        <v>2</v>
      </c>
      <c r="E1057" s="13" t="str">
        <f t="shared" si="136"/>
        <v>02</v>
      </c>
      <c r="F1057" s="13" t="str">
        <f t="shared" si="137"/>
        <v>40</v>
      </c>
      <c r="G1057" s="13" t="s">
        <v>1044</v>
      </c>
      <c r="H1057" s="13" t="s">
        <v>2973</v>
      </c>
      <c r="I1057" s="16" t="s">
        <v>3997</v>
      </c>
      <c r="J1057" s="13"/>
      <c r="K1057" s="13" t="s">
        <v>46</v>
      </c>
      <c r="L1057" s="13" t="s">
        <v>4238</v>
      </c>
      <c r="M1057" s="16"/>
    </row>
    <row r="1058" spans="1:13" ht="25.5" x14ac:dyDescent="0.25">
      <c r="A1058" s="13" t="str">
        <f t="shared" si="132"/>
        <v>1</v>
      </c>
      <c r="B1058" s="13" t="str">
        <f t="shared" si="133"/>
        <v>9</v>
      </c>
      <c r="C1058" s="13" t="str">
        <f t="shared" si="134"/>
        <v>2</v>
      </c>
      <c r="D1058" s="13" t="str">
        <f t="shared" si="135"/>
        <v>2</v>
      </c>
      <c r="E1058" s="13" t="str">
        <f t="shared" si="136"/>
        <v>02</v>
      </c>
      <c r="F1058" s="13" t="str">
        <f t="shared" si="137"/>
        <v>50</v>
      </c>
      <c r="G1058" s="13" t="s">
        <v>1045</v>
      </c>
      <c r="H1058" s="13" t="s">
        <v>2974</v>
      </c>
      <c r="I1058" s="16" t="s">
        <v>3998</v>
      </c>
      <c r="J1058" s="13"/>
      <c r="K1058" s="13" t="s">
        <v>46</v>
      </c>
      <c r="L1058" s="13" t="s">
        <v>4238</v>
      </c>
      <c r="M1058" s="16"/>
    </row>
    <row r="1059" spans="1:13" ht="38.25" x14ac:dyDescent="0.25">
      <c r="A1059" s="13" t="str">
        <f t="shared" si="132"/>
        <v>1</v>
      </c>
      <c r="B1059" s="13" t="str">
        <f t="shared" si="133"/>
        <v>9</v>
      </c>
      <c r="C1059" s="13" t="str">
        <f t="shared" si="134"/>
        <v>2</v>
      </c>
      <c r="D1059" s="13" t="str">
        <f t="shared" si="135"/>
        <v>2</v>
      </c>
      <c r="E1059" s="13" t="str">
        <f t="shared" si="136"/>
        <v>02</v>
      </c>
      <c r="F1059" s="13" t="str">
        <f t="shared" si="137"/>
        <v>60</v>
      </c>
      <c r="G1059" s="13" t="s">
        <v>1046</v>
      </c>
      <c r="H1059" s="13" t="s">
        <v>2975</v>
      </c>
      <c r="I1059" s="16" t="s">
        <v>3999</v>
      </c>
      <c r="J1059" s="13"/>
      <c r="K1059" s="13" t="s">
        <v>46</v>
      </c>
      <c r="L1059" s="13" t="s">
        <v>4238</v>
      </c>
      <c r="M1059" s="16"/>
    </row>
    <row r="1060" spans="1:13" ht="25.5" x14ac:dyDescent="0.25">
      <c r="A1060" s="13" t="str">
        <f t="shared" si="132"/>
        <v>1</v>
      </c>
      <c r="B1060" s="13" t="str">
        <f t="shared" si="133"/>
        <v>9</v>
      </c>
      <c r="C1060" s="13" t="str">
        <f t="shared" si="134"/>
        <v>2</v>
      </c>
      <c r="D1060" s="13" t="str">
        <f t="shared" si="135"/>
        <v>2</v>
      </c>
      <c r="E1060" s="13" t="str">
        <f t="shared" si="136"/>
        <v>02</v>
      </c>
      <c r="F1060" s="13" t="str">
        <f t="shared" si="137"/>
        <v>70</v>
      </c>
      <c r="G1060" s="13" t="s">
        <v>1047</v>
      </c>
      <c r="H1060" s="13" t="s">
        <v>2976</v>
      </c>
      <c r="I1060" s="16" t="s">
        <v>4000</v>
      </c>
      <c r="J1060" s="13"/>
      <c r="K1060" s="13" t="s">
        <v>46</v>
      </c>
      <c r="L1060" s="13" t="s">
        <v>4238</v>
      </c>
      <c r="M1060" s="16"/>
    </row>
    <row r="1061" spans="1:13" ht="51" x14ac:dyDescent="0.25">
      <c r="A1061" s="13" t="str">
        <f t="shared" si="132"/>
        <v>1</v>
      </c>
      <c r="B1061" s="13" t="str">
        <f t="shared" si="133"/>
        <v>9</v>
      </c>
      <c r="C1061" s="13" t="str">
        <f t="shared" si="134"/>
        <v>2</v>
      </c>
      <c r="D1061" s="13" t="str">
        <f t="shared" si="135"/>
        <v>2</v>
      </c>
      <c r="E1061" s="13" t="str">
        <f t="shared" si="136"/>
        <v>02</v>
      </c>
      <c r="F1061" s="13" t="str">
        <f t="shared" si="137"/>
        <v>80</v>
      </c>
      <c r="G1061" s="13" t="s">
        <v>1048</v>
      </c>
      <c r="H1061" s="13" t="s">
        <v>2977</v>
      </c>
      <c r="I1061" s="16" t="s">
        <v>4001</v>
      </c>
      <c r="J1061" s="13"/>
      <c r="K1061" s="13" t="s">
        <v>46</v>
      </c>
      <c r="L1061" s="13" t="s">
        <v>4238</v>
      </c>
      <c r="M1061" s="16"/>
    </row>
    <row r="1062" spans="1:13" x14ac:dyDescent="0.25">
      <c r="A1062" s="13" t="str">
        <f t="shared" si="132"/>
        <v>1</v>
      </c>
      <c r="B1062" s="13" t="str">
        <f t="shared" si="133"/>
        <v>9</v>
      </c>
      <c r="C1062" s="13" t="str">
        <f t="shared" si="134"/>
        <v>2</v>
      </c>
      <c r="D1062" s="13" t="str">
        <f t="shared" si="135"/>
        <v>2</v>
      </c>
      <c r="E1062" s="13" t="str">
        <f t="shared" si="136"/>
        <v>02</v>
      </c>
      <c r="F1062" s="13" t="str">
        <f t="shared" si="137"/>
        <v>90</v>
      </c>
      <c r="G1062" s="13" t="s">
        <v>1049</v>
      </c>
      <c r="H1062" s="13" t="s">
        <v>2978</v>
      </c>
      <c r="I1062" s="16" t="s">
        <v>4002</v>
      </c>
      <c r="J1062" s="13"/>
      <c r="K1062" s="13" t="s">
        <v>46</v>
      </c>
      <c r="L1062" s="13" t="s">
        <v>4238</v>
      </c>
      <c r="M1062" s="16"/>
    </row>
    <row r="1063" spans="1:13" ht="25.5" x14ac:dyDescent="0.25">
      <c r="A1063" s="13" t="str">
        <f t="shared" si="132"/>
        <v>1</v>
      </c>
      <c r="B1063" s="13" t="str">
        <f t="shared" si="133"/>
        <v>9</v>
      </c>
      <c r="C1063" s="13" t="str">
        <f t="shared" si="134"/>
        <v>2</v>
      </c>
      <c r="D1063" s="13" t="str">
        <f t="shared" si="135"/>
        <v>2</v>
      </c>
      <c r="E1063" s="13" t="str">
        <f t="shared" si="136"/>
        <v>02</v>
      </c>
      <c r="F1063" s="13" t="str">
        <f t="shared" si="137"/>
        <v>91</v>
      </c>
      <c r="G1063" s="13" t="s">
        <v>1050</v>
      </c>
      <c r="H1063" s="13" t="s">
        <v>2979</v>
      </c>
      <c r="I1063" s="16" t="s">
        <v>4003</v>
      </c>
      <c r="J1063" s="13"/>
      <c r="K1063" s="13" t="s">
        <v>46</v>
      </c>
      <c r="L1063" s="13" t="s">
        <v>4238</v>
      </c>
      <c r="M1063" s="16"/>
    </row>
    <row r="1064" spans="1:13" ht="25.5" x14ac:dyDescent="0.25">
      <c r="A1064" s="13" t="str">
        <f t="shared" si="132"/>
        <v>1</v>
      </c>
      <c r="B1064" s="13" t="str">
        <f t="shared" si="133"/>
        <v>9</v>
      </c>
      <c r="C1064" s="13" t="str">
        <f t="shared" si="134"/>
        <v>2</v>
      </c>
      <c r="D1064" s="13" t="str">
        <f t="shared" si="135"/>
        <v>2</v>
      </c>
      <c r="E1064" s="13" t="str">
        <f t="shared" si="136"/>
        <v>02</v>
      </c>
      <c r="F1064" s="13" t="str">
        <f t="shared" si="137"/>
        <v>92</v>
      </c>
      <c r="G1064" s="13" t="s">
        <v>1051</v>
      </c>
      <c r="H1064" s="13" t="s">
        <v>2980</v>
      </c>
      <c r="I1064" s="16" t="s">
        <v>4127</v>
      </c>
      <c r="J1064" s="13"/>
      <c r="K1064" s="13" t="s">
        <v>46</v>
      </c>
      <c r="L1064" s="13" t="s">
        <v>4238</v>
      </c>
      <c r="M1064" s="16"/>
    </row>
    <row r="1065" spans="1:13" ht="25.5" x14ac:dyDescent="0.25">
      <c r="A1065" s="13" t="str">
        <f t="shared" si="132"/>
        <v>1</v>
      </c>
      <c r="B1065" s="13" t="str">
        <f t="shared" si="133"/>
        <v>9</v>
      </c>
      <c r="C1065" s="13" t="str">
        <f t="shared" si="134"/>
        <v>2</v>
      </c>
      <c r="D1065" s="13" t="str">
        <f t="shared" si="135"/>
        <v>2</v>
      </c>
      <c r="E1065" s="13" t="str">
        <f t="shared" si="136"/>
        <v>02</v>
      </c>
      <c r="F1065" s="13" t="str">
        <f t="shared" si="137"/>
        <v>93</v>
      </c>
      <c r="G1065" s="13" t="s">
        <v>1052</v>
      </c>
      <c r="H1065" s="13" t="s">
        <v>2981</v>
      </c>
      <c r="I1065" s="16" t="s">
        <v>4004</v>
      </c>
      <c r="J1065" s="13"/>
      <c r="K1065" s="13" t="s">
        <v>46</v>
      </c>
      <c r="L1065" s="13" t="s">
        <v>4238</v>
      </c>
      <c r="M1065" s="16"/>
    </row>
    <row r="1066" spans="1:13" ht="25.5" x14ac:dyDescent="0.25">
      <c r="A1066" s="21" t="str">
        <f t="shared" si="132"/>
        <v>1</v>
      </c>
      <c r="B1066" s="21" t="str">
        <f t="shared" si="133"/>
        <v>9</v>
      </c>
      <c r="C1066" s="21" t="str">
        <f t="shared" si="134"/>
        <v>2</v>
      </c>
      <c r="D1066" s="21" t="str">
        <f t="shared" si="135"/>
        <v>2</v>
      </c>
      <c r="E1066" s="21" t="str">
        <f t="shared" si="136"/>
        <v>03</v>
      </c>
      <c r="F1066" s="21" t="str">
        <f t="shared" si="137"/>
        <v>00</v>
      </c>
      <c r="G1066" s="21" t="s">
        <v>1053</v>
      </c>
      <c r="H1066" s="21" t="s">
        <v>2982</v>
      </c>
      <c r="I1066" s="22" t="s">
        <v>3509</v>
      </c>
      <c r="J1066" s="21"/>
      <c r="K1066" s="21"/>
      <c r="L1066" s="21"/>
      <c r="M1066" s="21"/>
    </row>
    <row r="1067" spans="1:13" ht="25.5" x14ac:dyDescent="0.25">
      <c r="A1067" s="21" t="str">
        <f t="shared" si="132"/>
        <v>1</v>
      </c>
      <c r="B1067" s="21" t="str">
        <f t="shared" si="133"/>
        <v>9</v>
      </c>
      <c r="C1067" s="21" t="str">
        <f t="shared" si="134"/>
        <v>2</v>
      </c>
      <c r="D1067" s="21" t="str">
        <f t="shared" si="135"/>
        <v>2</v>
      </c>
      <c r="E1067" s="21" t="str">
        <f t="shared" si="136"/>
        <v>04</v>
      </c>
      <c r="F1067" s="21" t="str">
        <f t="shared" si="137"/>
        <v>00</v>
      </c>
      <c r="G1067" s="21" t="s">
        <v>1054</v>
      </c>
      <c r="H1067" s="21" t="s">
        <v>2983</v>
      </c>
      <c r="I1067" s="22" t="s">
        <v>3510</v>
      </c>
      <c r="J1067" s="21"/>
      <c r="K1067" s="21"/>
      <c r="L1067" s="21"/>
      <c r="M1067" s="21"/>
    </row>
    <row r="1068" spans="1:13" ht="25.5" x14ac:dyDescent="0.25">
      <c r="A1068" s="21" t="str">
        <f t="shared" si="132"/>
        <v>1</v>
      </c>
      <c r="B1068" s="21" t="str">
        <f t="shared" si="133"/>
        <v>9</v>
      </c>
      <c r="C1068" s="21" t="str">
        <f t="shared" si="134"/>
        <v>2</v>
      </c>
      <c r="D1068" s="21" t="str">
        <f t="shared" si="135"/>
        <v>2</v>
      </c>
      <c r="E1068" s="21" t="str">
        <f t="shared" si="136"/>
        <v>05</v>
      </c>
      <c r="F1068" s="21" t="str">
        <f t="shared" si="137"/>
        <v>00</v>
      </c>
      <c r="G1068" s="21" t="s">
        <v>1055</v>
      </c>
      <c r="H1068" s="21" t="s">
        <v>2984</v>
      </c>
      <c r="I1068" s="22" t="s">
        <v>3511</v>
      </c>
      <c r="J1068" s="21"/>
      <c r="K1068" s="21"/>
      <c r="L1068" s="21"/>
      <c r="M1068" s="21"/>
    </row>
    <row r="1069" spans="1:13" ht="25.5" x14ac:dyDescent="0.25">
      <c r="A1069" s="21" t="str">
        <f t="shared" si="132"/>
        <v>1</v>
      </c>
      <c r="B1069" s="21" t="str">
        <f t="shared" si="133"/>
        <v>9</v>
      </c>
      <c r="C1069" s="21" t="str">
        <f t="shared" si="134"/>
        <v>2</v>
      </c>
      <c r="D1069" s="21" t="str">
        <f t="shared" si="135"/>
        <v>2</v>
      </c>
      <c r="E1069" s="21" t="str">
        <f t="shared" si="136"/>
        <v>06</v>
      </c>
      <c r="F1069" s="21" t="str">
        <f t="shared" si="137"/>
        <v>00</v>
      </c>
      <c r="G1069" s="21" t="s">
        <v>1056</v>
      </c>
      <c r="H1069" s="21" t="s">
        <v>2985</v>
      </c>
      <c r="I1069" s="22" t="s">
        <v>3512</v>
      </c>
      <c r="J1069" s="21"/>
      <c r="K1069" s="21"/>
      <c r="L1069" s="21"/>
      <c r="M1069" s="21"/>
    </row>
    <row r="1070" spans="1:13" ht="25.5" x14ac:dyDescent="0.25">
      <c r="A1070" s="21" t="str">
        <f t="shared" si="132"/>
        <v>1</v>
      </c>
      <c r="B1070" s="21" t="str">
        <f t="shared" si="133"/>
        <v>9</v>
      </c>
      <c r="C1070" s="21" t="str">
        <f t="shared" si="134"/>
        <v>2</v>
      </c>
      <c r="D1070" s="21" t="str">
        <f t="shared" si="135"/>
        <v>2</v>
      </c>
      <c r="E1070" s="21" t="str">
        <f t="shared" si="136"/>
        <v>07</v>
      </c>
      <c r="F1070" s="21" t="str">
        <f t="shared" si="137"/>
        <v>00</v>
      </c>
      <c r="G1070" s="21" t="s">
        <v>1057</v>
      </c>
      <c r="H1070" s="21" t="s">
        <v>2986</v>
      </c>
      <c r="I1070" s="22" t="s">
        <v>3513</v>
      </c>
      <c r="J1070" s="21"/>
      <c r="K1070" s="21"/>
      <c r="L1070" s="21"/>
      <c r="M1070" s="21"/>
    </row>
    <row r="1071" spans="1:13" ht="25.5" x14ac:dyDescent="0.25">
      <c r="A1071" s="21" t="str">
        <f t="shared" si="132"/>
        <v>1</v>
      </c>
      <c r="B1071" s="21" t="str">
        <f t="shared" si="133"/>
        <v>9</v>
      </c>
      <c r="C1071" s="21" t="str">
        <f t="shared" si="134"/>
        <v>2</v>
      </c>
      <c r="D1071" s="21" t="str">
        <f t="shared" si="135"/>
        <v>2</v>
      </c>
      <c r="E1071" s="21" t="str">
        <f t="shared" si="136"/>
        <v>08</v>
      </c>
      <c r="F1071" s="21" t="str">
        <f t="shared" si="137"/>
        <v>00</v>
      </c>
      <c r="G1071" s="21" t="s">
        <v>1058</v>
      </c>
      <c r="H1071" s="21" t="s">
        <v>2987</v>
      </c>
      <c r="I1071" s="22" t="s">
        <v>4128</v>
      </c>
      <c r="J1071" s="21"/>
      <c r="K1071" s="21"/>
      <c r="L1071" s="21"/>
      <c r="M1071" s="21"/>
    </row>
    <row r="1072" spans="1:13" ht="38.25" x14ac:dyDescent="0.25">
      <c r="A1072" s="21" t="str">
        <f t="shared" si="132"/>
        <v>1</v>
      </c>
      <c r="B1072" s="21" t="str">
        <f t="shared" si="133"/>
        <v>9</v>
      </c>
      <c r="C1072" s="21" t="str">
        <f t="shared" si="134"/>
        <v>2</v>
      </c>
      <c r="D1072" s="21" t="str">
        <f t="shared" si="135"/>
        <v>2</v>
      </c>
      <c r="E1072" s="21" t="str">
        <f t="shared" si="136"/>
        <v>09</v>
      </c>
      <c r="F1072" s="21" t="str">
        <f t="shared" si="137"/>
        <v>00</v>
      </c>
      <c r="G1072" s="21" t="s">
        <v>1059</v>
      </c>
      <c r="H1072" s="21" t="s">
        <v>2988</v>
      </c>
      <c r="I1072" s="22" t="s">
        <v>4129</v>
      </c>
      <c r="J1072" s="21"/>
      <c r="K1072" s="21"/>
      <c r="L1072" s="21"/>
      <c r="M1072" s="21"/>
    </row>
    <row r="1073" spans="1:14" ht="38.25" x14ac:dyDescent="0.25">
      <c r="A1073" s="21" t="str">
        <f t="shared" si="132"/>
        <v>1</v>
      </c>
      <c r="B1073" s="21" t="str">
        <f t="shared" si="133"/>
        <v>9</v>
      </c>
      <c r="C1073" s="21" t="str">
        <f t="shared" si="134"/>
        <v>2</v>
      </c>
      <c r="D1073" s="21" t="str">
        <f t="shared" si="135"/>
        <v>2</v>
      </c>
      <c r="E1073" s="21" t="str">
        <f t="shared" si="136"/>
        <v>10</v>
      </c>
      <c r="F1073" s="21" t="str">
        <f t="shared" si="137"/>
        <v>00</v>
      </c>
      <c r="G1073" s="21" t="s">
        <v>1060</v>
      </c>
      <c r="H1073" s="21" t="s">
        <v>2989</v>
      </c>
      <c r="I1073" s="22" t="s">
        <v>3514</v>
      </c>
      <c r="J1073" s="21"/>
      <c r="K1073" s="21"/>
      <c r="L1073" s="21"/>
      <c r="M1073" s="21"/>
      <c r="N1073" t="s">
        <v>4199</v>
      </c>
    </row>
    <row r="1074" spans="1:14" ht="38.25" x14ac:dyDescent="0.25">
      <c r="A1074" s="13" t="str">
        <f t="shared" si="132"/>
        <v>1</v>
      </c>
      <c r="B1074" s="13" t="str">
        <f t="shared" si="133"/>
        <v>9</v>
      </c>
      <c r="C1074" s="13" t="str">
        <f t="shared" si="134"/>
        <v>2</v>
      </c>
      <c r="D1074" s="13" t="str">
        <f t="shared" si="135"/>
        <v>2</v>
      </c>
      <c r="E1074" s="13" t="str">
        <f t="shared" si="136"/>
        <v>10</v>
      </c>
      <c r="F1074" s="13" t="str">
        <f t="shared" si="137"/>
        <v>01</v>
      </c>
      <c r="G1074" s="13" t="s">
        <v>1061</v>
      </c>
      <c r="H1074" s="13" t="s">
        <v>2990</v>
      </c>
      <c r="I1074" s="16" t="s">
        <v>3515</v>
      </c>
      <c r="J1074" s="13"/>
      <c r="K1074" s="13"/>
      <c r="L1074" s="13"/>
      <c r="M1074" s="16"/>
      <c r="N1074" t="s">
        <v>4199</v>
      </c>
    </row>
    <row r="1075" spans="1:14" ht="38.25" x14ac:dyDescent="0.25">
      <c r="A1075" s="13" t="str">
        <f t="shared" si="132"/>
        <v>1</v>
      </c>
      <c r="B1075" s="13" t="str">
        <f t="shared" si="133"/>
        <v>9</v>
      </c>
      <c r="C1075" s="13" t="str">
        <f t="shared" si="134"/>
        <v>2</v>
      </c>
      <c r="D1075" s="13" t="str">
        <f t="shared" si="135"/>
        <v>2</v>
      </c>
      <c r="E1075" s="13" t="str">
        <f t="shared" si="136"/>
        <v>10</v>
      </c>
      <c r="F1075" s="13" t="str">
        <f t="shared" si="137"/>
        <v>02</v>
      </c>
      <c r="G1075" s="13" t="s">
        <v>1062</v>
      </c>
      <c r="H1075" s="13" t="s">
        <v>2991</v>
      </c>
      <c r="I1075" s="16" t="s">
        <v>3516</v>
      </c>
      <c r="J1075" s="13"/>
      <c r="K1075" s="13"/>
      <c r="L1075" s="13"/>
      <c r="M1075" s="16"/>
      <c r="N1075" t="s">
        <v>4199</v>
      </c>
    </row>
    <row r="1076" spans="1:14" ht="38.25" x14ac:dyDescent="0.25">
      <c r="A1076" s="21" t="str">
        <f t="shared" si="132"/>
        <v>1</v>
      </c>
      <c r="B1076" s="21" t="str">
        <f t="shared" si="133"/>
        <v>9</v>
      </c>
      <c r="C1076" s="21" t="str">
        <f t="shared" si="134"/>
        <v>2</v>
      </c>
      <c r="D1076" s="21" t="str">
        <f t="shared" si="135"/>
        <v>2</v>
      </c>
      <c r="E1076" s="21" t="str">
        <f t="shared" si="136"/>
        <v>11</v>
      </c>
      <c r="F1076" s="21" t="str">
        <f t="shared" si="137"/>
        <v>00</v>
      </c>
      <c r="G1076" s="21" t="s">
        <v>1063</v>
      </c>
      <c r="H1076" s="21" t="s">
        <v>2992</v>
      </c>
      <c r="I1076" s="22" t="s">
        <v>3517</v>
      </c>
      <c r="J1076" s="21"/>
      <c r="K1076" s="21"/>
      <c r="L1076" s="21"/>
      <c r="M1076" s="21"/>
    </row>
    <row r="1077" spans="1:14" ht="25.5" x14ac:dyDescent="0.25">
      <c r="A1077" s="21" t="str">
        <f t="shared" si="132"/>
        <v>1</v>
      </c>
      <c r="B1077" s="21" t="str">
        <f t="shared" si="133"/>
        <v>9</v>
      </c>
      <c r="C1077" s="21" t="str">
        <f t="shared" si="134"/>
        <v>2</v>
      </c>
      <c r="D1077" s="21" t="str">
        <f t="shared" si="135"/>
        <v>2</v>
      </c>
      <c r="E1077" s="21" t="str">
        <f t="shared" si="136"/>
        <v>20</v>
      </c>
      <c r="F1077" s="21" t="str">
        <f t="shared" si="137"/>
        <v>00</v>
      </c>
      <c r="G1077" s="21" t="s">
        <v>1064</v>
      </c>
      <c r="H1077" s="21" t="s">
        <v>2993</v>
      </c>
      <c r="I1077" s="22" t="s">
        <v>3518</v>
      </c>
      <c r="J1077" s="21"/>
      <c r="K1077" s="21"/>
      <c r="L1077" s="21"/>
      <c r="M1077" s="21"/>
    </row>
    <row r="1078" spans="1:14" ht="25.5" x14ac:dyDescent="0.25">
      <c r="A1078" s="21" t="str">
        <f t="shared" si="132"/>
        <v>1</v>
      </c>
      <c r="B1078" s="21" t="str">
        <f t="shared" si="133"/>
        <v>9</v>
      </c>
      <c r="C1078" s="21" t="str">
        <f t="shared" si="134"/>
        <v>2</v>
      </c>
      <c r="D1078" s="21" t="str">
        <f t="shared" si="135"/>
        <v>2</v>
      </c>
      <c r="E1078" s="21" t="str">
        <f t="shared" si="136"/>
        <v>21</v>
      </c>
      <c r="F1078" s="21" t="str">
        <f t="shared" si="137"/>
        <v>00</v>
      </c>
      <c r="G1078" s="21" t="s">
        <v>1065</v>
      </c>
      <c r="H1078" s="21" t="s">
        <v>2994</v>
      </c>
      <c r="I1078" s="22" t="s">
        <v>3519</v>
      </c>
      <c r="J1078" s="21"/>
      <c r="K1078" s="21"/>
      <c r="L1078" s="21"/>
      <c r="M1078" s="21"/>
    </row>
    <row r="1079" spans="1:14" ht="38.25" x14ac:dyDescent="0.25">
      <c r="A1079" s="21" t="str">
        <f t="shared" si="132"/>
        <v>1</v>
      </c>
      <c r="B1079" s="21" t="str">
        <f t="shared" si="133"/>
        <v>9</v>
      </c>
      <c r="C1079" s="21" t="str">
        <f t="shared" si="134"/>
        <v>2</v>
      </c>
      <c r="D1079" s="21" t="str">
        <f t="shared" si="135"/>
        <v>2</v>
      </c>
      <c r="E1079" s="21" t="str">
        <f t="shared" si="136"/>
        <v>22</v>
      </c>
      <c r="F1079" s="21" t="str">
        <f t="shared" si="137"/>
        <v>00</v>
      </c>
      <c r="G1079" s="21" t="s">
        <v>1066</v>
      </c>
      <c r="H1079" s="21" t="s">
        <v>2995</v>
      </c>
      <c r="I1079" s="22" t="s">
        <v>3520</v>
      </c>
      <c r="J1079" s="21"/>
      <c r="K1079" s="21"/>
      <c r="L1079" s="21"/>
      <c r="M1079" s="21"/>
    </row>
    <row r="1080" spans="1:14" ht="38.25" x14ac:dyDescent="0.25">
      <c r="A1080" s="21" t="str">
        <f t="shared" si="132"/>
        <v>1</v>
      </c>
      <c r="B1080" s="21" t="str">
        <f t="shared" si="133"/>
        <v>9</v>
      </c>
      <c r="C1080" s="21" t="str">
        <f t="shared" si="134"/>
        <v>2</v>
      </c>
      <c r="D1080" s="21" t="str">
        <f t="shared" si="135"/>
        <v>2</v>
      </c>
      <c r="E1080" s="21" t="str">
        <f t="shared" si="136"/>
        <v>23</v>
      </c>
      <c r="F1080" s="21" t="str">
        <f t="shared" si="137"/>
        <v>00</v>
      </c>
      <c r="G1080" s="21" t="s">
        <v>1067</v>
      </c>
      <c r="H1080" s="21" t="s">
        <v>2996</v>
      </c>
      <c r="I1080" s="22" t="s">
        <v>3521</v>
      </c>
      <c r="J1080" s="21"/>
      <c r="K1080" s="21"/>
      <c r="L1080" s="21"/>
      <c r="M1080" s="21"/>
    </row>
    <row r="1081" spans="1:14" ht="25.5" x14ac:dyDescent="0.25">
      <c r="A1081" s="21" t="str">
        <f t="shared" si="132"/>
        <v>1</v>
      </c>
      <c r="B1081" s="21" t="str">
        <f t="shared" si="133"/>
        <v>9</v>
      </c>
      <c r="C1081" s="21" t="str">
        <f t="shared" si="134"/>
        <v>2</v>
      </c>
      <c r="D1081" s="21" t="str">
        <f t="shared" si="135"/>
        <v>2</v>
      </c>
      <c r="E1081" s="21" t="str">
        <f t="shared" si="136"/>
        <v>24</v>
      </c>
      <c r="F1081" s="21" t="str">
        <f t="shared" si="137"/>
        <v>00</v>
      </c>
      <c r="G1081" s="21" t="s">
        <v>4133</v>
      </c>
      <c r="H1081" s="21" t="s">
        <v>4134</v>
      </c>
      <c r="I1081" s="22" t="s">
        <v>4135</v>
      </c>
      <c r="J1081" s="21"/>
      <c r="K1081" s="21" t="s">
        <v>46</v>
      </c>
      <c r="L1081" s="21" t="s">
        <v>4233</v>
      </c>
      <c r="M1081" s="21"/>
    </row>
    <row r="1082" spans="1:14" ht="51" x14ac:dyDescent="0.25">
      <c r="A1082" s="21" t="str">
        <f t="shared" si="132"/>
        <v>1</v>
      </c>
      <c r="B1082" s="21" t="str">
        <f t="shared" si="133"/>
        <v>9</v>
      </c>
      <c r="C1082" s="21" t="str">
        <f t="shared" si="134"/>
        <v>2</v>
      </c>
      <c r="D1082" s="21" t="str">
        <f t="shared" si="135"/>
        <v>2</v>
      </c>
      <c r="E1082" s="21" t="str">
        <f t="shared" si="136"/>
        <v>30</v>
      </c>
      <c r="F1082" s="21" t="str">
        <f t="shared" si="137"/>
        <v>00</v>
      </c>
      <c r="G1082" s="21" t="s">
        <v>1068</v>
      </c>
      <c r="H1082" s="21" t="s">
        <v>2997</v>
      </c>
      <c r="I1082" s="22" t="s">
        <v>3522</v>
      </c>
      <c r="J1082" s="21"/>
      <c r="K1082" s="21"/>
      <c r="L1082" s="21"/>
      <c r="M1082" s="21"/>
    </row>
    <row r="1083" spans="1:14" x14ac:dyDescent="0.25">
      <c r="A1083" s="21" t="str">
        <f t="shared" si="132"/>
        <v>1</v>
      </c>
      <c r="B1083" s="21" t="str">
        <f t="shared" si="133"/>
        <v>9</v>
      </c>
      <c r="C1083" s="21" t="str">
        <f t="shared" si="134"/>
        <v>2</v>
      </c>
      <c r="D1083" s="21" t="str">
        <f t="shared" si="135"/>
        <v>2</v>
      </c>
      <c r="E1083" s="21" t="str">
        <f t="shared" si="136"/>
        <v>99</v>
      </c>
      <c r="F1083" s="21" t="str">
        <f t="shared" si="137"/>
        <v>00</v>
      </c>
      <c r="G1083" s="21" t="s">
        <v>1069</v>
      </c>
      <c r="H1083" s="21" t="s">
        <v>2998</v>
      </c>
      <c r="I1083" s="22" t="s">
        <v>4188</v>
      </c>
      <c r="J1083" s="21"/>
      <c r="K1083" s="21" t="s">
        <v>4018</v>
      </c>
      <c r="L1083" s="21" t="s">
        <v>4229</v>
      </c>
      <c r="M1083" s="21"/>
    </row>
    <row r="1084" spans="1:14" ht="25.5" x14ac:dyDescent="0.25">
      <c r="A1084" s="21" t="str">
        <f t="shared" si="132"/>
        <v>1</v>
      </c>
      <c r="B1084" s="21" t="str">
        <f t="shared" si="133"/>
        <v>9</v>
      </c>
      <c r="C1084" s="21" t="str">
        <f t="shared" si="134"/>
        <v>2</v>
      </c>
      <c r="D1084" s="21" t="str">
        <f t="shared" si="135"/>
        <v>3</v>
      </c>
      <c r="E1084" s="21" t="str">
        <f t="shared" si="136"/>
        <v>01</v>
      </c>
      <c r="F1084" s="21" t="str">
        <f t="shared" si="137"/>
        <v>00</v>
      </c>
      <c r="G1084" s="21" t="s">
        <v>1070</v>
      </c>
      <c r="H1084" s="21" t="s">
        <v>2999</v>
      </c>
      <c r="I1084" s="22" t="s">
        <v>3523</v>
      </c>
      <c r="J1084" s="21"/>
      <c r="K1084" s="21"/>
      <c r="L1084" s="21"/>
      <c r="M1084" s="21"/>
    </row>
    <row r="1085" spans="1:14" ht="25.5" x14ac:dyDescent="0.25">
      <c r="A1085" s="12" t="str">
        <f t="shared" si="132"/>
        <v>1</v>
      </c>
      <c r="B1085" s="12" t="str">
        <f t="shared" si="133"/>
        <v>9</v>
      </c>
      <c r="C1085" s="12" t="str">
        <f t="shared" si="134"/>
        <v>3</v>
      </c>
      <c r="D1085" s="12" t="str">
        <f t="shared" si="135"/>
        <v>0</v>
      </c>
      <c r="E1085" s="12" t="str">
        <f t="shared" si="136"/>
        <v>00</v>
      </c>
      <c r="F1085" s="12" t="str">
        <f t="shared" si="137"/>
        <v>00</v>
      </c>
      <c r="G1085" s="12" t="s">
        <v>1071</v>
      </c>
      <c r="H1085" s="12" t="s">
        <v>3000</v>
      </c>
      <c r="I1085" s="15" t="s">
        <v>3524</v>
      </c>
      <c r="J1085" s="12"/>
      <c r="K1085" s="12"/>
      <c r="L1085" s="12"/>
      <c r="M1085" s="15"/>
    </row>
    <row r="1086" spans="1:14" ht="25.5" x14ac:dyDescent="0.25">
      <c r="A1086" s="19" t="str">
        <f t="shared" si="132"/>
        <v>1</v>
      </c>
      <c r="B1086" s="19" t="str">
        <f t="shared" si="133"/>
        <v>9</v>
      </c>
      <c r="C1086" s="19" t="str">
        <f t="shared" si="134"/>
        <v>3</v>
      </c>
      <c r="D1086" s="19" t="str">
        <f t="shared" si="135"/>
        <v>1</v>
      </c>
      <c r="E1086" s="19" t="str">
        <f t="shared" si="136"/>
        <v>00</v>
      </c>
      <c r="F1086" s="19" t="str">
        <f t="shared" si="137"/>
        <v>00</v>
      </c>
      <c r="G1086" s="19" t="s">
        <v>1072</v>
      </c>
      <c r="H1086" s="19" t="s">
        <v>3001</v>
      </c>
      <c r="I1086" s="20" t="s">
        <v>3525</v>
      </c>
      <c r="J1086" s="19"/>
      <c r="K1086" s="19"/>
      <c r="L1086" s="19"/>
      <c r="M1086" s="20"/>
    </row>
    <row r="1087" spans="1:14" ht="25.5" x14ac:dyDescent="0.25">
      <c r="A1087" s="21" t="str">
        <f t="shared" si="132"/>
        <v>1</v>
      </c>
      <c r="B1087" s="21" t="str">
        <f t="shared" si="133"/>
        <v>9</v>
      </c>
      <c r="C1087" s="21" t="str">
        <f t="shared" si="134"/>
        <v>3</v>
      </c>
      <c r="D1087" s="21" t="str">
        <f t="shared" si="135"/>
        <v>1</v>
      </c>
      <c r="E1087" s="21" t="str">
        <f t="shared" si="136"/>
        <v>01</v>
      </c>
      <c r="F1087" s="21" t="str">
        <f t="shared" si="137"/>
        <v>00</v>
      </c>
      <c r="G1087" s="21" t="s">
        <v>1073</v>
      </c>
      <c r="H1087" s="21" t="s">
        <v>3002</v>
      </c>
      <c r="I1087" s="22" t="s">
        <v>3526</v>
      </c>
      <c r="J1087" s="21"/>
      <c r="K1087" s="21"/>
      <c r="L1087" s="21"/>
      <c r="M1087" s="21"/>
    </row>
    <row r="1088" spans="1:14" ht="25.5" x14ac:dyDescent="0.25">
      <c r="A1088" s="13" t="str">
        <f t="shared" si="132"/>
        <v>1</v>
      </c>
      <c r="B1088" s="13" t="str">
        <f t="shared" si="133"/>
        <v>9</v>
      </c>
      <c r="C1088" s="13" t="str">
        <f t="shared" si="134"/>
        <v>3</v>
      </c>
      <c r="D1088" s="13" t="str">
        <f t="shared" si="135"/>
        <v>1</v>
      </c>
      <c r="E1088" s="13" t="str">
        <f t="shared" si="136"/>
        <v>01</v>
      </c>
      <c r="F1088" s="13" t="str">
        <f t="shared" si="137"/>
        <v>01</v>
      </c>
      <c r="G1088" s="13" t="s">
        <v>1074</v>
      </c>
      <c r="H1088" s="13" t="s">
        <v>3003</v>
      </c>
      <c r="I1088" s="16" t="s">
        <v>3527</v>
      </c>
      <c r="J1088" s="13"/>
      <c r="K1088" s="13"/>
      <c r="L1088" s="13"/>
      <c r="M1088" s="16"/>
    </row>
    <row r="1089" spans="1:13" ht="25.5" x14ac:dyDescent="0.25">
      <c r="A1089" s="13" t="str">
        <f t="shared" si="132"/>
        <v>1</v>
      </c>
      <c r="B1089" s="13" t="str">
        <f t="shared" si="133"/>
        <v>9</v>
      </c>
      <c r="C1089" s="13" t="str">
        <f t="shared" si="134"/>
        <v>3</v>
      </c>
      <c r="D1089" s="13" t="str">
        <f t="shared" si="135"/>
        <v>1</v>
      </c>
      <c r="E1089" s="13" t="str">
        <f t="shared" si="136"/>
        <v>01</v>
      </c>
      <c r="F1089" s="13" t="str">
        <f t="shared" si="137"/>
        <v>02</v>
      </c>
      <c r="G1089" s="13" t="s">
        <v>1075</v>
      </c>
      <c r="H1089" s="13" t="s">
        <v>3004</v>
      </c>
      <c r="I1089" s="16" t="s">
        <v>3528</v>
      </c>
      <c r="J1089" s="13"/>
      <c r="K1089" s="13"/>
      <c r="L1089" s="13"/>
      <c r="M1089" s="16"/>
    </row>
    <row r="1090" spans="1:13" ht="25.5" x14ac:dyDescent="0.25">
      <c r="A1090" s="13" t="str">
        <f t="shared" si="132"/>
        <v>1</v>
      </c>
      <c r="B1090" s="13" t="str">
        <f t="shared" si="133"/>
        <v>9</v>
      </c>
      <c r="C1090" s="13" t="str">
        <f t="shared" si="134"/>
        <v>3</v>
      </c>
      <c r="D1090" s="13" t="str">
        <f t="shared" si="135"/>
        <v>1</v>
      </c>
      <c r="E1090" s="13" t="str">
        <f t="shared" si="136"/>
        <v>01</v>
      </c>
      <c r="F1090" s="13" t="str">
        <f t="shared" si="137"/>
        <v>03</v>
      </c>
      <c r="G1090" s="13" t="s">
        <v>1076</v>
      </c>
      <c r="H1090" s="13" t="s">
        <v>3005</v>
      </c>
      <c r="I1090" s="16" t="s">
        <v>3529</v>
      </c>
      <c r="J1090" s="13"/>
      <c r="K1090" s="13"/>
      <c r="L1090" s="13"/>
      <c r="M1090" s="16"/>
    </row>
    <row r="1091" spans="1:13" ht="38.25" x14ac:dyDescent="0.25">
      <c r="A1091" s="13" t="str">
        <f t="shared" si="132"/>
        <v>1</v>
      </c>
      <c r="B1091" s="13" t="str">
        <f t="shared" si="133"/>
        <v>9</v>
      </c>
      <c r="C1091" s="13" t="str">
        <f t="shared" si="134"/>
        <v>3</v>
      </c>
      <c r="D1091" s="13" t="str">
        <f t="shared" si="135"/>
        <v>1</v>
      </c>
      <c r="E1091" s="13" t="str">
        <f t="shared" si="136"/>
        <v>01</v>
      </c>
      <c r="F1091" s="13" t="str">
        <f t="shared" si="137"/>
        <v>04</v>
      </c>
      <c r="G1091" s="13" t="s">
        <v>1077</v>
      </c>
      <c r="H1091" s="13" t="s">
        <v>3006</v>
      </c>
      <c r="I1091" s="16" t="s">
        <v>3530</v>
      </c>
      <c r="J1091" s="13"/>
      <c r="K1091" s="13"/>
      <c r="L1091" s="13"/>
      <c r="M1091" s="16"/>
    </row>
    <row r="1092" spans="1:13" ht="25.5" x14ac:dyDescent="0.25">
      <c r="A1092" s="13" t="str">
        <f t="shared" si="132"/>
        <v>1</v>
      </c>
      <c r="B1092" s="13" t="str">
        <f t="shared" si="133"/>
        <v>9</v>
      </c>
      <c r="C1092" s="13" t="str">
        <f t="shared" si="134"/>
        <v>3</v>
      </c>
      <c r="D1092" s="13" t="str">
        <f t="shared" si="135"/>
        <v>1</v>
      </c>
      <c r="E1092" s="13" t="str">
        <f t="shared" si="136"/>
        <v>01</v>
      </c>
      <c r="F1092" s="13" t="str">
        <f t="shared" si="137"/>
        <v>05</v>
      </c>
      <c r="G1092" s="13" t="s">
        <v>1078</v>
      </c>
      <c r="H1092" s="13" t="s">
        <v>3007</v>
      </c>
      <c r="I1092" s="16" t="s">
        <v>3531</v>
      </c>
      <c r="J1092" s="13"/>
      <c r="K1092" s="13"/>
      <c r="L1092" s="13"/>
      <c r="M1092" s="16"/>
    </row>
    <row r="1093" spans="1:13" ht="25.5" x14ac:dyDescent="0.25">
      <c r="A1093" s="13" t="str">
        <f t="shared" si="132"/>
        <v>1</v>
      </c>
      <c r="B1093" s="13" t="str">
        <f t="shared" si="133"/>
        <v>9</v>
      </c>
      <c r="C1093" s="13" t="str">
        <f t="shared" si="134"/>
        <v>3</v>
      </c>
      <c r="D1093" s="13" t="str">
        <f t="shared" si="135"/>
        <v>1</v>
      </c>
      <c r="E1093" s="13" t="str">
        <f t="shared" si="136"/>
        <v>01</v>
      </c>
      <c r="F1093" s="13" t="str">
        <f t="shared" si="137"/>
        <v>06</v>
      </c>
      <c r="G1093" s="13" t="s">
        <v>1079</v>
      </c>
      <c r="H1093" s="13" t="s">
        <v>3008</v>
      </c>
      <c r="I1093" s="16" t="s">
        <v>3532</v>
      </c>
      <c r="J1093" s="13"/>
      <c r="K1093" s="13"/>
      <c r="L1093" s="13"/>
      <c r="M1093" s="16"/>
    </row>
    <row r="1094" spans="1:13" ht="25.5" x14ac:dyDescent="0.25">
      <c r="A1094" s="13" t="str">
        <f t="shared" si="132"/>
        <v>1</v>
      </c>
      <c r="B1094" s="13" t="str">
        <f t="shared" si="133"/>
        <v>9</v>
      </c>
      <c r="C1094" s="13" t="str">
        <f t="shared" si="134"/>
        <v>3</v>
      </c>
      <c r="D1094" s="13" t="str">
        <f t="shared" si="135"/>
        <v>1</v>
      </c>
      <c r="E1094" s="13" t="str">
        <f t="shared" si="136"/>
        <v>01</v>
      </c>
      <c r="F1094" s="13" t="str">
        <f t="shared" si="137"/>
        <v>07</v>
      </c>
      <c r="G1094" s="13" t="s">
        <v>1080</v>
      </c>
      <c r="H1094" s="13" t="s">
        <v>3009</v>
      </c>
      <c r="I1094" s="16" t="s">
        <v>3533</v>
      </c>
      <c r="J1094" s="13"/>
      <c r="K1094" s="13"/>
      <c r="L1094" s="13"/>
      <c r="M1094" s="16"/>
    </row>
    <row r="1095" spans="1:13" ht="25.5" x14ac:dyDescent="0.25">
      <c r="A1095" s="21" t="str">
        <f t="shared" si="132"/>
        <v>1</v>
      </c>
      <c r="B1095" s="21" t="str">
        <f t="shared" si="133"/>
        <v>9</v>
      </c>
      <c r="C1095" s="21" t="str">
        <f t="shared" si="134"/>
        <v>3</v>
      </c>
      <c r="D1095" s="21" t="str">
        <f t="shared" si="135"/>
        <v>1</v>
      </c>
      <c r="E1095" s="21" t="str">
        <f t="shared" si="136"/>
        <v>02</v>
      </c>
      <c r="F1095" s="21" t="str">
        <f t="shared" si="137"/>
        <v>00</v>
      </c>
      <c r="G1095" s="21" t="s">
        <v>1081</v>
      </c>
      <c r="H1095" s="21" t="s">
        <v>3010</v>
      </c>
      <c r="I1095" s="22" t="s">
        <v>3534</v>
      </c>
      <c r="J1095" s="21"/>
      <c r="K1095" s="21"/>
      <c r="L1095" s="21"/>
      <c r="M1095" s="21"/>
    </row>
    <row r="1096" spans="1:13" ht="25.5" x14ac:dyDescent="0.25">
      <c r="A1096" s="13" t="str">
        <f t="shared" si="132"/>
        <v>1</v>
      </c>
      <c r="B1096" s="13" t="str">
        <f t="shared" si="133"/>
        <v>9</v>
      </c>
      <c r="C1096" s="13" t="str">
        <f t="shared" si="134"/>
        <v>3</v>
      </c>
      <c r="D1096" s="13" t="str">
        <f t="shared" si="135"/>
        <v>1</v>
      </c>
      <c r="E1096" s="13" t="str">
        <f t="shared" si="136"/>
        <v>02</v>
      </c>
      <c r="F1096" s="13" t="str">
        <f t="shared" si="137"/>
        <v>01</v>
      </c>
      <c r="G1096" s="13" t="s">
        <v>1082</v>
      </c>
      <c r="H1096" s="13" t="s">
        <v>3011</v>
      </c>
      <c r="I1096" s="16" t="s">
        <v>3535</v>
      </c>
      <c r="J1096" s="13"/>
      <c r="K1096" s="13"/>
      <c r="L1096" s="13"/>
      <c r="M1096" s="16"/>
    </row>
    <row r="1097" spans="1:13" ht="25.5" x14ac:dyDescent="0.25">
      <c r="A1097" s="13" t="str">
        <f t="shared" ref="A1097:A1160" si="138">MID(G1097,1,1)</f>
        <v>1</v>
      </c>
      <c r="B1097" s="13" t="str">
        <f t="shared" ref="B1097:B1160" si="139">MID(G1097,2,1)</f>
        <v>9</v>
      </c>
      <c r="C1097" s="13" t="str">
        <f t="shared" ref="C1097:C1160" si="140">MID(G1097,3,1)</f>
        <v>3</v>
      </c>
      <c r="D1097" s="13" t="str">
        <f t="shared" ref="D1097:D1160" si="141">MID(G1097,4,1)</f>
        <v>1</v>
      </c>
      <c r="E1097" s="13" t="str">
        <f t="shared" ref="E1097:E1160" si="142">MID(G1097,6,2)</f>
        <v>02</v>
      </c>
      <c r="F1097" s="13" t="str">
        <f t="shared" ref="F1097:F1160" si="143">MID(G1097,9,2)</f>
        <v>02</v>
      </c>
      <c r="G1097" s="13" t="s">
        <v>1083</v>
      </c>
      <c r="H1097" s="13" t="s">
        <v>3012</v>
      </c>
      <c r="I1097" s="16" t="s">
        <v>3536</v>
      </c>
      <c r="J1097" s="13"/>
      <c r="K1097" s="13"/>
      <c r="L1097" s="13"/>
      <c r="M1097" s="16"/>
    </row>
    <row r="1098" spans="1:13" ht="38.25" x14ac:dyDescent="0.25">
      <c r="A1098" s="13" t="str">
        <f t="shared" si="138"/>
        <v>1</v>
      </c>
      <c r="B1098" s="13" t="str">
        <f t="shared" si="139"/>
        <v>9</v>
      </c>
      <c r="C1098" s="13" t="str">
        <f t="shared" si="140"/>
        <v>3</v>
      </c>
      <c r="D1098" s="13" t="str">
        <f t="shared" si="141"/>
        <v>1</v>
      </c>
      <c r="E1098" s="13" t="str">
        <f t="shared" si="142"/>
        <v>02</v>
      </c>
      <c r="F1098" s="13" t="str">
        <f t="shared" si="143"/>
        <v>03</v>
      </c>
      <c r="G1098" s="13" t="s">
        <v>1084</v>
      </c>
      <c r="H1098" s="13" t="s">
        <v>3013</v>
      </c>
      <c r="I1098" s="16" t="s">
        <v>3537</v>
      </c>
      <c r="J1098" s="13"/>
      <c r="K1098" s="13"/>
      <c r="L1098" s="13"/>
      <c r="M1098" s="16"/>
    </row>
    <row r="1099" spans="1:13" ht="38.25" x14ac:dyDescent="0.25">
      <c r="A1099" s="21" t="str">
        <f t="shared" si="138"/>
        <v>1</v>
      </c>
      <c r="B1099" s="21" t="str">
        <f t="shared" si="139"/>
        <v>9</v>
      </c>
      <c r="C1099" s="21" t="str">
        <f t="shared" si="140"/>
        <v>3</v>
      </c>
      <c r="D1099" s="21" t="str">
        <f t="shared" si="141"/>
        <v>1</v>
      </c>
      <c r="E1099" s="21" t="str">
        <f t="shared" si="142"/>
        <v>03</v>
      </c>
      <c r="F1099" s="21" t="str">
        <f t="shared" si="143"/>
        <v>00</v>
      </c>
      <c r="G1099" s="21" t="s">
        <v>1085</v>
      </c>
      <c r="H1099" s="21" t="s">
        <v>3014</v>
      </c>
      <c r="I1099" s="22" t="s">
        <v>3538</v>
      </c>
      <c r="J1099" s="21"/>
      <c r="K1099" s="21"/>
      <c r="L1099" s="21"/>
      <c r="M1099" s="21"/>
    </row>
    <row r="1100" spans="1:13" ht="51" x14ac:dyDescent="0.25">
      <c r="A1100" s="13" t="str">
        <f t="shared" si="138"/>
        <v>1</v>
      </c>
      <c r="B1100" s="13" t="str">
        <f t="shared" si="139"/>
        <v>9</v>
      </c>
      <c r="C1100" s="13" t="str">
        <f t="shared" si="140"/>
        <v>3</v>
      </c>
      <c r="D1100" s="13" t="str">
        <f t="shared" si="141"/>
        <v>1</v>
      </c>
      <c r="E1100" s="13" t="str">
        <f t="shared" si="142"/>
        <v>03</v>
      </c>
      <c r="F1100" s="13" t="str">
        <f t="shared" si="143"/>
        <v>01</v>
      </c>
      <c r="G1100" s="13" t="s">
        <v>1086</v>
      </c>
      <c r="H1100" s="13" t="s">
        <v>3015</v>
      </c>
      <c r="I1100" s="16" t="s">
        <v>3539</v>
      </c>
      <c r="J1100" s="13"/>
      <c r="K1100" s="13"/>
      <c r="L1100" s="13"/>
      <c r="M1100" s="16"/>
    </row>
    <row r="1101" spans="1:13" ht="51" x14ac:dyDescent="0.25">
      <c r="A1101" s="13" t="str">
        <f t="shared" si="138"/>
        <v>1</v>
      </c>
      <c r="B1101" s="13" t="str">
        <f t="shared" si="139"/>
        <v>9</v>
      </c>
      <c r="C1101" s="13" t="str">
        <f t="shared" si="140"/>
        <v>3</v>
      </c>
      <c r="D1101" s="13" t="str">
        <f t="shared" si="141"/>
        <v>1</v>
      </c>
      <c r="E1101" s="13" t="str">
        <f t="shared" si="142"/>
        <v>03</v>
      </c>
      <c r="F1101" s="13" t="str">
        <f t="shared" si="143"/>
        <v>02</v>
      </c>
      <c r="G1101" s="13" t="s">
        <v>1087</v>
      </c>
      <c r="H1101" s="13" t="s">
        <v>3016</v>
      </c>
      <c r="I1101" s="16" t="s">
        <v>3540</v>
      </c>
      <c r="J1101" s="13"/>
      <c r="K1101" s="13"/>
      <c r="L1101" s="13"/>
      <c r="M1101" s="16"/>
    </row>
    <row r="1102" spans="1:13" ht="25.5" x14ac:dyDescent="0.25">
      <c r="A1102" s="21" t="str">
        <f t="shared" si="138"/>
        <v>1</v>
      </c>
      <c r="B1102" s="21" t="str">
        <f t="shared" si="139"/>
        <v>9</v>
      </c>
      <c r="C1102" s="21" t="str">
        <f t="shared" si="140"/>
        <v>3</v>
      </c>
      <c r="D1102" s="21" t="str">
        <f t="shared" si="141"/>
        <v>1</v>
      </c>
      <c r="E1102" s="21" t="str">
        <f t="shared" si="142"/>
        <v>04</v>
      </c>
      <c r="F1102" s="21" t="str">
        <f t="shared" si="143"/>
        <v>00</v>
      </c>
      <c r="G1102" s="21" t="s">
        <v>1088</v>
      </c>
      <c r="H1102" s="21" t="s">
        <v>3017</v>
      </c>
      <c r="I1102" s="22" t="s">
        <v>3541</v>
      </c>
      <c r="J1102" s="21"/>
      <c r="K1102" s="21"/>
      <c r="L1102" s="21"/>
      <c r="M1102" s="21"/>
    </row>
    <row r="1103" spans="1:13" ht="38.25" x14ac:dyDescent="0.25">
      <c r="A1103" s="13" t="str">
        <f t="shared" si="138"/>
        <v>1</v>
      </c>
      <c r="B1103" s="13" t="str">
        <f t="shared" si="139"/>
        <v>9</v>
      </c>
      <c r="C1103" s="13" t="str">
        <f t="shared" si="140"/>
        <v>3</v>
      </c>
      <c r="D1103" s="13" t="str">
        <f t="shared" si="141"/>
        <v>1</v>
      </c>
      <c r="E1103" s="13" t="str">
        <f t="shared" si="142"/>
        <v>04</v>
      </c>
      <c r="F1103" s="13" t="str">
        <f t="shared" si="143"/>
        <v>01</v>
      </c>
      <c r="G1103" s="13" t="s">
        <v>1089</v>
      </c>
      <c r="H1103" s="13" t="s">
        <v>3018</v>
      </c>
      <c r="I1103" s="16" t="s">
        <v>3542</v>
      </c>
      <c r="J1103" s="13"/>
      <c r="K1103" s="13"/>
      <c r="L1103" s="13"/>
      <c r="M1103" s="16"/>
    </row>
    <row r="1104" spans="1:13" ht="38.25" x14ac:dyDescent="0.25">
      <c r="A1104" s="13" t="str">
        <f t="shared" si="138"/>
        <v>1</v>
      </c>
      <c r="B1104" s="13" t="str">
        <f t="shared" si="139"/>
        <v>9</v>
      </c>
      <c r="C1104" s="13" t="str">
        <f t="shared" si="140"/>
        <v>3</v>
      </c>
      <c r="D1104" s="13" t="str">
        <f t="shared" si="141"/>
        <v>1</v>
      </c>
      <c r="E1104" s="13" t="str">
        <f t="shared" si="142"/>
        <v>04</v>
      </c>
      <c r="F1104" s="13" t="str">
        <f t="shared" si="143"/>
        <v>02</v>
      </c>
      <c r="G1104" s="13" t="s">
        <v>1090</v>
      </c>
      <c r="H1104" s="13" t="s">
        <v>3019</v>
      </c>
      <c r="I1104" s="16" t="s">
        <v>3543</v>
      </c>
      <c r="J1104" s="13"/>
      <c r="K1104" s="13"/>
      <c r="L1104" s="13"/>
      <c r="M1104" s="16"/>
    </row>
    <row r="1105" spans="1:13" ht="25.5" x14ac:dyDescent="0.25">
      <c r="A1105" s="21" t="str">
        <f t="shared" si="138"/>
        <v>1</v>
      </c>
      <c r="B1105" s="21" t="str">
        <f t="shared" si="139"/>
        <v>9</v>
      </c>
      <c r="C1105" s="21" t="str">
        <f t="shared" si="140"/>
        <v>3</v>
      </c>
      <c r="D1105" s="21" t="str">
        <f t="shared" si="141"/>
        <v>1</v>
      </c>
      <c r="E1105" s="21" t="str">
        <f t="shared" si="142"/>
        <v>05</v>
      </c>
      <c r="F1105" s="21" t="str">
        <f t="shared" si="143"/>
        <v>00</v>
      </c>
      <c r="G1105" s="21" t="s">
        <v>1091</v>
      </c>
      <c r="H1105" s="21" t="s">
        <v>3020</v>
      </c>
      <c r="I1105" s="22" t="s">
        <v>3544</v>
      </c>
      <c r="J1105" s="21"/>
      <c r="K1105" s="21"/>
      <c r="L1105" s="21"/>
      <c r="M1105" s="21"/>
    </row>
    <row r="1106" spans="1:13" ht="25.5" x14ac:dyDescent="0.25">
      <c r="A1106" s="13" t="str">
        <f t="shared" si="138"/>
        <v>1</v>
      </c>
      <c r="B1106" s="13" t="str">
        <f t="shared" si="139"/>
        <v>9</v>
      </c>
      <c r="C1106" s="13" t="str">
        <f t="shared" si="140"/>
        <v>3</v>
      </c>
      <c r="D1106" s="13" t="str">
        <f t="shared" si="141"/>
        <v>1</v>
      </c>
      <c r="E1106" s="13" t="str">
        <f t="shared" si="142"/>
        <v>05</v>
      </c>
      <c r="F1106" s="13" t="str">
        <f t="shared" si="143"/>
        <v>01</v>
      </c>
      <c r="G1106" s="13" t="s">
        <v>1092</v>
      </c>
      <c r="H1106" s="13" t="s">
        <v>3021</v>
      </c>
      <c r="I1106" s="16" t="s">
        <v>3545</v>
      </c>
      <c r="J1106" s="13"/>
      <c r="K1106" s="13"/>
      <c r="L1106" s="13"/>
      <c r="M1106" s="16"/>
    </row>
    <row r="1107" spans="1:13" ht="25.5" x14ac:dyDescent="0.25">
      <c r="A1107" s="13" t="str">
        <f t="shared" si="138"/>
        <v>1</v>
      </c>
      <c r="B1107" s="13" t="str">
        <f t="shared" si="139"/>
        <v>9</v>
      </c>
      <c r="C1107" s="13" t="str">
        <f t="shared" si="140"/>
        <v>3</v>
      </c>
      <c r="D1107" s="13" t="str">
        <f t="shared" si="141"/>
        <v>1</v>
      </c>
      <c r="E1107" s="13" t="str">
        <f t="shared" si="142"/>
        <v>05</v>
      </c>
      <c r="F1107" s="13" t="str">
        <f t="shared" si="143"/>
        <v>02</v>
      </c>
      <c r="G1107" s="13" t="s">
        <v>1093</v>
      </c>
      <c r="H1107" s="13" t="s">
        <v>3022</v>
      </c>
      <c r="I1107" s="16" t="s">
        <v>3546</v>
      </c>
      <c r="J1107" s="13"/>
      <c r="K1107" s="13"/>
      <c r="L1107" s="13"/>
      <c r="M1107" s="16"/>
    </row>
    <row r="1108" spans="1:13" ht="25.5" x14ac:dyDescent="0.25">
      <c r="A1108" s="21" t="str">
        <f t="shared" si="138"/>
        <v>1</v>
      </c>
      <c r="B1108" s="21" t="str">
        <f t="shared" si="139"/>
        <v>9</v>
      </c>
      <c r="C1108" s="21" t="str">
        <f t="shared" si="140"/>
        <v>3</v>
      </c>
      <c r="D1108" s="21" t="str">
        <f t="shared" si="141"/>
        <v>1</v>
      </c>
      <c r="E1108" s="21" t="str">
        <f t="shared" si="142"/>
        <v>06</v>
      </c>
      <c r="F1108" s="21" t="str">
        <f t="shared" si="143"/>
        <v>00</v>
      </c>
      <c r="G1108" s="21" t="s">
        <v>1094</v>
      </c>
      <c r="H1108" s="21" t="s">
        <v>3023</v>
      </c>
      <c r="I1108" s="22" t="s">
        <v>3547</v>
      </c>
      <c r="J1108" s="21"/>
      <c r="K1108" s="21"/>
      <c r="L1108" s="21"/>
      <c r="M1108" s="21"/>
    </row>
    <row r="1109" spans="1:13" ht="25.5" x14ac:dyDescent="0.25">
      <c r="A1109" s="13" t="str">
        <f t="shared" si="138"/>
        <v>1</v>
      </c>
      <c r="B1109" s="13" t="str">
        <f t="shared" si="139"/>
        <v>9</v>
      </c>
      <c r="C1109" s="13" t="str">
        <f t="shared" si="140"/>
        <v>3</v>
      </c>
      <c r="D1109" s="13" t="str">
        <f t="shared" si="141"/>
        <v>1</v>
      </c>
      <c r="E1109" s="13" t="str">
        <f t="shared" si="142"/>
        <v>06</v>
      </c>
      <c r="F1109" s="13" t="str">
        <f t="shared" si="143"/>
        <v>01</v>
      </c>
      <c r="G1109" s="13" t="s">
        <v>1095</v>
      </c>
      <c r="H1109" s="13" t="s">
        <v>3024</v>
      </c>
      <c r="I1109" s="16" t="s">
        <v>3548</v>
      </c>
      <c r="J1109" s="13"/>
      <c r="K1109" s="13"/>
      <c r="L1109" s="13"/>
      <c r="M1109" s="16"/>
    </row>
    <row r="1110" spans="1:13" ht="25.5" x14ac:dyDescent="0.25">
      <c r="A1110" s="13" t="str">
        <f t="shared" si="138"/>
        <v>1</v>
      </c>
      <c r="B1110" s="13" t="str">
        <f t="shared" si="139"/>
        <v>9</v>
      </c>
      <c r="C1110" s="13" t="str">
        <f t="shared" si="140"/>
        <v>3</v>
      </c>
      <c r="D1110" s="13" t="str">
        <f t="shared" si="141"/>
        <v>1</v>
      </c>
      <c r="E1110" s="13" t="str">
        <f t="shared" si="142"/>
        <v>06</v>
      </c>
      <c r="F1110" s="13" t="str">
        <f t="shared" si="143"/>
        <v>02</v>
      </c>
      <c r="G1110" s="13" t="s">
        <v>1096</v>
      </c>
      <c r="H1110" s="13" t="s">
        <v>3025</v>
      </c>
      <c r="I1110" s="16" t="s">
        <v>3549</v>
      </c>
      <c r="J1110" s="13"/>
      <c r="K1110" s="13"/>
      <c r="L1110" s="13"/>
      <c r="M1110" s="16"/>
    </row>
    <row r="1111" spans="1:13" x14ac:dyDescent="0.25">
      <c r="A1111" s="21" t="str">
        <f t="shared" si="138"/>
        <v>1</v>
      </c>
      <c r="B1111" s="21" t="str">
        <f t="shared" si="139"/>
        <v>9</v>
      </c>
      <c r="C1111" s="21" t="str">
        <f t="shared" si="140"/>
        <v>3</v>
      </c>
      <c r="D1111" s="21" t="str">
        <f t="shared" si="141"/>
        <v>1</v>
      </c>
      <c r="E1111" s="21" t="str">
        <f t="shared" si="142"/>
        <v>07</v>
      </c>
      <c r="F1111" s="21" t="str">
        <f t="shared" si="143"/>
        <v>00</v>
      </c>
      <c r="G1111" s="21" t="s">
        <v>1097</v>
      </c>
      <c r="H1111" s="21" t="s">
        <v>3026</v>
      </c>
      <c r="I1111" s="22" t="s">
        <v>3550</v>
      </c>
      <c r="J1111" s="21"/>
      <c r="K1111" s="21"/>
      <c r="L1111" s="21"/>
      <c r="M1111" s="21"/>
    </row>
    <row r="1112" spans="1:13" ht="25.5" x14ac:dyDescent="0.25">
      <c r="A1112" s="21" t="str">
        <f t="shared" si="138"/>
        <v>1</v>
      </c>
      <c r="B1112" s="21" t="str">
        <f t="shared" si="139"/>
        <v>9</v>
      </c>
      <c r="C1112" s="21" t="str">
        <f t="shared" si="140"/>
        <v>3</v>
      </c>
      <c r="D1112" s="21" t="str">
        <f t="shared" si="141"/>
        <v>1</v>
      </c>
      <c r="E1112" s="21" t="str">
        <f t="shared" si="142"/>
        <v>08</v>
      </c>
      <c r="F1112" s="21" t="str">
        <f t="shared" si="143"/>
        <v>00</v>
      </c>
      <c r="G1112" s="21" t="s">
        <v>1098</v>
      </c>
      <c r="H1112" s="21" t="s">
        <v>3027</v>
      </c>
      <c r="I1112" s="22" t="s">
        <v>4031</v>
      </c>
      <c r="J1112" s="21"/>
      <c r="K1112" s="21" t="s">
        <v>4018</v>
      </c>
      <c r="L1112" s="21" t="s">
        <v>4222</v>
      </c>
      <c r="M1112" s="21"/>
    </row>
    <row r="1113" spans="1:13" ht="25.5" x14ac:dyDescent="0.25">
      <c r="A1113" s="13" t="str">
        <f t="shared" si="138"/>
        <v>1</v>
      </c>
      <c r="B1113" s="13" t="str">
        <f t="shared" si="139"/>
        <v>9</v>
      </c>
      <c r="C1113" s="13" t="str">
        <f t="shared" si="140"/>
        <v>3</v>
      </c>
      <c r="D1113" s="13" t="str">
        <f t="shared" si="141"/>
        <v>1</v>
      </c>
      <c r="E1113" s="13" t="str">
        <f t="shared" si="142"/>
        <v>08</v>
      </c>
      <c r="F1113" s="13" t="str">
        <f t="shared" si="143"/>
        <v>01</v>
      </c>
      <c r="G1113" s="13" t="s">
        <v>1099</v>
      </c>
      <c r="H1113" s="13" t="s">
        <v>3028</v>
      </c>
      <c r="I1113" s="16" t="s">
        <v>4005</v>
      </c>
      <c r="J1113" s="13"/>
      <c r="K1113" s="13" t="s">
        <v>46</v>
      </c>
      <c r="L1113" s="13" t="s">
        <v>4223</v>
      </c>
      <c r="M1113" s="16"/>
    </row>
    <row r="1114" spans="1:13" ht="25.5" x14ac:dyDescent="0.25">
      <c r="A1114" s="13" t="str">
        <f t="shared" si="138"/>
        <v>1</v>
      </c>
      <c r="B1114" s="13" t="str">
        <f t="shared" si="139"/>
        <v>9</v>
      </c>
      <c r="C1114" s="13" t="str">
        <f t="shared" si="140"/>
        <v>3</v>
      </c>
      <c r="D1114" s="13" t="str">
        <f t="shared" si="141"/>
        <v>1</v>
      </c>
      <c r="E1114" s="13" t="str">
        <f t="shared" si="142"/>
        <v>08</v>
      </c>
      <c r="F1114" s="13" t="str">
        <f t="shared" si="143"/>
        <v>02</v>
      </c>
      <c r="G1114" s="13" t="s">
        <v>1100</v>
      </c>
      <c r="H1114" s="13" t="s">
        <v>3029</v>
      </c>
      <c r="I1114" s="16" t="s">
        <v>4006</v>
      </c>
      <c r="J1114" s="13"/>
      <c r="K1114" s="13" t="s">
        <v>46</v>
      </c>
      <c r="L1114" s="13" t="s">
        <v>4223</v>
      </c>
      <c r="M1114" s="16"/>
    </row>
    <row r="1115" spans="1:13" ht="25.5" x14ac:dyDescent="0.25">
      <c r="A1115" s="21" t="str">
        <f t="shared" si="138"/>
        <v>1</v>
      </c>
      <c r="B1115" s="21" t="str">
        <f t="shared" si="139"/>
        <v>9</v>
      </c>
      <c r="C1115" s="21" t="str">
        <f t="shared" si="140"/>
        <v>3</v>
      </c>
      <c r="D1115" s="21" t="str">
        <f t="shared" si="141"/>
        <v>1</v>
      </c>
      <c r="E1115" s="21" t="str">
        <f t="shared" si="142"/>
        <v>09</v>
      </c>
      <c r="F1115" s="21" t="str">
        <f t="shared" si="143"/>
        <v>00</v>
      </c>
      <c r="G1115" s="21" t="s">
        <v>1101</v>
      </c>
      <c r="H1115" s="21" t="s">
        <v>3030</v>
      </c>
      <c r="I1115" s="22" t="s">
        <v>3551</v>
      </c>
      <c r="J1115" s="21"/>
      <c r="K1115" s="21"/>
      <c r="L1115" s="21"/>
      <c r="M1115" s="21"/>
    </row>
    <row r="1116" spans="1:13" ht="38.25" x14ac:dyDescent="0.25">
      <c r="A1116" s="21" t="str">
        <f t="shared" si="138"/>
        <v>1</v>
      </c>
      <c r="B1116" s="21" t="str">
        <f t="shared" si="139"/>
        <v>9</v>
      </c>
      <c r="C1116" s="21" t="str">
        <f t="shared" si="140"/>
        <v>3</v>
      </c>
      <c r="D1116" s="21" t="str">
        <f t="shared" si="141"/>
        <v>1</v>
      </c>
      <c r="E1116" s="21" t="str">
        <f t="shared" si="142"/>
        <v>11</v>
      </c>
      <c r="F1116" s="21" t="str">
        <f t="shared" si="143"/>
        <v>00</v>
      </c>
      <c r="G1116" s="21" t="s">
        <v>1102</v>
      </c>
      <c r="H1116" s="21" t="s">
        <v>3031</v>
      </c>
      <c r="I1116" s="22" t="s">
        <v>3552</v>
      </c>
      <c r="J1116" s="21"/>
      <c r="K1116" s="21"/>
      <c r="L1116" s="21"/>
      <c r="M1116" s="21"/>
    </row>
    <row r="1117" spans="1:13" ht="38.25" x14ac:dyDescent="0.25">
      <c r="A1117" s="21" t="str">
        <f t="shared" si="138"/>
        <v>1</v>
      </c>
      <c r="B1117" s="21" t="str">
        <f t="shared" si="139"/>
        <v>9</v>
      </c>
      <c r="C1117" s="21" t="str">
        <f t="shared" si="140"/>
        <v>3</v>
      </c>
      <c r="D1117" s="21" t="str">
        <f t="shared" si="141"/>
        <v>1</v>
      </c>
      <c r="E1117" s="21" t="str">
        <f t="shared" si="142"/>
        <v>12</v>
      </c>
      <c r="F1117" s="21" t="str">
        <f t="shared" si="143"/>
        <v>00</v>
      </c>
      <c r="G1117" s="21" t="s">
        <v>1103</v>
      </c>
      <c r="H1117" s="21" t="s">
        <v>3032</v>
      </c>
      <c r="I1117" s="22" t="s">
        <v>3553</v>
      </c>
      <c r="J1117" s="21"/>
      <c r="K1117" s="21"/>
      <c r="L1117" s="21"/>
      <c r="M1117" s="21"/>
    </row>
    <row r="1118" spans="1:13" ht="25.5" x14ac:dyDescent="0.25">
      <c r="A1118" s="21" t="str">
        <f t="shared" si="138"/>
        <v>1</v>
      </c>
      <c r="B1118" s="21" t="str">
        <f t="shared" si="139"/>
        <v>9</v>
      </c>
      <c r="C1118" s="21" t="str">
        <f t="shared" si="140"/>
        <v>3</v>
      </c>
      <c r="D1118" s="21" t="str">
        <f t="shared" si="141"/>
        <v>1</v>
      </c>
      <c r="E1118" s="21" t="str">
        <f t="shared" si="142"/>
        <v>13</v>
      </c>
      <c r="F1118" s="21" t="str">
        <f t="shared" si="143"/>
        <v>00</v>
      </c>
      <c r="G1118" s="21" t="s">
        <v>1104</v>
      </c>
      <c r="H1118" s="21" t="s">
        <v>3033</v>
      </c>
      <c r="I1118" s="22" t="s">
        <v>3554</v>
      </c>
      <c r="J1118" s="21"/>
      <c r="K1118" s="21"/>
      <c r="L1118" s="21"/>
      <c r="M1118" s="21"/>
    </row>
    <row r="1119" spans="1:13" ht="38.25" x14ac:dyDescent="0.25">
      <c r="A1119" s="21" t="str">
        <f t="shared" si="138"/>
        <v>1</v>
      </c>
      <c r="B1119" s="21" t="str">
        <f t="shared" si="139"/>
        <v>9</v>
      </c>
      <c r="C1119" s="21" t="str">
        <f t="shared" si="140"/>
        <v>3</v>
      </c>
      <c r="D1119" s="21" t="str">
        <f t="shared" si="141"/>
        <v>1</v>
      </c>
      <c r="E1119" s="21" t="str">
        <f t="shared" si="142"/>
        <v>14</v>
      </c>
      <c r="F1119" s="21" t="str">
        <f t="shared" si="143"/>
        <v>00</v>
      </c>
      <c r="G1119" s="21" t="s">
        <v>1105</v>
      </c>
      <c r="H1119" s="21" t="s">
        <v>3034</v>
      </c>
      <c r="I1119" s="22" t="s">
        <v>3555</v>
      </c>
      <c r="J1119" s="21"/>
      <c r="K1119" s="21"/>
      <c r="L1119" s="21"/>
      <c r="M1119" s="21"/>
    </row>
    <row r="1120" spans="1:13" ht="38.25" x14ac:dyDescent="0.25">
      <c r="A1120" s="21" t="str">
        <f t="shared" si="138"/>
        <v>1</v>
      </c>
      <c r="B1120" s="21" t="str">
        <f t="shared" si="139"/>
        <v>9</v>
      </c>
      <c r="C1120" s="21" t="str">
        <f t="shared" si="140"/>
        <v>3</v>
      </c>
      <c r="D1120" s="21" t="str">
        <f t="shared" si="141"/>
        <v>1</v>
      </c>
      <c r="E1120" s="21" t="str">
        <f t="shared" si="142"/>
        <v>15</v>
      </c>
      <c r="F1120" s="21" t="str">
        <f t="shared" si="143"/>
        <v>00</v>
      </c>
      <c r="G1120" s="21" t="s">
        <v>1106</v>
      </c>
      <c r="H1120" s="21" t="s">
        <v>3035</v>
      </c>
      <c r="I1120" s="22" t="s">
        <v>3556</v>
      </c>
      <c r="J1120" s="21"/>
      <c r="K1120" s="21"/>
      <c r="L1120" s="21"/>
      <c r="M1120" s="21"/>
    </row>
    <row r="1121" spans="1:13" ht="38.25" x14ac:dyDescent="0.25">
      <c r="A1121" s="21" t="str">
        <f t="shared" si="138"/>
        <v>1</v>
      </c>
      <c r="B1121" s="21" t="str">
        <f t="shared" si="139"/>
        <v>9</v>
      </c>
      <c r="C1121" s="21" t="str">
        <f t="shared" si="140"/>
        <v>3</v>
      </c>
      <c r="D1121" s="21" t="str">
        <f t="shared" si="141"/>
        <v>1</v>
      </c>
      <c r="E1121" s="21" t="str">
        <f t="shared" si="142"/>
        <v>20</v>
      </c>
      <c r="F1121" s="21" t="str">
        <f t="shared" si="143"/>
        <v>00</v>
      </c>
      <c r="G1121" s="21" t="s">
        <v>1107</v>
      </c>
      <c r="H1121" s="21" t="s">
        <v>3036</v>
      </c>
      <c r="I1121" s="22" t="s">
        <v>3557</v>
      </c>
      <c r="J1121" s="21"/>
      <c r="K1121" s="21"/>
      <c r="L1121" s="21"/>
      <c r="M1121" s="21"/>
    </row>
    <row r="1122" spans="1:13" ht="25.5" x14ac:dyDescent="0.25">
      <c r="A1122" s="21" t="str">
        <f t="shared" si="138"/>
        <v>1</v>
      </c>
      <c r="B1122" s="21" t="str">
        <f t="shared" si="139"/>
        <v>9</v>
      </c>
      <c r="C1122" s="21" t="str">
        <f t="shared" si="140"/>
        <v>3</v>
      </c>
      <c r="D1122" s="21" t="str">
        <f t="shared" si="141"/>
        <v>1</v>
      </c>
      <c r="E1122" s="21" t="str">
        <f t="shared" si="142"/>
        <v>35</v>
      </c>
      <c r="F1122" s="21" t="str">
        <f t="shared" si="143"/>
        <v>00</v>
      </c>
      <c r="G1122" s="21" t="s">
        <v>1108</v>
      </c>
      <c r="H1122" s="21" t="s">
        <v>3037</v>
      </c>
      <c r="I1122" s="22" t="s">
        <v>3558</v>
      </c>
      <c r="J1122" s="21"/>
      <c r="K1122" s="21"/>
      <c r="L1122" s="21"/>
      <c r="M1122" s="21"/>
    </row>
    <row r="1123" spans="1:13" ht="25.5" x14ac:dyDescent="0.25">
      <c r="A1123" s="21" t="str">
        <f t="shared" si="138"/>
        <v>1</v>
      </c>
      <c r="B1123" s="21" t="str">
        <f t="shared" si="139"/>
        <v>9</v>
      </c>
      <c r="C1123" s="21" t="str">
        <f t="shared" si="140"/>
        <v>3</v>
      </c>
      <c r="D1123" s="21" t="str">
        <f t="shared" si="141"/>
        <v>1</v>
      </c>
      <c r="E1123" s="21" t="str">
        <f t="shared" si="142"/>
        <v>36</v>
      </c>
      <c r="F1123" s="21" t="str">
        <f t="shared" si="143"/>
        <v>00</v>
      </c>
      <c r="G1123" s="21" t="s">
        <v>1109</v>
      </c>
      <c r="H1123" s="21" t="s">
        <v>3038</v>
      </c>
      <c r="I1123" s="22" t="s">
        <v>3559</v>
      </c>
      <c r="J1123" s="21"/>
      <c r="K1123" s="21"/>
      <c r="L1123" s="21"/>
      <c r="M1123" s="21"/>
    </row>
    <row r="1124" spans="1:13" ht="25.5" x14ac:dyDescent="0.25">
      <c r="A1124" s="21" t="str">
        <f t="shared" si="138"/>
        <v>1</v>
      </c>
      <c r="B1124" s="21" t="str">
        <f t="shared" si="139"/>
        <v>9</v>
      </c>
      <c r="C1124" s="21" t="str">
        <f t="shared" si="140"/>
        <v>3</v>
      </c>
      <c r="D1124" s="21" t="str">
        <f t="shared" si="141"/>
        <v>1</v>
      </c>
      <c r="E1124" s="21" t="str">
        <f t="shared" si="142"/>
        <v>98</v>
      </c>
      <c r="F1124" s="21" t="str">
        <f t="shared" si="143"/>
        <v>00</v>
      </c>
      <c r="G1124" s="21" t="s">
        <v>1110</v>
      </c>
      <c r="H1124" s="21" t="s">
        <v>3039</v>
      </c>
      <c r="I1124" s="22" t="s">
        <v>3560</v>
      </c>
      <c r="J1124" s="21"/>
      <c r="K1124" s="21"/>
      <c r="L1124" s="21"/>
      <c r="M1124" s="21"/>
    </row>
    <row r="1125" spans="1:13" ht="25.5" x14ac:dyDescent="0.25">
      <c r="A1125" s="21" t="str">
        <f t="shared" si="138"/>
        <v>1</v>
      </c>
      <c r="B1125" s="21" t="str">
        <f t="shared" si="139"/>
        <v>9</v>
      </c>
      <c r="C1125" s="21" t="str">
        <f t="shared" si="140"/>
        <v>3</v>
      </c>
      <c r="D1125" s="21" t="str">
        <f t="shared" si="141"/>
        <v>1</v>
      </c>
      <c r="E1125" s="21" t="str">
        <f t="shared" si="142"/>
        <v>99</v>
      </c>
      <c r="F1125" s="21" t="str">
        <f t="shared" si="143"/>
        <v>00</v>
      </c>
      <c r="G1125" s="21" t="s">
        <v>1111</v>
      </c>
      <c r="H1125" s="21" t="s">
        <v>3040</v>
      </c>
      <c r="I1125" s="22" t="s">
        <v>3561</v>
      </c>
      <c r="J1125" s="21"/>
      <c r="K1125" s="21"/>
      <c r="L1125" s="21"/>
      <c r="M1125" s="21"/>
    </row>
    <row r="1126" spans="1:13" ht="25.5" x14ac:dyDescent="0.25">
      <c r="A1126" s="13" t="str">
        <f t="shared" si="138"/>
        <v>1</v>
      </c>
      <c r="B1126" s="13" t="str">
        <f t="shared" si="139"/>
        <v>9</v>
      </c>
      <c r="C1126" s="13" t="str">
        <f t="shared" si="140"/>
        <v>3</v>
      </c>
      <c r="D1126" s="13" t="str">
        <f t="shared" si="141"/>
        <v>1</v>
      </c>
      <c r="E1126" s="13" t="str">
        <f t="shared" si="142"/>
        <v>99</v>
      </c>
      <c r="F1126" s="13" t="str">
        <f t="shared" si="143"/>
        <v>01</v>
      </c>
      <c r="G1126" s="13" t="s">
        <v>1112</v>
      </c>
      <c r="H1126" s="13" t="s">
        <v>3041</v>
      </c>
      <c r="I1126" s="16" t="s">
        <v>3562</v>
      </c>
      <c r="J1126" s="13"/>
      <c r="K1126" s="13"/>
      <c r="L1126" s="13"/>
      <c r="M1126" s="16"/>
    </row>
    <row r="1127" spans="1:13" ht="25.5" x14ac:dyDescent="0.25">
      <c r="A1127" s="13" t="str">
        <f t="shared" si="138"/>
        <v>1</v>
      </c>
      <c r="B1127" s="13" t="str">
        <f t="shared" si="139"/>
        <v>9</v>
      </c>
      <c r="C1127" s="13" t="str">
        <f t="shared" si="140"/>
        <v>3</v>
      </c>
      <c r="D1127" s="13" t="str">
        <f t="shared" si="141"/>
        <v>1</v>
      </c>
      <c r="E1127" s="13" t="str">
        <f t="shared" si="142"/>
        <v>99</v>
      </c>
      <c r="F1127" s="13" t="str">
        <f t="shared" si="143"/>
        <v>02</v>
      </c>
      <c r="G1127" s="13" t="s">
        <v>1113</v>
      </c>
      <c r="H1127" s="13" t="s">
        <v>3042</v>
      </c>
      <c r="I1127" s="16" t="s">
        <v>3563</v>
      </c>
      <c r="J1127" s="13"/>
      <c r="K1127" s="13"/>
      <c r="L1127" s="13"/>
      <c r="M1127" s="16"/>
    </row>
    <row r="1128" spans="1:13" ht="38.25" x14ac:dyDescent="0.25">
      <c r="A1128" s="19" t="str">
        <f t="shared" si="138"/>
        <v>1</v>
      </c>
      <c r="B1128" s="19" t="str">
        <f t="shared" si="139"/>
        <v>9</v>
      </c>
      <c r="C1128" s="19" t="str">
        <f t="shared" si="140"/>
        <v>3</v>
      </c>
      <c r="D1128" s="19" t="str">
        <f t="shared" si="141"/>
        <v>2</v>
      </c>
      <c r="E1128" s="19" t="str">
        <f t="shared" si="142"/>
        <v>00</v>
      </c>
      <c r="F1128" s="19" t="str">
        <f t="shared" si="143"/>
        <v>00</v>
      </c>
      <c r="G1128" s="19" t="s">
        <v>1114</v>
      </c>
      <c r="H1128" s="19" t="s">
        <v>3043</v>
      </c>
      <c r="I1128" s="20" t="s">
        <v>3564</v>
      </c>
      <c r="J1128" s="19"/>
      <c r="K1128" s="19"/>
      <c r="L1128" s="19"/>
      <c r="M1128" s="20"/>
    </row>
    <row r="1129" spans="1:13" ht="38.25" x14ac:dyDescent="0.25">
      <c r="A1129" s="21" t="str">
        <f t="shared" si="138"/>
        <v>1</v>
      </c>
      <c r="B1129" s="21" t="str">
        <f t="shared" si="139"/>
        <v>9</v>
      </c>
      <c r="C1129" s="21" t="str">
        <f t="shared" si="140"/>
        <v>3</v>
      </c>
      <c r="D1129" s="21" t="str">
        <f t="shared" si="141"/>
        <v>2</v>
      </c>
      <c r="E1129" s="21" t="str">
        <f t="shared" si="142"/>
        <v>01</v>
      </c>
      <c r="F1129" s="21" t="str">
        <f t="shared" si="143"/>
        <v>00</v>
      </c>
      <c r="G1129" s="21" t="s">
        <v>1115</v>
      </c>
      <c r="H1129" s="21" t="s">
        <v>3044</v>
      </c>
      <c r="I1129" s="22" t="s">
        <v>3565</v>
      </c>
      <c r="J1129" s="21"/>
      <c r="K1129" s="21"/>
      <c r="L1129" s="21"/>
      <c r="M1129" s="21"/>
    </row>
    <row r="1130" spans="1:13" ht="38.25" x14ac:dyDescent="0.25">
      <c r="A1130" s="13" t="str">
        <f t="shared" si="138"/>
        <v>1</v>
      </c>
      <c r="B1130" s="13" t="str">
        <f t="shared" si="139"/>
        <v>9</v>
      </c>
      <c r="C1130" s="13" t="str">
        <f t="shared" si="140"/>
        <v>3</v>
      </c>
      <c r="D1130" s="13" t="str">
        <f t="shared" si="141"/>
        <v>2</v>
      </c>
      <c r="E1130" s="13" t="str">
        <f t="shared" si="142"/>
        <v>01</v>
      </c>
      <c r="F1130" s="13" t="str">
        <f t="shared" si="143"/>
        <v>01</v>
      </c>
      <c r="G1130" s="13" t="s">
        <v>1116</v>
      </c>
      <c r="H1130" s="13" t="s">
        <v>3045</v>
      </c>
      <c r="I1130" s="16" t="s">
        <v>3566</v>
      </c>
      <c r="J1130" s="13"/>
      <c r="K1130" s="13"/>
      <c r="L1130" s="13"/>
      <c r="M1130" s="16"/>
    </row>
    <row r="1131" spans="1:13" ht="25.5" x14ac:dyDescent="0.25">
      <c r="A1131" s="13" t="str">
        <f t="shared" si="138"/>
        <v>1</v>
      </c>
      <c r="B1131" s="13" t="str">
        <f t="shared" si="139"/>
        <v>9</v>
      </c>
      <c r="C1131" s="13" t="str">
        <f t="shared" si="140"/>
        <v>3</v>
      </c>
      <c r="D1131" s="13" t="str">
        <f t="shared" si="141"/>
        <v>2</v>
      </c>
      <c r="E1131" s="13" t="str">
        <f t="shared" si="142"/>
        <v>01</v>
      </c>
      <c r="F1131" s="13" t="str">
        <f t="shared" si="143"/>
        <v>02</v>
      </c>
      <c r="G1131" s="13" t="s">
        <v>1117</v>
      </c>
      <c r="H1131" s="13" t="s">
        <v>3046</v>
      </c>
      <c r="I1131" s="16" t="s">
        <v>3567</v>
      </c>
      <c r="J1131" s="13"/>
      <c r="K1131" s="13"/>
      <c r="L1131" s="13"/>
      <c r="M1131" s="16"/>
    </row>
    <row r="1132" spans="1:13" ht="38.25" x14ac:dyDescent="0.25">
      <c r="A1132" s="13" t="str">
        <f t="shared" si="138"/>
        <v>1</v>
      </c>
      <c r="B1132" s="13" t="str">
        <f t="shared" si="139"/>
        <v>9</v>
      </c>
      <c r="C1132" s="13" t="str">
        <f t="shared" si="140"/>
        <v>3</v>
      </c>
      <c r="D1132" s="13" t="str">
        <f t="shared" si="141"/>
        <v>2</v>
      </c>
      <c r="E1132" s="13" t="str">
        <f t="shared" si="142"/>
        <v>01</v>
      </c>
      <c r="F1132" s="13" t="str">
        <f t="shared" si="143"/>
        <v>03</v>
      </c>
      <c r="G1132" s="13" t="s">
        <v>1118</v>
      </c>
      <c r="H1132" s="13" t="s">
        <v>3047</v>
      </c>
      <c r="I1132" s="16" t="s">
        <v>3568</v>
      </c>
      <c r="J1132" s="13"/>
      <c r="K1132" s="13"/>
      <c r="L1132" s="13"/>
      <c r="M1132" s="16"/>
    </row>
    <row r="1133" spans="1:13" ht="38.25" x14ac:dyDescent="0.25">
      <c r="A1133" s="13" t="str">
        <f t="shared" si="138"/>
        <v>1</v>
      </c>
      <c r="B1133" s="13" t="str">
        <f t="shared" si="139"/>
        <v>9</v>
      </c>
      <c r="C1133" s="13" t="str">
        <f t="shared" si="140"/>
        <v>3</v>
      </c>
      <c r="D1133" s="13" t="str">
        <f t="shared" si="141"/>
        <v>2</v>
      </c>
      <c r="E1133" s="13" t="str">
        <f t="shared" si="142"/>
        <v>01</v>
      </c>
      <c r="F1133" s="13" t="str">
        <f t="shared" si="143"/>
        <v>04</v>
      </c>
      <c r="G1133" s="13" t="s">
        <v>1119</v>
      </c>
      <c r="H1133" s="13" t="s">
        <v>3048</v>
      </c>
      <c r="I1133" s="16" t="s">
        <v>3569</v>
      </c>
      <c r="J1133" s="13"/>
      <c r="K1133" s="13"/>
      <c r="L1133" s="13"/>
      <c r="M1133" s="16"/>
    </row>
    <row r="1134" spans="1:13" ht="38.25" x14ac:dyDescent="0.25">
      <c r="A1134" s="13" t="str">
        <f t="shared" si="138"/>
        <v>1</v>
      </c>
      <c r="B1134" s="13" t="str">
        <f t="shared" si="139"/>
        <v>9</v>
      </c>
      <c r="C1134" s="13" t="str">
        <f t="shared" si="140"/>
        <v>3</v>
      </c>
      <c r="D1134" s="13" t="str">
        <f t="shared" si="141"/>
        <v>2</v>
      </c>
      <c r="E1134" s="13" t="str">
        <f t="shared" si="142"/>
        <v>01</v>
      </c>
      <c r="F1134" s="13" t="str">
        <f t="shared" si="143"/>
        <v>05</v>
      </c>
      <c r="G1134" s="13" t="s">
        <v>1120</v>
      </c>
      <c r="H1134" s="13" t="s">
        <v>3049</v>
      </c>
      <c r="I1134" s="16" t="s">
        <v>3570</v>
      </c>
      <c r="J1134" s="13"/>
      <c r="K1134" s="13"/>
      <c r="L1134" s="13"/>
      <c r="M1134" s="16"/>
    </row>
    <row r="1135" spans="1:13" ht="25.5" x14ac:dyDescent="0.25">
      <c r="A1135" s="13" t="str">
        <f t="shared" si="138"/>
        <v>1</v>
      </c>
      <c r="B1135" s="13" t="str">
        <f t="shared" si="139"/>
        <v>9</v>
      </c>
      <c r="C1135" s="13" t="str">
        <f t="shared" si="140"/>
        <v>3</v>
      </c>
      <c r="D1135" s="13" t="str">
        <f t="shared" si="141"/>
        <v>2</v>
      </c>
      <c r="E1135" s="13" t="str">
        <f t="shared" si="142"/>
        <v>01</v>
      </c>
      <c r="F1135" s="13" t="str">
        <f t="shared" si="143"/>
        <v>06</v>
      </c>
      <c r="G1135" s="13" t="s">
        <v>1121</v>
      </c>
      <c r="H1135" s="13" t="s">
        <v>3050</v>
      </c>
      <c r="I1135" s="16" t="s">
        <v>3571</v>
      </c>
      <c r="J1135" s="13"/>
      <c r="K1135" s="13"/>
      <c r="L1135" s="13"/>
      <c r="M1135" s="16"/>
    </row>
    <row r="1136" spans="1:13" ht="38.25" x14ac:dyDescent="0.25">
      <c r="A1136" s="13" t="str">
        <f t="shared" si="138"/>
        <v>1</v>
      </c>
      <c r="B1136" s="13" t="str">
        <f t="shared" si="139"/>
        <v>9</v>
      </c>
      <c r="C1136" s="13" t="str">
        <f t="shared" si="140"/>
        <v>3</v>
      </c>
      <c r="D1136" s="13" t="str">
        <f t="shared" si="141"/>
        <v>2</v>
      </c>
      <c r="E1136" s="13" t="str">
        <f t="shared" si="142"/>
        <v>01</v>
      </c>
      <c r="F1136" s="13" t="str">
        <f t="shared" si="143"/>
        <v>07</v>
      </c>
      <c r="G1136" s="13" t="s">
        <v>1122</v>
      </c>
      <c r="H1136" s="13" t="s">
        <v>3051</v>
      </c>
      <c r="I1136" s="16" t="s">
        <v>3572</v>
      </c>
      <c r="J1136" s="13"/>
      <c r="K1136" s="13"/>
      <c r="L1136" s="13"/>
      <c r="M1136" s="16"/>
    </row>
    <row r="1137" spans="1:13" ht="38.25" x14ac:dyDescent="0.25">
      <c r="A1137" s="13" t="str">
        <f t="shared" si="138"/>
        <v>1</v>
      </c>
      <c r="B1137" s="13" t="str">
        <f t="shared" si="139"/>
        <v>9</v>
      </c>
      <c r="C1137" s="13" t="str">
        <f t="shared" si="140"/>
        <v>3</v>
      </c>
      <c r="D1137" s="13" t="str">
        <f t="shared" si="141"/>
        <v>2</v>
      </c>
      <c r="E1137" s="13" t="str">
        <f t="shared" si="142"/>
        <v>01</v>
      </c>
      <c r="F1137" s="13" t="str">
        <f t="shared" si="143"/>
        <v>08</v>
      </c>
      <c r="G1137" s="13" t="s">
        <v>1123</v>
      </c>
      <c r="H1137" s="13" t="s">
        <v>3052</v>
      </c>
      <c r="I1137" s="16" t="s">
        <v>3573</v>
      </c>
      <c r="J1137" s="13"/>
      <c r="K1137" s="13"/>
      <c r="L1137" s="13"/>
      <c r="M1137" s="16"/>
    </row>
    <row r="1138" spans="1:13" ht="38.25" x14ac:dyDescent="0.25">
      <c r="A1138" s="13" t="str">
        <f t="shared" si="138"/>
        <v>1</v>
      </c>
      <c r="B1138" s="13" t="str">
        <f t="shared" si="139"/>
        <v>9</v>
      </c>
      <c r="C1138" s="13" t="str">
        <f t="shared" si="140"/>
        <v>3</v>
      </c>
      <c r="D1138" s="13" t="str">
        <f t="shared" si="141"/>
        <v>2</v>
      </c>
      <c r="E1138" s="13" t="str">
        <f t="shared" si="142"/>
        <v>01</v>
      </c>
      <c r="F1138" s="13" t="str">
        <f t="shared" si="143"/>
        <v>09</v>
      </c>
      <c r="G1138" s="13" t="s">
        <v>1124</v>
      </c>
      <c r="H1138" s="13" t="s">
        <v>3053</v>
      </c>
      <c r="I1138" s="16" t="s">
        <v>3574</v>
      </c>
      <c r="J1138" s="13"/>
      <c r="K1138" s="13"/>
      <c r="L1138" s="13"/>
      <c r="M1138" s="16"/>
    </row>
    <row r="1139" spans="1:13" ht="38.25" x14ac:dyDescent="0.25">
      <c r="A1139" s="13" t="str">
        <f t="shared" si="138"/>
        <v>1</v>
      </c>
      <c r="B1139" s="13" t="str">
        <f t="shared" si="139"/>
        <v>9</v>
      </c>
      <c r="C1139" s="13" t="str">
        <f t="shared" si="140"/>
        <v>3</v>
      </c>
      <c r="D1139" s="13" t="str">
        <f t="shared" si="141"/>
        <v>2</v>
      </c>
      <c r="E1139" s="13" t="str">
        <f t="shared" si="142"/>
        <v>01</v>
      </c>
      <c r="F1139" s="13" t="str">
        <f t="shared" si="143"/>
        <v>10</v>
      </c>
      <c r="G1139" s="13" t="s">
        <v>1125</v>
      </c>
      <c r="H1139" s="13" t="s">
        <v>3054</v>
      </c>
      <c r="I1139" s="16" t="s">
        <v>3575</v>
      </c>
      <c r="J1139" s="13"/>
      <c r="K1139" s="13"/>
      <c r="L1139" s="13"/>
      <c r="M1139" s="16"/>
    </row>
    <row r="1140" spans="1:13" ht="38.25" x14ac:dyDescent="0.25">
      <c r="A1140" s="13" t="str">
        <f t="shared" si="138"/>
        <v>1</v>
      </c>
      <c r="B1140" s="13" t="str">
        <f t="shared" si="139"/>
        <v>9</v>
      </c>
      <c r="C1140" s="13" t="str">
        <f t="shared" si="140"/>
        <v>3</v>
      </c>
      <c r="D1140" s="13" t="str">
        <f t="shared" si="141"/>
        <v>2</v>
      </c>
      <c r="E1140" s="13" t="str">
        <f t="shared" si="142"/>
        <v>01</v>
      </c>
      <c r="F1140" s="13" t="str">
        <f t="shared" si="143"/>
        <v>11</v>
      </c>
      <c r="G1140" s="13" t="s">
        <v>1126</v>
      </c>
      <c r="H1140" s="13" t="s">
        <v>3055</v>
      </c>
      <c r="I1140" s="16" t="s">
        <v>3576</v>
      </c>
      <c r="J1140" s="13"/>
      <c r="K1140" s="13"/>
      <c r="L1140" s="13"/>
      <c r="M1140" s="16"/>
    </row>
    <row r="1141" spans="1:13" ht="25.5" x14ac:dyDescent="0.25">
      <c r="A1141" s="13" t="str">
        <f t="shared" si="138"/>
        <v>1</v>
      </c>
      <c r="B1141" s="13" t="str">
        <f t="shared" si="139"/>
        <v>9</v>
      </c>
      <c r="C1141" s="13" t="str">
        <f t="shared" si="140"/>
        <v>3</v>
      </c>
      <c r="D1141" s="13" t="str">
        <f t="shared" si="141"/>
        <v>2</v>
      </c>
      <c r="E1141" s="13" t="str">
        <f t="shared" si="142"/>
        <v>01</v>
      </c>
      <c r="F1141" s="13" t="str">
        <f t="shared" si="143"/>
        <v>12</v>
      </c>
      <c r="G1141" s="13" t="s">
        <v>1127</v>
      </c>
      <c r="H1141" s="13" t="s">
        <v>3056</v>
      </c>
      <c r="I1141" s="16" t="s">
        <v>3577</v>
      </c>
      <c r="J1141" s="13"/>
      <c r="K1141" s="13"/>
      <c r="L1141" s="13"/>
      <c r="M1141" s="16"/>
    </row>
    <row r="1142" spans="1:13" ht="25.5" x14ac:dyDescent="0.25">
      <c r="A1142" s="13" t="str">
        <f t="shared" si="138"/>
        <v>1</v>
      </c>
      <c r="B1142" s="13" t="str">
        <f t="shared" si="139"/>
        <v>9</v>
      </c>
      <c r="C1142" s="13" t="str">
        <f t="shared" si="140"/>
        <v>3</v>
      </c>
      <c r="D1142" s="13" t="str">
        <f t="shared" si="141"/>
        <v>2</v>
      </c>
      <c r="E1142" s="13" t="str">
        <f t="shared" si="142"/>
        <v>01</v>
      </c>
      <c r="F1142" s="13" t="str">
        <f t="shared" si="143"/>
        <v>13</v>
      </c>
      <c r="G1142" s="13" t="s">
        <v>1128</v>
      </c>
      <c r="H1142" s="13" t="s">
        <v>3057</v>
      </c>
      <c r="I1142" s="16" t="s">
        <v>3578</v>
      </c>
      <c r="J1142" s="13"/>
      <c r="K1142" s="13"/>
      <c r="L1142" s="13"/>
      <c r="M1142" s="16"/>
    </row>
    <row r="1143" spans="1:13" ht="38.25" x14ac:dyDescent="0.25">
      <c r="A1143" s="13" t="str">
        <f t="shared" si="138"/>
        <v>1</v>
      </c>
      <c r="B1143" s="13" t="str">
        <f t="shared" si="139"/>
        <v>9</v>
      </c>
      <c r="C1143" s="13" t="str">
        <f t="shared" si="140"/>
        <v>3</v>
      </c>
      <c r="D1143" s="13" t="str">
        <f t="shared" si="141"/>
        <v>2</v>
      </c>
      <c r="E1143" s="13" t="str">
        <f t="shared" si="142"/>
        <v>01</v>
      </c>
      <c r="F1143" s="13" t="str">
        <f t="shared" si="143"/>
        <v>14</v>
      </c>
      <c r="G1143" s="13" t="s">
        <v>1129</v>
      </c>
      <c r="H1143" s="13" t="s">
        <v>3058</v>
      </c>
      <c r="I1143" s="16" t="s">
        <v>3579</v>
      </c>
      <c r="J1143" s="13"/>
      <c r="K1143" s="13"/>
      <c r="L1143" s="13"/>
      <c r="M1143" s="16"/>
    </row>
    <row r="1144" spans="1:13" ht="38.25" x14ac:dyDescent="0.25">
      <c r="A1144" s="13" t="str">
        <f t="shared" si="138"/>
        <v>1</v>
      </c>
      <c r="B1144" s="13" t="str">
        <f t="shared" si="139"/>
        <v>9</v>
      </c>
      <c r="C1144" s="13" t="str">
        <f t="shared" si="140"/>
        <v>3</v>
      </c>
      <c r="D1144" s="13" t="str">
        <f t="shared" si="141"/>
        <v>2</v>
      </c>
      <c r="E1144" s="13" t="str">
        <f t="shared" si="142"/>
        <v>01</v>
      </c>
      <c r="F1144" s="13" t="str">
        <f t="shared" si="143"/>
        <v>15</v>
      </c>
      <c r="G1144" s="13" t="s">
        <v>1130</v>
      </c>
      <c r="H1144" s="13" t="s">
        <v>3059</v>
      </c>
      <c r="I1144" s="16" t="s">
        <v>3580</v>
      </c>
      <c r="J1144" s="13"/>
      <c r="K1144" s="13"/>
      <c r="L1144" s="13"/>
      <c r="M1144" s="16"/>
    </row>
    <row r="1145" spans="1:13" ht="25.5" x14ac:dyDescent="0.25">
      <c r="A1145" s="13" t="str">
        <f t="shared" si="138"/>
        <v>1</v>
      </c>
      <c r="B1145" s="13" t="str">
        <f t="shared" si="139"/>
        <v>9</v>
      </c>
      <c r="C1145" s="13" t="str">
        <f t="shared" si="140"/>
        <v>3</v>
      </c>
      <c r="D1145" s="13" t="str">
        <f t="shared" si="141"/>
        <v>2</v>
      </c>
      <c r="E1145" s="13" t="str">
        <f t="shared" si="142"/>
        <v>01</v>
      </c>
      <c r="F1145" s="13" t="str">
        <f t="shared" si="143"/>
        <v>16</v>
      </c>
      <c r="G1145" s="13" t="s">
        <v>1131</v>
      </c>
      <c r="H1145" s="13" t="s">
        <v>3060</v>
      </c>
      <c r="I1145" s="16" t="s">
        <v>3581</v>
      </c>
      <c r="J1145" s="13"/>
      <c r="K1145" s="13"/>
      <c r="L1145" s="13"/>
      <c r="M1145" s="16"/>
    </row>
    <row r="1146" spans="1:13" ht="38.25" x14ac:dyDescent="0.25">
      <c r="A1146" s="13" t="str">
        <f t="shared" si="138"/>
        <v>1</v>
      </c>
      <c r="B1146" s="13" t="str">
        <f t="shared" si="139"/>
        <v>9</v>
      </c>
      <c r="C1146" s="13" t="str">
        <f t="shared" si="140"/>
        <v>3</v>
      </c>
      <c r="D1146" s="13" t="str">
        <f t="shared" si="141"/>
        <v>2</v>
      </c>
      <c r="E1146" s="13" t="str">
        <f t="shared" si="142"/>
        <v>01</v>
      </c>
      <c r="F1146" s="13" t="str">
        <f t="shared" si="143"/>
        <v>17</v>
      </c>
      <c r="G1146" s="13" t="s">
        <v>1132</v>
      </c>
      <c r="H1146" s="13" t="s">
        <v>3061</v>
      </c>
      <c r="I1146" s="16" t="s">
        <v>3582</v>
      </c>
      <c r="J1146" s="13"/>
      <c r="K1146" s="13"/>
      <c r="L1146" s="13"/>
      <c r="M1146" s="16"/>
    </row>
    <row r="1147" spans="1:13" ht="38.25" x14ac:dyDescent="0.25">
      <c r="A1147" s="13" t="str">
        <f t="shared" si="138"/>
        <v>1</v>
      </c>
      <c r="B1147" s="13" t="str">
        <f t="shared" si="139"/>
        <v>9</v>
      </c>
      <c r="C1147" s="13" t="str">
        <f t="shared" si="140"/>
        <v>3</v>
      </c>
      <c r="D1147" s="13" t="str">
        <f t="shared" si="141"/>
        <v>2</v>
      </c>
      <c r="E1147" s="13" t="str">
        <f t="shared" si="142"/>
        <v>01</v>
      </c>
      <c r="F1147" s="13" t="str">
        <f t="shared" si="143"/>
        <v>18</v>
      </c>
      <c r="G1147" s="13" t="s">
        <v>1133</v>
      </c>
      <c r="H1147" s="13" t="s">
        <v>3062</v>
      </c>
      <c r="I1147" s="16" t="s">
        <v>3583</v>
      </c>
      <c r="J1147" s="13"/>
      <c r="K1147" s="13"/>
      <c r="L1147" s="13"/>
      <c r="M1147" s="16"/>
    </row>
    <row r="1148" spans="1:13" ht="38.25" x14ac:dyDescent="0.25">
      <c r="A1148" s="13" t="str">
        <f t="shared" si="138"/>
        <v>1</v>
      </c>
      <c r="B1148" s="13" t="str">
        <f t="shared" si="139"/>
        <v>9</v>
      </c>
      <c r="C1148" s="13" t="str">
        <f t="shared" si="140"/>
        <v>3</v>
      </c>
      <c r="D1148" s="13" t="str">
        <f t="shared" si="141"/>
        <v>2</v>
      </c>
      <c r="E1148" s="13" t="str">
        <f t="shared" si="142"/>
        <v>01</v>
      </c>
      <c r="F1148" s="13" t="str">
        <f t="shared" si="143"/>
        <v>19</v>
      </c>
      <c r="G1148" s="13" t="s">
        <v>1134</v>
      </c>
      <c r="H1148" s="13" t="s">
        <v>3063</v>
      </c>
      <c r="I1148" s="16" t="s">
        <v>3584</v>
      </c>
      <c r="J1148" s="13"/>
      <c r="K1148" s="13"/>
      <c r="L1148" s="13"/>
      <c r="M1148" s="16"/>
    </row>
    <row r="1149" spans="1:13" ht="25.5" x14ac:dyDescent="0.25">
      <c r="A1149" s="13" t="str">
        <f t="shared" si="138"/>
        <v>1</v>
      </c>
      <c r="B1149" s="13" t="str">
        <f t="shared" si="139"/>
        <v>9</v>
      </c>
      <c r="C1149" s="13" t="str">
        <f t="shared" si="140"/>
        <v>3</v>
      </c>
      <c r="D1149" s="13" t="str">
        <f t="shared" si="141"/>
        <v>2</v>
      </c>
      <c r="E1149" s="13" t="str">
        <f t="shared" si="142"/>
        <v>01</v>
      </c>
      <c r="F1149" s="13" t="str">
        <f t="shared" si="143"/>
        <v>20</v>
      </c>
      <c r="G1149" s="13" t="s">
        <v>1135</v>
      </c>
      <c r="H1149" s="13" t="s">
        <v>3064</v>
      </c>
      <c r="I1149" s="16" t="s">
        <v>3585</v>
      </c>
      <c r="J1149" s="13"/>
      <c r="K1149" s="13"/>
      <c r="L1149" s="13"/>
      <c r="M1149" s="16"/>
    </row>
    <row r="1150" spans="1:13" ht="38.25" x14ac:dyDescent="0.25">
      <c r="A1150" s="13" t="str">
        <f t="shared" si="138"/>
        <v>1</v>
      </c>
      <c r="B1150" s="13" t="str">
        <f t="shared" si="139"/>
        <v>9</v>
      </c>
      <c r="C1150" s="13" t="str">
        <f t="shared" si="140"/>
        <v>3</v>
      </c>
      <c r="D1150" s="13" t="str">
        <f t="shared" si="141"/>
        <v>2</v>
      </c>
      <c r="E1150" s="13" t="str">
        <f t="shared" si="142"/>
        <v>01</v>
      </c>
      <c r="F1150" s="13" t="str">
        <f t="shared" si="143"/>
        <v>21</v>
      </c>
      <c r="G1150" s="13" t="s">
        <v>1136</v>
      </c>
      <c r="H1150" s="13" t="s">
        <v>3065</v>
      </c>
      <c r="I1150" s="16" t="s">
        <v>3586</v>
      </c>
      <c r="J1150" s="13"/>
      <c r="K1150" s="13"/>
      <c r="L1150" s="13"/>
      <c r="M1150" s="16"/>
    </row>
    <row r="1151" spans="1:13" ht="25.5" x14ac:dyDescent="0.25">
      <c r="A1151" s="13" t="str">
        <f t="shared" si="138"/>
        <v>1</v>
      </c>
      <c r="B1151" s="13" t="str">
        <f t="shared" si="139"/>
        <v>9</v>
      </c>
      <c r="C1151" s="13" t="str">
        <f t="shared" si="140"/>
        <v>3</v>
      </c>
      <c r="D1151" s="13" t="str">
        <f t="shared" si="141"/>
        <v>2</v>
      </c>
      <c r="E1151" s="13" t="str">
        <f t="shared" si="142"/>
        <v>01</v>
      </c>
      <c r="F1151" s="13" t="str">
        <f t="shared" si="143"/>
        <v>22</v>
      </c>
      <c r="G1151" s="13" t="s">
        <v>1137</v>
      </c>
      <c r="H1151" s="13" t="s">
        <v>3066</v>
      </c>
      <c r="I1151" s="16" t="s">
        <v>3587</v>
      </c>
      <c r="J1151" s="13"/>
      <c r="K1151" s="13"/>
      <c r="L1151" s="13"/>
      <c r="M1151" s="16"/>
    </row>
    <row r="1152" spans="1:13" ht="89.25" x14ac:dyDescent="0.25">
      <c r="A1152" s="13" t="str">
        <f t="shared" si="138"/>
        <v>1</v>
      </c>
      <c r="B1152" s="13" t="str">
        <f t="shared" si="139"/>
        <v>9</v>
      </c>
      <c r="C1152" s="13" t="str">
        <f t="shared" si="140"/>
        <v>3</v>
      </c>
      <c r="D1152" s="13" t="str">
        <f t="shared" si="141"/>
        <v>2</v>
      </c>
      <c r="E1152" s="13" t="str">
        <f t="shared" si="142"/>
        <v>01</v>
      </c>
      <c r="F1152" s="13" t="str">
        <f t="shared" si="143"/>
        <v>24</v>
      </c>
      <c r="G1152" s="13" t="s">
        <v>1138</v>
      </c>
      <c r="H1152" s="13" t="s">
        <v>3067</v>
      </c>
      <c r="I1152" s="16" t="s">
        <v>3588</v>
      </c>
      <c r="J1152" s="13"/>
      <c r="K1152" s="13"/>
      <c r="L1152" s="13"/>
      <c r="M1152" s="16"/>
    </row>
    <row r="1153" spans="1:13" ht="25.5" x14ac:dyDescent="0.25">
      <c r="A1153" s="13" t="str">
        <f t="shared" si="138"/>
        <v>1</v>
      </c>
      <c r="B1153" s="13" t="str">
        <f t="shared" si="139"/>
        <v>9</v>
      </c>
      <c r="C1153" s="13" t="str">
        <f t="shared" si="140"/>
        <v>3</v>
      </c>
      <c r="D1153" s="13" t="str">
        <f t="shared" si="141"/>
        <v>2</v>
      </c>
      <c r="E1153" s="13" t="str">
        <f t="shared" si="142"/>
        <v>01</v>
      </c>
      <c r="F1153" s="13" t="str">
        <f t="shared" si="143"/>
        <v>99</v>
      </c>
      <c r="G1153" s="13" t="s">
        <v>1139</v>
      </c>
      <c r="H1153" s="13" t="s">
        <v>3068</v>
      </c>
      <c r="I1153" s="16" t="s">
        <v>3589</v>
      </c>
      <c r="J1153" s="13"/>
      <c r="K1153" s="13"/>
      <c r="L1153" s="13"/>
      <c r="M1153" s="16"/>
    </row>
    <row r="1154" spans="1:13" ht="38.25" x14ac:dyDescent="0.25">
      <c r="A1154" s="21" t="str">
        <f t="shared" si="138"/>
        <v>1</v>
      </c>
      <c r="B1154" s="21" t="str">
        <f t="shared" si="139"/>
        <v>9</v>
      </c>
      <c r="C1154" s="21" t="str">
        <f t="shared" si="140"/>
        <v>3</v>
      </c>
      <c r="D1154" s="21" t="str">
        <f t="shared" si="141"/>
        <v>2</v>
      </c>
      <c r="E1154" s="21" t="str">
        <f t="shared" si="142"/>
        <v>02</v>
      </c>
      <c r="F1154" s="21" t="str">
        <f t="shared" si="143"/>
        <v>00</v>
      </c>
      <c r="G1154" s="21" t="s">
        <v>1140</v>
      </c>
      <c r="H1154" s="21" t="s">
        <v>3069</v>
      </c>
      <c r="I1154" s="22" t="s">
        <v>3590</v>
      </c>
      <c r="J1154" s="21"/>
      <c r="K1154" s="21"/>
      <c r="L1154" s="21"/>
      <c r="M1154" s="21"/>
    </row>
    <row r="1155" spans="1:13" ht="38.25" x14ac:dyDescent="0.25">
      <c r="A1155" s="13" t="str">
        <f t="shared" si="138"/>
        <v>1</v>
      </c>
      <c r="B1155" s="13" t="str">
        <f t="shared" si="139"/>
        <v>9</v>
      </c>
      <c r="C1155" s="13" t="str">
        <f t="shared" si="140"/>
        <v>3</v>
      </c>
      <c r="D1155" s="13" t="str">
        <f t="shared" si="141"/>
        <v>2</v>
      </c>
      <c r="E1155" s="13" t="str">
        <f t="shared" si="142"/>
        <v>02</v>
      </c>
      <c r="F1155" s="13" t="str">
        <f t="shared" si="143"/>
        <v>01</v>
      </c>
      <c r="G1155" s="13" t="s">
        <v>1141</v>
      </c>
      <c r="H1155" s="13" t="s">
        <v>3070</v>
      </c>
      <c r="I1155" s="16" t="s">
        <v>3591</v>
      </c>
      <c r="J1155" s="13"/>
      <c r="K1155" s="13"/>
      <c r="L1155" s="13"/>
      <c r="M1155" s="16"/>
    </row>
    <row r="1156" spans="1:13" ht="38.25" x14ac:dyDescent="0.25">
      <c r="A1156" s="13" t="str">
        <f t="shared" si="138"/>
        <v>1</v>
      </c>
      <c r="B1156" s="13" t="str">
        <f t="shared" si="139"/>
        <v>9</v>
      </c>
      <c r="C1156" s="13" t="str">
        <f t="shared" si="140"/>
        <v>3</v>
      </c>
      <c r="D1156" s="13" t="str">
        <f t="shared" si="141"/>
        <v>2</v>
      </c>
      <c r="E1156" s="13" t="str">
        <f t="shared" si="142"/>
        <v>02</v>
      </c>
      <c r="F1156" s="13" t="str">
        <f t="shared" si="143"/>
        <v>02</v>
      </c>
      <c r="G1156" s="13" t="s">
        <v>1142</v>
      </c>
      <c r="H1156" s="13" t="s">
        <v>3071</v>
      </c>
      <c r="I1156" s="16" t="s">
        <v>3592</v>
      </c>
      <c r="J1156" s="13"/>
      <c r="K1156" s="13"/>
      <c r="L1156" s="13"/>
      <c r="M1156" s="16"/>
    </row>
    <row r="1157" spans="1:13" ht="25.5" x14ac:dyDescent="0.25">
      <c r="A1157" s="21" t="str">
        <f t="shared" si="138"/>
        <v>1</v>
      </c>
      <c r="B1157" s="21" t="str">
        <f t="shared" si="139"/>
        <v>9</v>
      </c>
      <c r="C1157" s="21" t="str">
        <f t="shared" si="140"/>
        <v>3</v>
      </c>
      <c r="D1157" s="21" t="str">
        <f t="shared" si="141"/>
        <v>2</v>
      </c>
      <c r="E1157" s="21" t="str">
        <f t="shared" si="142"/>
        <v>03</v>
      </c>
      <c r="F1157" s="21" t="str">
        <f t="shared" si="143"/>
        <v>00</v>
      </c>
      <c r="G1157" s="21" t="s">
        <v>1143</v>
      </c>
      <c r="H1157" s="21" t="s">
        <v>3072</v>
      </c>
      <c r="I1157" s="22" t="s">
        <v>3593</v>
      </c>
      <c r="J1157" s="21"/>
      <c r="K1157" s="21"/>
      <c r="L1157" s="21"/>
      <c r="M1157" s="21"/>
    </row>
    <row r="1158" spans="1:13" ht="51" x14ac:dyDescent="0.25">
      <c r="A1158" s="21" t="str">
        <f t="shared" si="138"/>
        <v>1</v>
      </c>
      <c r="B1158" s="21" t="str">
        <f t="shared" si="139"/>
        <v>9</v>
      </c>
      <c r="C1158" s="21" t="str">
        <f t="shared" si="140"/>
        <v>3</v>
      </c>
      <c r="D1158" s="21" t="str">
        <f t="shared" si="141"/>
        <v>2</v>
      </c>
      <c r="E1158" s="21" t="str">
        <f t="shared" si="142"/>
        <v>04</v>
      </c>
      <c r="F1158" s="21" t="str">
        <f t="shared" si="143"/>
        <v>00</v>
      </c>
      <c r="G1158" s="21" t="s">
        <v>1144</v>
      </c>
      <c r="H1158" s="21" t="s">
        <v>3073</v>
      </c>
      <c r="I1158" s="22" t="s">
        <v>3594</v>
      </c>
      <c r="J1158" s="21"/>
      <c r="K1158" s="21"/>
      <c r="L1158" s="21"/>
      <c r="M1158" s="21"/>
    </row>
    <row r="1159" spans="1:13" ht="51" x14ac:dyDescent="0.25">
      <c r="A1159" s="13" t="str">
        <f t="shared" si="138"/>
        <v>1</v>
      </c>
      <c r="B1159" s="13" t="str">
        <f t="shared" si="139"/>
        <v>9</v>
      </c>
      <c r="C1159" s="13" t="str">
        <f t="shared" si="140"/>
        <v>3</v>
      </c>
      <c r="D1159" s="13" t="str">
        <f t="shared" si="141"/>
        <v>2</v>
      </c>
      <c r="E1159" s="13" t="str">
        <f t="shared" si="142"/>
        <v>04</v>
      </c>
      <c r="F1159" s="13" t="str">
        <f t="shared" si="143"/>
        <v>01</v>
      </c>
      <c r="G1159" s="13" t="s">
        <v>1145</v>
      </c>
      <c r="H1159" s="13" t="s">
        <v>3074</v>
      </c>
      <c r="I1159" s="16" t="s">
        <v>3595</v>
      </c>
      <c r="J1159" s="13"/>
      <c r="K1159" s="13"/>
      <c r="L1159" s="13"/>
      <c r="M1159" s="16"/>
    </row>
    <row r="1160" spans="1:13" ht="51" x14ac:dyDescent="0.25">
      <c r="A1160" s="13" t="str">
        <f t="shared" si="138"/>
        <v>1</v>
      </c>
      <c r="B1160" s="13" t="str">
        <f t="shared" si="139"/>
        <v>9</v>
      </c>
      <c r="C1160" s="13" t="str">
        <f t="shared" si="140"/>
        <v>3</v>
      </c>
      <c r="D1160" s="13" t="str">
        <f t="shared" si="141"/>
        <v>2</v>
      </c>
      <c r="E1160" s="13" t="str">
        <f t="shared" si="142"/>
        <v>04</v>
      </c>
      <c r="F1160" s="13" t="str">
        <f t="shared" si="143"/>
        <v>02</v>
      </c>
      <c r="G1160" s="13" t="s">
        <v>1146</v>
      </c>
      <c r="H1160" s="13" t="s">
        <v>3075</v>
      </c>
      <c r="I1160" s="16" t="s">
        <v>3596</v>
      </c>
      <c r="J1160" s="13"/>
      <c r="K1160" s="13"/>
      <c r="L1160" s="13"/>
      <c r="M1160" s="16"/>
    </row>
    <row r="1161" spans="1:13" ht="25.5" x14ac:dyDescent="0.25">
      <c r="A1161" s="21" t="str">
        <f t="shared" ref="A1161:A1224" si="144">MID(G1161,1,1)</f>
        <v>1</v>
      </c>
      <c r="B1161" s="21" t="str">
        <f t="shared" ref="B1161:B1224" si="145">MID(G1161,2,1)</f>
        <v>9</v>
      </c>
      <c r="C1161" s="21" t="str">
        <f t="shared" ref="C1161:C1224" si="146">MID(G1161,3,1)</f>
        <v>3</v>
      </c>
      <c r="D1161" s="21" t="str">
        <f t="shared" ref="D1161:D1224" si="147">MID(G1161,4,1)</f>
        <v>2</v>
      </c>
      <c r="E1161" s="21" t="str">
        <f t="shared" ref="E1161:E1224" si="148">MID(G1161,6,2)</f>
        <v>05</v>
      </c>
      <c r="F1161" s="21" t="str">
        <f t="shared" ref="F1161:F1224" si="149">MID(G1161,9,2)</f>
        <v>00</v>
      </c>
      <c r="G1161" s="21" t="s">
        <v>1147</v>
      </c>
      <c r="H1161" s="21" t="s">
        <v>3076</v>
      </c>
      <c r="I1161" s="22" t="s">
        <v>3597</v>
      </c>
      <c r="J1161" s="21"/>
      <c r="K1161" s="21"/>
      <c r="L1161" s="21"/>
      <c r="M1161" s="21"/>
    </row>
    <row r="1162" spans="1:13" ht="25.5" x14ac:dyDescent="0.25">
      <c r="A1162" s="13" t="str">
        <f t="shared" si="144"/>
        <v>1</v>
      </c>
      <c r="B1162" s="13" t="str">
        <f t="shared" si="145"/>
        <v>9</v>
      </c>
      <c r="C1162" s="13" t="str">
        <f t="shared" si="146"/>
        <v>3</v>
      </c>
      <c r="D1162" s="13" t="str">
        <f t="shared" si="147"/>
        <v>2</v>
      </c>
      <c r="E1162" s="13" t="str">
        <f t="shared" si="148"/>
        <v>05</v>
      </c>
      <c r="F1162" s="13" t="str">
        <f t="shared" si="149"/>
        <v>01</v>
      </c>
      <c r="G1162" s="13" t="s">
        <v>1148</v>
      </c>
      <c r="H1162" s="13" t="s">
        <v>3077</v>
      </c>
      <c r="I1162" s="16" t="s">
        <v>3598</v>
      </c>
      <c r="J1162" s="13"/>
      <c r="K1162" s="13"/>
      <c r="L1162" s="13"/>
      <c r="M1162" s="16"/>
    </row>
    <row r="1163" spans="1:13" ht="25.5" x14ac:dyDescent="0.25">
      <c r="A1163" s="13" t="str">
        <f t="shared" si="144"/>
        <v>1</v>
      </c>
      <c r="B1163" s="13" t="str">
        <f t="shared" si="145"/>
        <v>9</v>
      </c>
      <c r="C1163" s="13" t="str">
        <f t="shared" si="146"/>
        <v>3</v>
      </c>
      <c r="D1163" s="13" t="str">
        <f t="shared" si="147"/>
        <v>2</v>
      </c>
      <c r="E1163" s="13" t="str">
        <f t="shared" si="148"/>
        <v>05</v>
      </c>
      <c r="F1163" s="13" t="str">
        <f t="shared" si="149"/>
        <v>02</v>
      </c>
      <c r="G1163" s="13" t="s">
        <v>1149</v>
      </c>
      <c r="H1163" s="13" t="s">
        <v>3078</v>
      </c>
      <c r="I1163" s="16" t="s">
        <v>3599</v>
      </c>
      <c r="J1163" s="13"/>
      <c r="K1163" s="13"/>
      <c r="L1163" s="13"/>
      <c r="M1163" s="16"/>
    </row>
    <row r="1164" spans="1:13" ht="38.25" x14ac:dyDescent="0.25">
      <c r="A1164" s="21" t="str">
        <f t="shared" si="144"/>
        <v>1</v>
      </c>
      <c r="B1164" s="21" t="str">
        <f t="shared" si="145"/>
        <v>9</v>
      </c>
      <c r="C1164" s="21" t="str">
        <f t="shared" si="146"/>
        <v>3</v>
      </c>
      <c r="D1164" s="21" t="str">
        <f t="shared" si="147"/>
        <v>2</v>
      </c>
      <c r="E1164" s="21" t="str">
        <f t="shared" si="148"/>
        <v>06</v>
      </c>
      <c r="F1164" s="21" t="str">
        <f t="shared" si="149"/>
        <v>00</v>
      </c>
      <c r="G1164" s="21" t="s">
        <v>1150</v>
      </c>
      <c r="H1164" s="21" t="s">
        <v>3079</v>
      </c>
      <c r="I1164" s="22" t="s">
        <v>3600</v>
      </c>
      <c r="J1164" s="21"/>
      <c r="K1164" s="21"/>
      <c r="L1164" s="21"/>
      <c r="M1164" s="21"/>
    </row>
    <row r="1165" spans="1:13" ht="38.25" x14ac:dyDescent="0.25">
      <c r="A1165" s="13" t="str">
        <f t="shared" si="144"/>
        <v>1</v>
      </c>
      <c r="B1165" s="13" t="str">
        <f t="shared" si="145"/>
        <v>9</v>
      </c>
      <c r="C1165" s="13" t="str">
        <f t="shared" si="146"/>
        <v>3</v>
      </c>
      <c r="D1165" s="13" t="str">
        <f t="shared" si="147"/>
        <v>2</v>
      </c>
      <c r="E1165" s="13" t="str">
        <f t="shared" si="148"/>
        <v>06</v>
      </c>
      <c r="F1165" s="13" t="str">
        <f t="shared" si="149"/>
        <v>01</v>
      </c>
      <c r="G1165" s="13" t="s">
        <v>1151</v>
      </c>
      <c r="H1165" s="13" t="s">
        <v>3080</v>
      </c>
      <c r="I1165" s="16" t="s">
        <v>3601</v>
      </c>
      <c r="J1165" s="13"/>
      <c r="K1165" s="13"/>
      <c r="L1165" s="13"/>
      <c r="M1165" s="16"/>
    </row>
    <row r="1166" spans="1:13" ht="38.25" x14ac:dyDescent="0.25">
      <c r="A1166" s="13" t="str">
        <f t="shared" si="144"/>
        <v>1</v>
      </c>
      <c r="B1166" s="13" t="str">
        <f t="shared" si="145"/>
        <v>9</v>
      </c>
      <c r="C1166" s="13" t="str">
        <f t="shared" si="146"/>
        <v>3</v>
      </c>
      <c r="D1166" s="13" t="str">
        <f t="shared" si="147"/>
        <v>2</v>
      </c>
      <c r="E1166" s="13" t="str">
        <f t="shared" si="148"/>
        <v>06</v>
      </c>
      <c r="F1166" s="13" t="str">
        <f t="shared" si="149"/>
        <v>02</v>
      </c>
      <c r="G1166" s="13" t="s">
        <v>1152</v>
      </c>
      <c r="H1166" s="13" t="s">
        <v>3081</v>
      </c>
      <c r="I1166" s="16" t="s">
        <v>3602</v>
      </c>
      <c r="J1166" s="13"/>
      <c r="K1166" s="13"/>
      <c r="L1166" s="13"/>
      <c r="M1166" s="16"/>
    </row>
    <row r="1167" spans="1:13" ht="25.5" x14ac:dyDescent="0.25">
      <c r="A1167" s="21" t="str">
        <f t="shared" si="144"/>
        <v>1</v>
      </c>
      <c r="B1167" s="21" t="str">
        <f t="shared" si="145"/>
        <v>9</v>
      </c>
      <c r="C1167" s="21" t="str">
        <f t="shared" si="146"/>
        <v>3</v>
      </c>
      <c r="D1167" s="21" t="str">
        <f t="shared" si="147"/>
        <v>2</v>
      </c>
      <c r="E1167" s="21" t="str">
        <f t="shared" si="148"/>
        <v>07</v>
      </c>
      <c r="F1167" s="21" t="str">
        <f t="shared" si="149"/>
        <v>00</v>
      </c>
      <c r="G1167" s="21" t="s">
        <v>1153</v>
      </c>
      <c r="H1167" s="21" t="s">
        <v>3082</v>
      </c>
      <c r="I1167" s="22" t="s">
        <v>3603</v>
      </c>
      <c r="J1167" s="21"/>
      <c r="K1167" s="21"/>
      <c r="L1167" s="21"/>
      <c r="M1167" s="21"/>
    </row>
    <row r="1168" spans="1:13" ht="25.5" x14ac:dyDescent="0.25">
      <c r="A1168" s="13" t="str">
        <f t="shared" si="144"/>
        <v>1</v>
      </c>
      <c r="B1168" s="13" t="str">
        <f t="shared" si="145"/>
        <v>9</v>
      </c>
      <c r="C1168" s="13" t="str">
        <f t="shared" si="146"/>
        <v>3</v>
      </c>
      <c r="D1168" s="13" t="str">
        <f t="shared" si="147"/>
        <v>2</v>
      </c>
      <c r="E1168" s="13" t="str">
        <f t="shared" si="148"/>
        <v>07</v>
      </c>
      <c r="F1168" s="13" t="str">
        <f t="shared" si="149"/>
        <v>01</v>
      </c>
      <c r="G1168" s="13" t="s">
        <v>1154</v>
      </c>
      <c r="H1168" s="13" t="s">
        <v>3083</v>
      </c>
      <c r="I1168" s="16" t="s">
        <v>3604</v>
      </c>
      <c r="J1168" s="13"/>
      <c r="K1168" s="13" t="s">
        <v>4018</v>
      </c>
      <c r="L1168" s="13" t="s">
        <v>4204</v>
      </c>
      <c r="M1168" s="16"/>
    </row>
    <row r="1169" spans="1:13" ht="25.5" x14ac:dyDescent="0.25">
      <c r="A1169" s="13" t="str">
        <f t="shared" si="144"/>
        <v>1</v>
      </c>
      <c r="B1169" s="13" t="str">
        <f t="shared" si="145"/>
        <v>9</v>
      </c>
      <c r="C1169" s="13" t="str">
        <f t="shared" si="146"/>
        <v>3</v>
      </c>
      <c r="D1169" s="13" t="str">
        <f t="shared" si="147"/>
        <v>2</v>
      </c>
      <c r="E1169" s="13" t="str">
        <f t="shared" si="148"/>
        <v>07</v>
      </c>
      <c r="F1169" s="13" t="str">
        <f t="shared" si="149"/>
        <v>02</v>
      </c>
      <c r="G1169" s="13" t="s">
        <v>1155</v>
      </c>
      <c r="H1169" s="13" t="s">
        <v>3084</v>
      </c>
      <c r="I1169" s="16" t="s">
        <v>3605</v>
      </c>
      <c r="J1169" s="13"/>
      <c r="K1169" s="13" t="s">
        <v>4018</v>
      </c>
      <c r="L1169" s="13" t="s">
        <v>4204</v>
      </c>
      <c r="M1169" s="16"/>
    </row>
    <row r="1170" spans="1:13" ht="38.25" x14ac:dyDescent="0.25">
      <c r="A1170" s="13" t="str">
        <f t="shared" si="144"/>
        <v>1</v>
      </c>
      <c r="B1170" s="13" t="str">
        <f t="shared" si="145"/>
        <v>9</v>
      </c>
      <c r="C1170" s="13" t="str">
        <f t="shared" si="146"/>
        <v>3</v>
      </c>
      <c r="D1170" s="13" t="str">
        <f t="shared" si="147"/>
        <v>2</v>
      </c>
      <c r="E1170" s="13" t="str">
        <f t="shared" si="148"/>
        <v>07</v>
      </c>
      <c r="F1170" s="13" t="str">
        <f t="shared" si="149"/>
        <v>03</v>
      </c>
      <c r="G1170" s="13" t="s">
        <v>1156</v>
      </c>
      <c r="H1170" s="13" t="s">
        <v>3085</v>
      </c>
      <c r="I1170" s="16" t="s">
        <v>3606</v>
      </c>
      <c r="J1170" s="13"/>
      <c r="K1170" s="13" t="s">
        <v>4018</v>
      </c>
      <c r="L1170" s="13" t="s">
        <v>4204</v>
      </c>
      <c r="M1170" s="16"/>
    </row>
    <row r="1171" spans="1:13" ht="25.5" x14ac:dyDescent="0.25">
      <c r="A1171" s="13" t="str">
        <f t="shared" si="144"/>
        <v>1</v>
      </c>
      <c r="B1171" s="13" t="str">
        <f t="shared" si="145"/>
        <v>9</v>
      </c>
      <c r="C1171" s="13" t="str">
        <f t="shared" si="146"/>
        <v>3</v>
      </c>
      <c r="D1171" s="13" t="str">
        <f t="shared" si="147"/>
        <v>2</v>
      </c>
      <c r="E1171" s="13" t="str">
        <f t="shared" si="148"/>
        <v>07</v>
      </c>
      <c r="F1171" s="13" t="str">
        <f t="shared" si="149"/>
        <v>04</v>
      </c>
      <c r="G1171" s="13" t="s">
        <v>1157</v>
      </c>
      <c r="H1171" s="13" t="s">
        <v>3086</v>
      </c>
      <c r="I1171" s="16" t="s">
        <v>3607</v>
      </c>
      <c r="J1171" s="13"/>
      <c r="K1171" s="13" t="s">
        <v>4018</v>
      </c>
      <c r="L1171" s="13" t="s">
        <v>4204</v>
      </c>
      <c r="M1171" s="16"/>
    </row>
    <row r="1172" spans="1:13" ht="25.5" x14ac:dyDescent="0.25">
      <c r="A1172" s="13" t="str">
        <f t="shared" si="144"/>
        <v>1</v>
      </c>
      <c r="B1172" s="13" t="str">
        <f t="shared" si="145"/>
        <v>9</v>
      </c>
      <c r="C1172" s="13" t="str">
        <f t="shared" si="146"/>
        <v>3</v>
      </c>
      <c r="D1172" s="13" t="str">
        <f t="shared" si="147"/>
        <v>2</v>
      </c>
      <c r="E1172" s="13" t="str">
        <f t="shared" si="148"/>
        <v>07</v>
      </c>
      <c r="F1172" s="13" t="str">
        <f t="shared" si="149"/>
        <v>05</v>
      </c>
      <c r="G1172" s="13" t="s">
        <v>1158</v>
      </c>
      <c r="H1172" s="13" t="s">
        <v>3087</v>
      </c>
      <c r="I1172" s="16" t="s">
        <v>3608</v>
      </c>
      <c r="J1172" s="13"/>
      <c r="K1172" s="13" t="s">
        <v>4018</v>
      </c>
      <c r="L1172" s="13" t="s">
        <v>4204</v>
      </c>
      <c r="M1172" s="16"/>
    </row>
    <row r="1173" spans="1:13" ht="25.5" x14ac:dyDescent="0.25">
      <c r="A1173" s="13" t="str">
        <f t="shared" si="144"/>
        <v>1</v>
      </c>
      <c r="B1173" s="13" t="str">
        <f t="shared" si="145"/>
        <v>9</v>
      </c>
      <c r="C1173" s="13" t="str">
        <f t="shared" si="146"/>
        <v>3</v>
      </c>
      <c r="D1173" s="13" t="str">
        <f t="shared" si="147"/>
        <v>2</v>
      </c>
      <c r="E1173" s="13" t="str">
        <f t="shared" si="148"/>
        <v>07</v>
      </c>
      <c r="F1173" s="13" t="str">
        <f t="shared" si="149"/>
        <v>06</v>
      </c>
      <c r="G1173" s="13" t="s">
        <v>1159</v>
      </c>
      <c r="H1173" s="13" t="s">
        <v>3088</v>
      </c>
      <c r="I1173" s="16" t="s">
        <v>3609</v>
      </c>
      <c r="J1173" s="13"/>
      <c r="K1173" s="13" t="s">
        <v>4018</v>
      </c>
      <c r="L1173" s="13" t="s">
        <v>4204</v>
      </c>
      <c r="M1173" s="16"/>
    </row>
    <row r="1174" spans="1:13" ht="25.5" x14ac:dyDescent="0.25">
      <c r="A1174" s="21" t="str">
        <f t="shared" si="144"/>
        <v>1</v>
      </c>
      <c r="B1174" s="21" t="str">
        <f t="shared" si="145"/>
        <v>9</v>
      </c>
      <c r="C1174" s="21" t="str">
        <f t="shared" si="146"/>
        <v>3</v>
      </c>
      <c r="D1174" s="21" t="str">
        <f t="shared" si="147"/>
        <v>2</v>
      </c>
      <c r="E1174" s="21" t="str">
        <f t="shared" si="148"/>
        <v>08</v>
      </c>
      <c r="F1174" s="21" t="str">
        <f t="shared" si="149"/>
        <v>00</v>
      </c>
      <c r="G1174" s="21" t="s">
        <v>1160</v>
      </c>
      <c r="H1174" s="21" t="s">
        <v>3089</v>
      </c>
      <c r="I1174" s="22" t="s">
        <v>3610</v>
      </c>
      <c r="J1174" s="21"/>
      <c r="K1174" s="21"/>
      <c r="L1174" s="21" t="s">
        <v>4204</v>
      </c>
      <c r="M1174" s="21"/>
    </row>
    <row r="1175" spans="1:13" ht="38.25" x14ac:dyDescent="0.25">
      <c r="A1175" s="21" t="str">
        <f t="shared" si="144"/>
        <v>1</v>
      </c>
      <c r="B1175" s="21" t="str">
        <f t="shared" si="145"/>
        <v>9</v>
      </c>
      <c r="C1175" s="21" t="str">
        <f t="shared" si="146"/>
        <v>3</v>
      </c>
      <c r="D1175" s="21" t="str">
        <f t="shared" si="147"/>
        <v>2</v>
      </c>
      <c r="E1175" s="21" t="str">
        <f t="shared" si="148"/>
        <v>09</v>
      </c>
      <c r="F1175" s="21" t="str">
        <f t="shared" si="149"/>
        <v>00</v>
      </c>
      <c r="G1175" s="21" t="s">
        <v>1161</v>
      </c>
      <c r="H1175" s="21" t="s">
        <v>3090</v>
      </c>
      <c r="I1175" s="22" t="s">
        <v>3611</v>
      </c>
      <c r="J1175" s="21"/>
      <c r="K1175" s="21"/>
      <c r="L1175" s="21" t="s">
        <v>4204</v>
      </c>
      <c r="M1175" s="21"/>
    </row>
    <row r="1176" spans="1:13" ht="25.5" x14ac:dyDescent="0.25">
      <c r="A1176" s="21" t="str">
        <f t="shared" si="144"/>
        <v>1</v>
      </c>
      <c r="B1176" s="21" t="str">
        <f t="shared" si="145"/>
        <v>9</v>
      </c>
      <c r="C1176" s="21" t="str">
        <f t="shared" si="146"/>
        <v>3</v>
      </c>
      <c r="D1176" s="21" t="str">
        <f t="shared" si="147"/>
        <v>2</v>
      </c>
      <c r="E1176" s="21" t="str">
        <f t="shared" si="148"/>
        <v>10</v>
      </c>
      <c r="F1176" s="21" t="str">
        <f t="shared" si="149"/>
        <v>00</v>
      </c>
      <c r="G1176" s="21" t="s">
        <v>1162</v>
      </c>
      <c r="H1176" s="21" t="s">
        <v>3091</v>
      </c>
      <c r="I1176" s="22" t="s">
        <v>3612</v>
      </c>
      <c r="J1176" s="21"/>
      <c r="K1176" s="21" t="s">
        <v>4018</v>
      </c>
      <c r="L1176" s="21" t="s">
        <v>4204</v>
      </c>
      <c r="M1176" s="21"/>
    </row>
    <row r="1177" spans="1:13" x14ac:dyDescent="0.25">
      <c r="A1177" s="21" t="str">
        <f t="shared" si="144"/>
        <v>1</v>
      </c>
      <c r="B1177" s="21" t="str">
        <f t="shared" si="145"/>
        <v>9</v>
      </c>
      <c r="C1177" s="21" t="str">
        <f t="shared" si="146"/>
        <v>3</v>
      </c>
      <c r="D1177" s="21" t="str">
        <f t="shared" si="147"/>
        <v>2</v>
      </c>
      <c r="E1177" s="21" t="str">
        <f t="shared" si="148"/>
        <v>11</v>
      </c>
      <c r="F1177" s="21" t="str">
        <f t="shared" si="149"/>
        <v>00</v>
      </c>
      <c r="G1177" s="21" t="s">
        <v>1163</v>
      </c>
      <c r="H1177" s="21" t="s">
        <v>3092</v>
      </c>
      <c r="I1177" s="22" t="s">
        <v>3613</v>
      </c>
      <c r="J1177" s="21"/>
      <c r="K1177" s="21"/>
      <c r="L1177" s="21"/>
      <c r="M1177" s="21"/>
    </row>
    <row r="1178" spans="1:13" x14ac:dyDescent="0.25">
      <c r="A1178" s="21" t="str">
        <f t="shared" si="144"/>
        <v>1</v>
      </c>
      <c r="B1178" s="21" t="str">
        <f t="shared" si="145"/>
        <v>9</v>
      </c>
      <c r="C1178" s="21" t="str">
        <f t="shared" si="146"/>
        <v>3</v>
      </c>
      <c r="D1178" s="21" t="str">
        <f t="shared" si="147"/>
        <v>2</v>
      </c>
      <c r="E1178" s="21" t="str">
        <f t="shared" si="148"/>
        <v>12</v>
      </c>
      <c r="F1178" s="21" t="str">
        <f t="shared" si="149"/>
        <v>00</v>
      </c>
      <c r="G1178" s="21" t="s">
        <v>1164</v>
      </c>
      <c r="H1178" s="21" t="s">
        <v>3093</v>
      </c>
      <c r="I1178" s="22" t="s">
        <v>3614</v>
      </c>
      <c r="J1178" s="21"/>
      <c r="K1178" s="21"/>
      <c r="L1178" s="21"/>
      <c r="M1178" s="21"/>
    </row>
    <row r="1179" spans="1:13" ht="25.5" x14ac:dyDescent="0.25">
      <c r="A1179" s="21" t="str">
        <f t="shared" si="144"/>
        <v>1</v>
      </c>
      <c r="B1179" s="21" t="str">
        <f t="shared" si="145"/>
        <v>9</v>
      </c>
      <c r="C1179" s="21" t="str">
        <f t="shared" si="146"/>
        <v>3</v>
      </c>
      <c r="D1179" s="21" t="str">
        <f t="shared" si="147"/>
        <v>2</v>
      </c>
      <c r="E1179" s="21" t="str">
        <f t="shared" si="148"/>
        <v>13</v>
      </c>
      <c r="F1179" s="21" t="str">
        <f t="shared" si="149"/>
        <v>00</v>
      </c>
      <c r="G1179" s="21" t="s">
        <v>1165</v>
      </c>
      <c r="H1179" s="21" t="s">
        <v>3094</v>
      </c>
      <c r="I1179" s="22" t="s">
        <v>3615</v>
      </c>
      <c r="J1179" s="21"/>
      <c r="K1179" s="21"/>
      <c r="L1179" s="21"/>
      <c r="M1179" s="21"/>
    </row>
    <row r="1180" spans="1:13" x14ac:dyDescent="0.25">
      <c r="A1180" s="21" t="str">
        <f t="shared" si="144"/>
        <v>1</v>
      </c>
      <c r="B1180" s="21" t="str">
        <f t="shared" si="145"/>
        <v>9</v>
      </c>
      <c r="C1180" s="21" t="str">
        <f t="shared" si="146"/>
        <v>3</v>
      </c>
      <c r="D1180" s="21" t="str">
        <f t="shared" si="147"/>
        <v>2</v>
      </c>
      <c r="E1180" s="21" t="str">
        <f t="shared" si="148"/>
        <v>14</v>
      </c>
      <c r="F1180" s="21" t="str">
        <f t="shared" si="149"/>
        <v>00</v>
      </c>
      <c r="G1180" s="21" t="s">
        <v>1166</v>
      </c>
      <c r="H1180" s="21" t="s">
        <v>3095</v>
      </c>
      <c r="I1180" s="22" t="s">
        <v>3616</v>
      </c>
      <c r="J1180" s="21"/>
      <c r="K1180" s="21"/>
      <c r="L1180" s="21"/>
      <c r="M1180" s="21"/>
    </row>
    <row r="1181" spans="1:13" x14ac:dyDescent="0.25">
      <c r="A1181" s="21" t="str">
        <f t="shared" si="144"/>
        <v>1</v>
      </c>
      <c r="B1181" s="21" t="str">
        <f t="shared" si="145"/>
        <v>9</v>
      </c>
      <c r="C1181" s="21" t="str">
        <f t="shared" si="146"/>
        <v>3</v>
      </c>
      <c r="D1181" s="21" t="str">
        <f t="shared" si="147"/>
        <v>2</v>
      </c>
      <c r="E1181" s="21" t="str">
        <f t="shared" si="148"/>
        <v>15</v>
      </c>
      <c r="F1181" s="21" t="str">
        <f t="shared" si="149"/>
        <v>00</v>
      </c>
      <c r="G1181" s="21" t="s">
        <v>1167</v>
      </c>
      <c r="H1181" s="21" t="s">
        <v>3096</v>
      </c>
      <c r="I1181" s="22" t="s">
        <v>3617</v>
      </c>
      <c r="J1181" s="21"/>
      <c r="K1181" s="21"/>
      <c r="L1181" s="21"/>
      <c r="M1181" s="21"/>
    </row>
    <row r="1182" spans="1:13" ht="25.5" x14ac:dyDescent="0.25">
      <c r="A1182" s="21" t="str">
        <f t="shared" si="144"/>
        <v>1</v>
      </c>
      <c r="B1182" s="21" t="str">
        <f t="shared" si="145"/>
        <v>9</v>
      </c>
      <c r="C1182" s="21" t="str">
        <f t="shared" si="146"/>
        <v>3</v>
      </c>
      <c r="D1182" s="21" t="str">
        <f t="shared" si="147"/>
        <v>2</v>
      </c>
      <c r="E1182" s="21" t="str">
        <f t="shared" si="148"/>
        <v>16</v>
      </c>
      <c r="F1182" s="21" t="str">
        <f t="shared" si="149"/>
        <v>00</v>
      </c>
      <c r="G1182" s="21" t="s">
        <v>1168</v>
      </c>
      <c r="H1182" s="21" t="s">
        <v>3097</v>
      </c>
      <c r="I1182" s="22" t="s">
        <v>3618</v>
      </c>
      <c r="J1182" s="21"/>
      <c r="K1182" s="21"/>
      <c r="L1182" s="21"/>
      <c r="M1182" s="21"/>
    </row>
    <row r="1183" spans="1:13" ht="25.5" x14ac:dyDescent="0.25">
      <c r="A1183" s="13" t="str">
        <f t="shared" si="144"/>
        <v>1</v>
      </c>
      <c r="B1183" s="13" t="str">
        <f t="shared" si="145"/>
        <v>9</v>
      </c>
      <c r="C1183" s="13" t="str">
        <f t="shared" si="146"/>
        <v>3</v>
      </c>
      <c r="D1183" s="13" t="str">
        <f t="shared" si="147"/>
        <v>2</v>
      </c>
      <c r="E1183" s="13" t="str">
        <f t="shared" si="148"/>
        <v>16</v>
      </c>
      <c r="F1183" s="13" t="str">
        <f t="shared" si="149"/>
        <v>01</v>
      </c>
      <c r="G1183" s="13" t="s">
        <v>1169</v>
      </c>
      <c r="H1183" s="13" t="s">
        <v>3098</v>
      </c>
      <c r="I1183" s="16" t="s">
        <v>3619</v>
      </c>
      <c r="J1183" s="13"/>
      <c r="K1183" s="13"/>
      <c r="L1183" s="13"/>
      <c r="M1183" s="16"/>
    </row>
    <row r="1184" spans="1:13" ht="25.5" x14ac:dyDescent="0.25">
      <c r="A1184" s="13" t="str">
        <f t="shared" si="144"/>
        <v>1</v>
      </c>
      <c r="B1184" s="13" t="str">
        <f t="shared" si="145"/>
        <v>9</v>
      </c>
      <c r="C1184" s="13" t="str">
        <f t="shared" si="146"/>
        <v>3</v>
      </c>
      <c r="D1184" s="13" t="str">
        <f t="shared" si="147"/>
        <v>2</v>
      </c>
      <c r="E1184" s="13" t="str">
        <f t="shared" si="148"/>
        <v>16</v>
      </c>
      <c r="F1184" s="13" t="str">
        <f t="shared" si="149"/>
        <v>02</v>
      </c>
      <c r="G1184" s="13" t="s">
        <v>1170</v>
      </c>
      <c r="H1184" s="13" t="s">
        <v>3099</v>
      </c>
      <c r="I1184" s="16" t="s">
        <v>3620</v>
      </c>
      <c r="J1184" s="13"/>
      <c r="K1184" s="13"/>
      <c r="L1184" s="13"/>
      <c r="M1184" s="16"/>
    </row>
    <row r="1185" spans="1:13" ht="51" x14ac:dyDescent="0.25">
      <c r="A1185" s="13" t="str">
        <f t="shared" si="144"/>
        <v>1</v>
      </c>
      <c r="B1185" s="13" t="str">
        <f t="shared" si="145"/>
        <v>9</v>
      </c>
      <c r="C1185" s="13" t="str">
        <f t="shared" si="146"/>
        <v>3</v>
      </c>
      <c r="D1185" s="13" t="str">
        <f t="shared" si="147"/>
        <v>2</v>
      </c>
      <c r="E1185" s="13" t="str">
        <f t="shared" si="148"/>
        <v>16</v>
      </c>
      <c r="F1185" s="13" t="str">
        <f t="shared" si="149"/>
        <v>03</v>
      </c>
      <c r="G1185" s="13" t="s">
        <v>1171</v>
      </c>
      <c r="H1185" s="13" t="s">
        <v>3100</v>
      </c>
      <c r="I1185" s="16" t="s">
        <v>4007</v>
      </c>
      <c r="J1185" s="13"/>
      <c r="K1185" s="13" t="s">
        <v>46</v>
      </c>
      <c r="L1185" s="13" t="s">
        <v>4223</v>
      </c>
      <c r="M1185" s="16"/>
    </row>
    <row r="1186" spans="1:13" ht="25.5" x14ac:dyDescent="0.25">
      <c r="A1186" s="13" t="str">
        <f t="shared" si="144"/>
        <v>1</v>
      </c>
      <c r="B1186" s="13" t="str">
        <f t="shared" si="145"/>
        <v>9</v>
      </c>
      <c r="C1186" s="13" t="str">
        <f t="shared" si="146"/>
        <v>3</v>
      </c>
      <c r="D1186" s="13" t="str">
        <f t="shared" si="147"/>
        <v>2</v>
      </c>
      <c r="E1186" s="13" t="str">
        <f t="shared" si="148"/>
        <v>16</v>
      </c>
      <c r="F1186" s="13" t="str">
        <f t="shared" si="149"/>
        <v>04</v>
      </c>
      <c r="G1186" s="13" t="s">
        <v>1172</v>
      </c>
      <c r="H1186" s="13" t="s">
        <v>3101</v>
      </c>
      <c r="I1186" s="16" t="s">
        <v>4066</v>
      </c>
      <c r="J1186" s="13"/>
      <c r="K1186" s="13" t="s">
        <v>46</v>
      </c>
      <c r="L1186" s="13" t="s">
        <v>4223</v>
      </c>
      <c r="M1186" s="16"/>
    </row>
    <row r="1187" spans="1:13" ht="25.5" x14ac:dyDescent="0.25">
      <c r="A1187" s="21" t="str">
        <f t="shared" si="144"/>
        <v>1</v>
      </c>
      <c r="B1187" s="21" t="str">
        <f t="shared" si="145"/>
        <v>9</v>
      </c>
      <c r="C1187" s="21" t="str">
        <f t="shared" si="146"/>
        <v>3</v>
      </c>
      <c r="D1187" s="21" t="str">
        <f t="shared" si="147"/>
        <v>2</v>
      </c>
      <c r="E1187" s="21" t="str">
        <f t="shared" si="148"/>
        <v>17</v>
      </c>
      <c r="F1187" s="21" t="str">
        <f t="shared" si="149"/>
        <v>00</v>
      </c>
      <c r="G1187" s="21" t="s">
        <v>1173</v>
      </c>
      <c r="H1187" s="21" t="s">
        <v>3102</v>
      </c>
      <c r="I1187" s="22" t="s">
        <v>3621</v>
      </c>
      <c r="J1187" s="21"/>
      <c r="K1187" s="21"/>
      <c r="L1187" s="21"/>
      <c r="M1187" s="21"/>
    </row>
    <row r="1188" spans="1:13" ht="38.25" x14ac:dyDescent="0.25">
      <c r="A1188" s="21" t="str">
        <f t="shared" si="144"/>
        <v>1</v>
      </c>
      <c r="B1188" s="21" t="str">
        <f t="shared" si="145"/>
        <v>9</v>
      </c>
      <c r="C1188" s="21" t="str">
        <f t="shared" si="146"/>
        <v>3</v>
      </c>
      <c r="D1188" s="21" t="str">
        <f t="shared" si="147"/>
        <v>2</v>
      </c>
      <c r="E1188" s="21" t="str">
        <f t="shared" si="148"/>
        <v>18</v>
      </c>
      <c r="F1188" s="21" t="str">
        <f t="shared" si="149"/>
        <v>00</v>
      </c>
      <c r="G1188" s="21" t="s">
        <v>1174</v>
      </c>
      <c r="H1188" s="21" t="s">
        <v>3103</v>
      </c>
      <c r="I1188" s="22" t="s">
        <v>3622</v>
      </c>
      <c r="J1188" s="21"/>
      <c r="K1188" s="21" t="s">
        <v>4018</v>
      </c>
      <c r="L1188" s="21" t="s">
        <v>4204</v>
      </c>
      <c r="M1188" s="21"/>
    </row>
    <row r="1189" spans="1:13" ht="38.25" x14ac:dyDescent="0.25">
      <c r="A1189" s="21" t="str">
        <f t="shared" si="144"/>
        <v>1</v>
      </c>
      <c r="B1189" s="21" t="str">
        <f t="shared" si="145"/>
        <v>9</v>
      </c>
      <c r="C1189" s="21" t="str">
        <f t="shared" si="146"/>
        <v>3</v>
      </c>
      <c r="D1189" s="21" t="str">
        <f t="shared" si="147"/>
        <v>2</v>
      </c>
      <c r="E1189" s="21" t="str">
        <f t="shared" si="148"/>
        <v>19</v>
      </c>
      <c r="F1189" s="21" t="str">
        <f t="shared" si="149"/>
        <v>00</v>
      </c>
      <c r="G1189" s="21" t="s">
        <v>1175</v>
      </c>
      <c r="H1189" s="21" t="s">
        <v>3104</v>
      </c>
      <c r="I1189" s="22" t="s">
        <v>3623</v>
      </c>
      <c r="J1189" s="21"/>
      <c r="K1189" s="21" t="s">
        <v>4018</v>
      </c>
      <c r="L1189" s="21" t="s">
        <v>4204</v>
      </c>
      <c r="M1189" s="21"/>
    </row>
    <row r="1190" spans="1:13" ht="51" x14ac:dyDescent="0.25">
      <c r="A1190" s="21" t="str">
        <f t="shared" si="144"/>
        <v>1</v>
      </c>
      <c r="B1190" s="21" t="str">
        <f t="shared" si="145"/>
        <v>9</v>
      </c>
      <c r="C1190" s="21" t="str">
        <f t="shared" si="146"/>
        <v>3</v>
      </c>
      <c r="D1190" s="21" t="str">
        <f t="shared" si="147"/>
        <v>2</v>
      </c>
      <c r="E1190" s="21" t="str">
        <f t="shared" si="148"/>
        <v>20</v>
      </c>
      <c r="F1190" s="21" t="str">
        <f t="shared" si="149"/>
        <v>00</v>
      </c>
      <c r="G1190" s="21" t="s">
        <v>1176</v>
      </c>
      <c r="H1190" s="21" t="s">
        <v>3105</v>
      </c>
      <c r="I1190" s="22" t="s">
        <v>3624</v>
      </c>
      <c r="J1190" s="21"/>
      <c r="K1190" s="21"/>
      <c r="L1190" s="21"/>
      <c r="M1190" s="21"/>
    </row>
    <row r="1191" spans="1:13" ht="51" x14ac:dyDescent="0.25">
      <c r="A1191" s="13" t="str">
        <f t="shared" si="144"/>
        <v>1</v>
      </c>
      <c r="B1191" s="13" t="str">
        <f t="shared" si="145"/>
        <v>9</v>
      </c>
      <c r="C1191" s="13" t="str">
        <f t="shared" si="146"/>
        <v>3</v>
      </c>
      <c r="D1191" s="13" t="str">
        <f t="shared" si="147"/>
        <v>2</v>
      </c>
      <c r="E1191" s="13" t="str">
        <f t="shared" si="148"/>
        <v>20</v>
      </c>
      <c r="F1191" s="13" t="str">
        <f t="shared" si="149"/>
        <v>01</v>
      </c>
      <c r="G1191" s="13" t="s">
        <v>1177</v>
      </c>
      <c r="H1191" s="13" t="s">
        <v>3106</v>
      </c>
      <c r="I1191" s="16" t="s">
        <v>3625</v>
      </c>
      <c r="J1191" s="13"/>
      <c r="K1191" s="13"/>
      <c r="L1191" s="13"/>
      <c r="M1191" s="16"/>
    </row>
    <row r="1192" spans="1:13" ht="63.75" x14ac:dyDescent="0.25">
      <c r="A1192" s="13" t="str">
        <f t="shared" si="144"/>
        <v>1</v>
      </c>
      <c r="B1192" s="13" t="str">
        <f t="shared" si="145"/>
        <v>9</v>
      </c>
      <c r="C1192" s="13" t="str">
        <f t="shared" si="146"/>
        <v>3</v>
      </c>
      <c r="D1192" s="13" t="str">
        <f t="shared" si="147"/>
        <v>2</v>
      </c>
      <c r="E1192" s="13" t="str">
        <f t="shared" si="148"/>
        <v>20</v>
      </c>
      <c r="F1192" s="13" t="str">
        <f t="shared" si="149"/>
        <v>02</v>
      </c>
      <c r="G1192" s="13" t="s">
        <v>1178</v>
      </c>
      <c r="H1192" s="13" t="s">
        <v>3107</v>
      </c>
      <c r="I1192" s="16" t="s">
        <v>3626</v>
      </c>
      <c r="J1192" s="13"/>
      <c r="K1192" s="13"/>
      <c r="L1192" s="13"/>
      <c r="M1192" s="16"/>
    </row>
    <row r="1193" spans="1:13" ht="25.5" x14ac:dyDescent="0.25">
      <c r="A1193" s="21" t="str">
        <f t="shared" si="144"/>
        <v>1</v>
      </c>
      <c r="B1193" s="21" t="str">
        <f t="shared" si="145"/>
        <v>9</v>
      </c>
      <c r="C1193" s="21" t="str">
        <f t="shared" si="146"/>
        <v>3</v>
      </c>
      <c r="D1193" s="21" t="str">
        <f t="shared" si="147"/>
        <v>2</v>
      </c>
      <c r="E1193" s="21" t="str">
        <f t="shared" si="148"/>
        <v>21</v>
      </c>
      <c r="F1193" s="21" t="str">
        <f t="shared" si="149"/>
        <v>00</v>
      </c>
      <c r="G1193" s="21" t="s">
        <v>1179</v>
      </c>
      <c r="H1193" s="21" t="s">
        <v>3108</v>
      </c>
      <c r="I1193" s="22" t="s">
        <v>3627</v>
      </c>
      <c r="J1193" s="21"/>
      <c r="K1193" s="21"/>
      <c r="L1193" s="21"/>
      <c r="M1193" s="21"/>
    </row>
    <row r="1194" spans="1:13" ht="25.5" x14ac:dyDescent="0.25">
      <c r="A1194" s="13" t="str">
        <f t="shared" si="144"/>
        <v>1</v>
      </c>
      <c r="B1194" s="13" t="str">
        <f t="shared" si="145"/>
        <v>9</v>
      </c>
      <c r="C1194" s="13" t="str">
        <f t="shared" si="146"/>
        <v>3</v>
      </c>
      <c r="D1194" s="13" t="str">
        <f t="shared" si="147"/>
        <v>2</v>
      </c>
      <c r="E1194" s="13" t="str">
        <f t="shared" si="148"/>
        <v>21</v>
      </c>
      <c r="F1194" s="13" t="str">
        <f t="shared" si="149"/>
        <v>01</v>
      </c>
      <c r="G1194" s="13" t="s">
        <v>1180</v>
      </c>
      <c r="H1194" s="13" t="s">
        <v>3109</v>
      </c>
      <c r="I1194" s="16" t="s">
        <v>3628</v>
      </c>
      <c r="J1194" s="13"/>
      <c r="K1194" s="13"/>
      <c r="L1194" s="13"/>
      <c r="M1194" s="16"/>
    </row>
    <row r="1195" spans="1:13" ht="25.5" x14ac:dyDescent="0.25">
      <c r="A1195" s="13" t="str">
        <f t="shared" si="144"/>
        <v>1</v>
      </c>
      <c r="B1195" s="13" t="str">
        <f t="shared" si="145"/>
        <v>9</v>
      </c>
      <c r="C1195" s="13" t="str">
        <f t="shared" si="146"/>
        <v>3</v>
      </c>
      <c r="D1195" s="13" t="str">
        <f t="shared" si="147"/>
        <v>2</v>
      </c>
      <c r="E1195" s="13" t="str">
        <f t="shared" si="148"/>
        <v>21</v>
      </c>
      <c r="F1195" s="13" t="str">
        <f t="shared" si="149"/>
        <v>02</v>
      </c>
      <c r="G1195" s="13" t="s">
        <v>1181</v>
      </c>
      <c r="H1195" s="13" t="s">
        <v>3110</v>
      </c>
      <c r="I1195" s="16" t="s">
        <v>3629</v>
      </c>
      <c r="J1195" s="13"/>
      <c r="K1195" s="13"/>
      <c r="L1195" s="13"/>
      <c r="M1195" s="16"/>
    </row>
    <row r="1196" spans="1:13" ht="25.5" x14ac:dyDescent="0.25">
      <c r="A1196" s="13" t="str">
        <f t="shared" si="144"/>
        <v>1</v>
      </c>
      <c r="B1196" s="13" t="str">
        <f t="shared" si="145"/>
        <v>9</v>
      </c>
      <c r="C1196" s="13" t="str">
        <f t="shared" si="146"/>
        <v>3</v>
      </c>
      <c r="D1196" s="13" t="str">
        <f t="shared" si="147"/>
        <v>2</v>
      </c>
      <c r="E1196" s="13" t="str">
        <f t="shared" si="148"/>
        <v>21</v>
      </c>
      <c r="F1196" s="13" t="str">
        <f t="shared" si="149"/>
        <v>04</v>
      </c>
      <c r="G1196" s="13" t="s">
        <v>1182</v>
      </c>
      <c r="H1196" s="13" t="s">
        <v>3111</v>
      </c>
      <c r="I1196" s="16" t="s">
        <v>3630</v>
      </c>
      <c r="J1196" s="13"/>
      <c r="K1196" s="13"/>
      <c r="L1196" s="13"/>
      <c r="M1196" s="16"/>
    </row>
    <row r="1197" spans="1:13" ht="38.25" x14ac:dyDescent="0.25">
      <c r="A1197" s="13" t="str">
        <f t="shared" si="144"/>
        <v>1</v>
      </c>
      <c r="B1197" s="13" t="str">
        <f t="shared" si="145"/>
        <v>9</v>
      </c>
      <c r="C1197" s="13" t="str">
        <f t="shared" si="146"/>
        <v>3</v>
      </c>
      <c r="D1197" s="13" t="str">
        <f t="shared" si="147"/>
        <v>2</v>
      </c>
      <c r="E1197" s="13" t="str">
        <f t="shared" si="148"/>
        <v>21</v>
      </c>
      <c r="F1197" s="13" t="str">
        <f t="shared" si="149"/>
        <v>05</v>
      </c>
      <c r="G1197" s="13" t="s">
        <v>1183</v>
      </c>
      <c r="H1197" s="13" t="s">
        <v>3112</v>
      </c>
      <c r="I1197" s="16" t="s">
        <v>3631</v>
      </c>
      <c r="J1197" s="13"/>
      <c r="K1197" s="13"/>
      <c r="L1197" s="13"/>
      <c r="M1197" s="16"/>
    </row>
    <row r="1198" spans="1:13" ht="25.5" x14ac:dyDescent="0.25">
      <c r="A1198" s="21" t="str">
        <f t="shared" si="144"/>
        <v>1</v>
      </c>
      <c r="B1198" s="21" t="str">
        <f t="shared" si="145"/>
        <v>9</v>
      </c>
      <c r="C1198" s="21" t="str">
        <f t="shared" si="146"/>
        <v>3</v>
      </c>
      <c r="D1198" s="21" t="str">
        <f t="shared" si="147"/>
        <v>2</v>
      </c>
      <c r="E1198" s="21" t="str">
        <f t="shared" si="148"/>
        <v>22</v>
      </c>
      <c r="F1198" s="21" t="str">
        <f t="shared" si="149"/>
        <v>00</v>
      </c>
      <c r="G1198" s="21" t="s">
        <v>1184</v>
      </c>
      <c r="H1198" s="21" t="s">
        <v>3113</v>
      </c>
      <c r="I1198" s="22" t="s">
        <v>3632</v>
      </c>
      <c r="J1198" s="21"/>
      <c r="K1198" s="21"/>
      <c r="L1198" s="21"/>
      <c r="M1198" s="21"/>
    </row>
    <row r="1199" spans="1:13" ht="25.5" x14ac:dyDescent="0.25">
      <c r="A1199" s="21" t="str">
        <f t="shared" si="144"/>
        <v>1</v>
      </c>
      <c r="B1199" s="21" t="str">
        <f t="shared" si="145"/>
        <v>9</v>
      </c>
      <c r="C1199" s="21" t="str">
        <f t="shared" si="146"/>
        <v>3</v>
      </c>
      <c r="D1199" s="21" t="str">
        <f t="shared" si="147"/>
        <v>2</v>
      </c>
      <c r="E1199" s="21" t="str">
        <f t="shared" si="148"/>
        <v>23</v>
      </c>
      <c r="F1199" s="21" t="str">
        <f t="shared" si="149"/>
        <v>00</v>
      </c>
      <c r="G1199" s="21" t="s">
        <v>1185</v>
      </c>
      <c r="H1199" s="21" t="s">
        <v>3114</v>
      </c>
      <c r="I1199" s="22" t="s">
        <v>3633</v>
      </c>
      <c r="J1199" s="21"/>
      <c r="K1199" s="21"/>
      <c r="L1199" s="21"/>
      <c r="M1199" s="21"/>
    </row>
    <row r="1200" spans="1:13" ht="25.5" x14ac:dyDescent="0.25">
      <c r="A1200" s="21" t="str">
        <f t="shared" si="144"/>
        <v>1</v>
      </c>
      <c r="B1200" s="21" t="str">
        <f t="shared" si="145"/>
        <v>9</v>
      </c>
      <c r="C1200" s="21" t="str">
        <f t="shared" si="146"/>
        <v>3</v>
      </c>
      <c r="D1200" s="21" t="str">
        <f t="shared" si="147"/>
        <v>2</v>
      </c>
      <c r="E1200" s="21" t="str">
        <f t="shared" si="148"/>
        <v>24</v>
      </c>
      <c r="F1200" s="21" t="str">
        <f t="shared" si="149"/>
        <v>00</v>
      </c>
      <c r="G1200" s="21" t="s">
        <v>1186</v>
      </c>
      <c r="H1200" s="21" t="s">
        <v>3115</v>
      </c>
      <c r="I1200" s="22" t="s">
        <v>3634</v>
      </c>
      <c r="J1200" s="21"/>
      <c r="K1200" s="21"/>
      <c r="L1200" s="21"/>
      <c r="M1200" s="21"/>
    </row>
    <row r="1201" spans="1:13" ht="25.5" x14ac:dyDescent="0.25">
      <c r="A1201" s="21" t="str">
        <f t="shared" si="144"/>
        <v>1</v>
      </c>
      <c r="B1201" s="21" t="str">
        <f t="shared" si="145"/>
        <v>9</v>
      </c>
      <c r="C1201" s="21" t="str">
        <f t="shared" si="146"/>
        <v>3</v>
      </c>
      <c r="D1201" s="21" t="str">
        <f t="shared" si="147"/>
        <v>2</v>
      </c>
      <c r="E1201" s="21" t="str">
        <f t="shared" si="148"/>
        <v>25</v>
      </c>
      <c r="F1201" s="21" t="str">
        <f t="shared" si="149"/>
        <v>00</v>
      </c>
      <c r="G1201" s="21" t="s">
        <v>1187</v>
      </c>
      <c r="H1201" s="21" t="s">
        <v>3116</v>
      </c>
      <c r="I1201" s="22" t="s">
        <v>3635</v>
      </c>
      <c r="J1201" s="21"/>
      <c r="K1201" s="21"/>
      <c r="L1201" s="21"/>
      <c r="M1201" s="21"/>
    </row>
    <row r="1202" spans="1:13" ht="38.25" x14ac:dyDescent="0.25">
      <c r="A1202" s="21" t="str">
        <f t="shared" si="144"/>
        <v>1</v>
      </c>
      <c r="B1202" s="21" t="str">
        <f t="shared" si="145"/>
        <v>9</v>
      </c>
      <c r="C1202" s="21" t="str">
        <f t="shared" si="146"/>
        <v>3</v>
      </c>
      <c r="D1202" s="21" t="str">
        <f t="shared" si="147"/>
        <v>2</v>
      </c>
      <c r="E1202" s="21" t="str">
        <f t="shared" si="148"/>
        <v>26</v>
      </c>
      <c r="F1202" s="21" t="str">
        <f t="shared" si="149"/>
        <v>00</v>
      </c>
      <c r="G1202" s="21" t="s">
        <v>1188</v>
      </c>
      <c r="H1202" s="21" t="s">
        <v>3117</v>
      </c>
      <c r="I1202" s="22" t="s">
        <v>3636</v>
      </c>
      <c r="J1202" s="21"/>
      <c r="K1202" s="21"/>
      <c r="L1202" s="21"/>
      <c r="M1202" s="21"/>
    </row>
    <row r="1203" spans="1:13" ht="25.5" x14ac:dyDescent="0.25">
      <c r="A1203" s="21" t="str">
        <f t="shared" si="144"/>
        <v>1</v>
      </c>
      <c r="B1203" s="21" t="str">
        <f t="shared" si="145"/>
        <v>9</v>
      </c>
      <c r="C1203" s="21" t="str">
        <f t="shared" si="146"/>
        <v>3</v>
      </c>
      <c r="D1203" s="21" t="str">
        <f t="shared" si="147"/>
        <v>2</v>
      </c>
      <c r="E1203" s="21" t="str">
        <f t="shared" si="148"/>
        <v>27</v>
      </c>
      <c r="F1203" s="21" t="str">
        <f t="shared" si="149"/>
        <v>00</v>
      </c>
      <c r="G1203" s="21" t="s">
        <v>1189</v>
      </c>
      <c r="H1203" s="21" t="s">
        <v>3118</v>
      </c>
      <c r="I1203" s="22" t="s">
        <v>4032</v>
      </c>
      <c r="J1203" s="21"/>
      <c r="K1203" s="21" t="s">
        <v>4018</v>
      </c>
      <c r="L1203" s="21" t="s">
        <v>4222</v>
      </c>
      <c r="M1203" s="21"/>
    </row>
    <row r="1204" spans="1:13" ht="25.5" x14ac:dyDescent="0.25">
      <c r="A1204" s="13" t="str">
        <f t="shared" si="144"/>
        <v>1</v>
      </c>
      <c r="B1204" s="13" t="str">
        <f t="shared" si="145"/>
        <v>9</v>
      </c>
      <c r="C1204" s="13" t="str">
        <f t="shared" si="146"/>
        <v>3</v>
      </c>
      <c r="D1204" s="13" t="str">
        <f t="shared" si="147"/>
        <v>2</v>
      </c>
      <c r="E1204" s="13" t="str">
        <f t="shared" si="148"/>
        <v>27</v>
      </c>
      <c r="F1204" s="13" t="str">
        <f t="shared" si="149"/>
        <v>01</v>
      </c>
      <c r="G1204" s="13" t="s">
        <v>1190</v>
      </c>
      <c r="H1204" s="13" t="s">
        <v>3119</v>
      </c>
      <c r="I1204" s="16" t="s">
        <v>4008</v>
      </c>
      <c r="J1204" s="13"/>
      <c r="K1204" s="13" t="s">
        <v>46</v>
      </c>
      <c r="L1204" s="13" t="s">
        <v>4223</v>
      </c>
      <c r="M1204" s="16"/>
    </row>
    <row r="1205" spans="1:13" ht="38.25" x14ac:dyDescent="0.25">
      <c r="A1205" s="13" t="str">
        <f t="shared" si="144"/>
        <v>1</v>
      </c>
      <c r="B1205" s="13" t="str">
        <f t="shared" si="145"/>
        <v>9</v>
      </c>
      <c r="C1205" s="13" t="str">
        <f t="shared" si="146"/>
        <v>3</v>
      </c>
      <c r="D1205" s="13" t="str">
        <f t="shared" si="147"/>
        <v>2</v>
      </c>
      <c r="E1205" s="13" t="str">
        <f t="shared" si="148"/>
        <v>27</v>
      </c>
      <c r="F1205" s="13" t="str">
        <f t="shared" si="149"/>
        <v>02</v>
      </c>
      <c r="G1205" s="13" t="s">
        <v>1191</v>
      </c>
      <c r="H1205" s="13" t="s">
        <v>3120</v>
      </c>
      <c r="I1205" s="16" t="s">
        <v>4009</v>
      </c>
      <c r="J1205" s="13"/>
      <c r="K1205" s="13" t="s">
        <v>46</v>
      </c>
      <c r="L1205" s="13" t="s">
        <v>4223</v>
      </c>
      <c r="M1205" s="16"/>
    </row>
    <row r="1206" spans="1:13" ht="25.5" x14ac:dyDescent="0.25">
      <c r="A1206" s="13" t="str">
        <f t="shared" si="144"/>
        <v>1</v>
      </c>
      <c r="B1206" s="13" t="str">
        <f t="shared" si="145"/>
        <v>9</v>
      </c>
      <c r="C1206" s="13" t="str">
        <f t="shared" si="146"/>
        <v>3</v>
      </c>
      <c r="D1206" s="13" t="str">
        <f t="shared" si="147"/>
        <v>2</v>
      </c>
      <c r="E1206" s="13" t="str">
        <f t="shared" si="148"/>
        <v>27</v>
      </c>
      <c r="F1206" s="13" t="str">
        <f t="shared" si="149"/>
        <v>03</v>
      </c>
      <c r="G1206" s="13" t="s">
        <v>1192</v>
      </c>
      <c r="H1206" s="13" t="s">
        <v>3121</v>
      </c>
      <c r="I1206" s="16" t="s">
        <v>4010</v>
      </c>
      <c r="J1206" s="13"/>
      <c r="K1206" s="13" t="s">
        <v>46</v>
      </c>
      <c r="L1206" s="13" t="s">
        <v>4223</v>
      </c>
      <c r="M1206" s="16"/>
    </row>
    <row r="1207" spans="1:13" ht="51" x14ac:dyDescent="0.25">
      <c r="A1207" s="13" t="str">
        <f t="shared" si="144"/>
        <v>1</v>
      </c>
      <c r="B1207" s="13" t="str">
        <f t="shared" si="145"/>
        <v>9</v>
      </c>
      <c r="C1207" s="13" t="str">
        <f t="shared" si="146"/>
        <v>3</v>
      </c>
      <c r="D1207" s="13" t="str">
        <f t="shared" si="147"/>
        <v>2</v>
      </c>
      <c r="E1207" s="13" t="str">
        <f t="shared" si="148"/>
        <v>27</v>
      </c>
      <c r="F1207" s="13" t="str">
        <f t="shared" si="149"/>
        <v>04</v>
      </c>
      <c r="G1207" s="13" t="s">
        <v>1193</v>
      </c>
      <c r="H1207" s="13" t="s">
        <v>3122</v>
      </c>
      <c r="I1207" s="16" t="s">
        <v>4011</v>
      </c>
      <c r="J1207" s="13"/>
      <c r="K1207" s="13" t="s">
        <v>46</v>
      </c>
      <c r="L1207" s="13" t="s">
        <v>4223</v>
      </c>
      <c r="M1207" s="16"/>
    </row>
    <row r="1208" spans="1:13" ht="25.5" x14ac:dyDescent="0.25">
      <c r="A1208" s="13" t="str">
        <f t="shared" si="144"/>
        <v>1</v>
      </c>
      <c r="B1208" s="13" t="str">
        <f t="shared" si="145"/>
        <v>9</v>
      </c>
      <c r="C1208" s="13" t="str">
        <f t="shared" si="146"/>
        <v>3</v>
      </c>
      <c r="D1208" s="13" t="str">
        <f t="shared" si="147"/>
        <v>2</v>
      </c>
      <c r="E1208" s="13" t="str">
        <f t="shared" si="148"/>
        <v>27</v>
      </c>
      <c r="F1208" s="13" t="str">
        <f t="shared" si="149"/>
        <v>06</v>
      </c>
      <c r="G1208" s="13" t="s">
        <v>1194</v>
      </c>
      <c r="H1208" s="13" t="s">
        <v>3123</v>
      </c>
      <c r="I1208" s="16" t="s">
        <v>4012</v>
      </c>
      <c r="J1208" s="13"/>
      <c r="K1208" s="13" t="s">
        <v>46</v>
      </c>
      <c r="L1208" s="13" t="s">
        <v>4223</v>
      </c>
      <c r="M1208" s="16"/>
    </row>
    <row r="1209" spans="1:13" ht="38.25" x14ac:dyDescent="0.25">
      <c r="A1209" s="13" t="str">
        <f t="shared" si="144"/>
        <v>1</v>
      </c>
      <c r="B1209" s="13" t="str">
        <f t="shared" si="145"/>
        <v>9</v>
      </c>
      <c r="C1209" s="13" t="str">
        <f t="shared" si="146"/>
        <v>3</v>
      </c>
      <c r="D1209" s="13" t="str">
        <f t="shared" si="147"/>
        <v>2</v>
      </c>
      <c r="E1209" s="13" t="str">
        <f t="shared" si="148"/>
        <v>27</v>
      </c>
      <c r="F1209" s="13" t="str">
        <f t="shared" si="149"/>
        <v>07</v>
      </c>
      <c r="G1209" s="13" t="s">
        <v>1195</v>
      </c>
      <c r="H1209" s="13" t="s">
        <v>3124</v>
      </c>
      <c r="I1209" s="16" t="s">
        <v>4013</v>
      </c>
      <c r="J1209" s="13"/>
      <c r="K1209" s="13" t="s">
        <v>46</v>
      </c>
      <c r="L1209" s="13" t="s">
        <v>4223</v>
      </c>
      <c r="M1209" s="16"/>
    </row>
    <row r="1210" spans="1:13" ht="38.25" x14ac:dyDescent="0.25">
      <c r="A1210" s="21" t="str">
        <f t="shared" si="144"/>
        <v>1</v>
      </c>
      <c r="B1210" s="21" t="str">
        <f t="shared" si="145"/>
        <v>9</v>
      </c>
      <c r="C1210" s="21" t="str">
        <f t="shared" si="146"/>
        <v>3</v>
      </c>
      <c r="D1210" s="21" t="str">
        <f t="shared" si="147"/>
        <v>2</v>
      </c>
      <c r="E1210" s="21" t="str">
        <f t="shared" si="148"/>
        <v>28</v>
      </c>
      <c r="F1210" s="21" t="str">
        <f t="shared" si="149"/>
        <v>00</v>
      </c>
      <c r="G1210" s="21" t="s">
        <v>1196</v>
      </c>
      <c r="H1210" s="21" t="s">
        <v>3125</v>
      </c>
      <c r="I1210" s="22" t="s">
        <v>3637</v>
      </c>
      <c r="J1210" s="21"/>
      <c r="K1210" s="21"/>
      <c r="L1210" s="21"/>
      <c r="M1210" s="21"/>
    </row>
    <row r="1211" spans="1:13" ht="51" x14ac:dyDescent="0.25">
      <c r="A1211" s="21" t="str">
        <f t="shared" si="144"/>
        <v>1</v>
      </c>
      <c r="B1211" s="21" t="str">
        <f t="shared" si="145"/>
        <v>9</v>
      </c>
      <c r="C1211" s="21" t="str">
        <f t="shared" si="146"/>
        <v>3</v>
      </c>
      <c r="D1211" s="21" t="str">
        <f t="shared" si="147"/>
        <v>2</v>
      </c>
      <c r="E1211" s="21" t="str">
        <f t="shared" si="148"/>
        <v>29</v>
      </c>
      <c r="F1211" s="21" t="str">
        <f t="shared" si="149"/>
        <v>00</v>
      </c>
      <c r="G1211" s="21" t="s">
        <v>1197</v>
      </c>
      <c r="H1211" s="21" t="s">
        <v>3126</v>
      </c>
      <c r="I1211" s="22" t="s">
        <v>3638</v>
      </c>
      <c r="J1211" s="21"/>
      <c r="K1211" s="21"/>
      <c r="L1211" s="21"/>
      <c r="M1211" s="21"/>
    </row>
    <row r="1212" spans="1:13" ht="25.5" x14ac:dyDescent="0.25">
      <c r="A1212" s="21" t="str">
        <f t="shared" si="144"/>
        <v>1</v>
      </c>
      <c r="B1212" s="21" t="str">
        <f t="shared" si="145"/>
        <v>9</v>
      </c>
      <c r="C1212" s="21" t="str">
        <f t="shared" si="146"/>
        <v>3</v>
      </c>
      <c r="D1212" s="21" t="str">
        <f t="shared" si="147"/>
        <v>2</v>
      </c>
      <c r="E1212" s="21" t="str">
        <f t="shared" si="148"/>
        <v>30</v>
      </c>
      <c r="F1212" s="21" t="str">
        <f t="shared" si="149"/>
        <v>00</v>
      </c>
      <c r="G1212" s="21" t="s">
        <v>1198</v>
      </c>
      <c r="H1212" s="21" t="s">
        <v>3127</v>
      </c>
      <c r="I1212" s="22" t="s">
        <v>3639</v>
      </c>
      <c r="J1212" s="21"/>
      <c r="K1212" s="21"/>
      <c r="L1212" s="21"/>
      <c r="M1212" s="21"/>
    </row>
    <row r="1213" spans="1:13" ht="25.5" x14ac:dyDescent="0.25">
      <c r="A1213" s="21" t="str">
        <f t="shared" si="144"/>
        <v>1</v>
      </c>
      <c r="B1213" s="21" t="str">
        <f t="shared" si="145"/>
        <v>9</v>
      </c>
      <c r="C1213" s="21" t="str">
        <f t="shared" si="146"/>
        <v>3</v>
      </c>
      <c r="D1213" s="21" t="str">
        <f t="shared" si="147"/>
        <v>2</v>
      </c>
      <c r="E1213" s="21" t="str">
        <f t="shared" si="148"/>
        <v>31</v>
      </c>
      <c r="F1213" s="21" t="str">
        <f t="shared" si="149"/>
        <v>00</v>
      </c>
      <c r="G1213" s="21" t="s">
        <v>1199</v>
      </c>
      <c r="H1213" s="21" t="s">
        <v>3128</v>
      </c>
      <c r="I1213" s="22" t="s">
        <v>3640</v>
      </c>
      <c r="J1213" s="21"/>
      <c r="K1213" s="21"/>
      <c r="L1213" s="21"/>
      <c r="M1213" s="21"/>
    </row>
    <row r="1214" spans="1:13" ht="38.25" x14ac:dyDescent="0.25">
      <c r="A1214" s="21" t="str">
        <f t="shared" si="144"/>
        <v>1</v>
      </c>
      <c r="B1214" s="21" t="str">
        <f t="shared" si="145"/>
        <v>9</v>
      </c>
      <c r="C1214" s="21" t="str">
        <f t="shared" si="146"/>
        <v>3</v>
      </c>
      <c r="D1214" s="21" t="str">
        <f t="shared" si="147"/>
        <v>2</v>
      </c>
      <c r="E1214" s="21" t="str">
        <f t="shared" si="148"/>
        <v>32</v>
      </c>
      <c r="F1214" s="21" t="str">
        <f t="shared" si="149"/>
        <v>00</v>
      </c>
      <c r="G1214" s="21" t="s">
        <v>1200</v>
      </c>
      <c r="H1214" s="21" t="s">
        <v>3129</v>
      </c>
      <c r="I1214" s="22" t="s">
        <v>3641</v>
      </c>
      <c r="J1214" s="21"/>
      <c r="K1214" s="21"/>
      <c r="L1214" s="21"/>
      <c r="M1214" s="21"/>
    </row>
    <row r="1215" spans="1:13" ht="38.25" x14ac:dyDescent="0.25">
      <c r="A1215" s="21" t="str">
        <f t="shared" si="144"/>
        <v>1</v>
      </c>
      <c r="B1215" s="21" t="str">
        <f t="shared" si="145"/>
        <v>9</v>
      </c>
      <c r="C1215" s="21" t="str">
        <f t="shared" si="146"/>
        <v>3</v>
      </c>
      <c r="D1215" s="21" t="str">
        <f t="shared" si="147"/>
        <v>2</v>
      </c>
      <c r="E1215" s="21" t="str">
        <f t="shared" si="148"/>
        <v>33</v>
      </c>
      <c r="F1215" s="21" t="str">
        <f t="shared" si="149"/>
        <v>00</v>
      </c>
      <c r="G1215" s="21" t="s">
        <v>1201</v>
      </c>
      <c r="H1215" s="21" t="s">
        <v>3130</v>
      </c>
      <c r="I1215" s="22" t="s">
        <v>3642</v>
      </c>
      <c r="J1215" s="21"/>
      <c r="K1215" s="21"/>
      <c r="L1215" s="21"/>
      <c r="M1215" s="21"/>
    </row>
    <row r="1216" spans="1:13" ht="38.25" x14ac:dyDescent="0.25">
      <c r="A1216" s="21" t="str">
        <f t="shared" si="144"/>
        <v>1</v>
      </c>
      <c r="B1216" s="21" t="str">
        <f t="shared" si="145"/>
        <v>9</v>
      </c>
      <c r="C1216" s="21" t="str">
        <f t="shared" si="146"/>
        <v>3</v>
      </c>
      <c r="D1216" s="21" t="str">
        <f t="shared" si="147"/>
        <v>2</v>
      </c>
      <c r="E1216" s="21" t="str">
        <f t="shared" si="148"/>
        <v>34</v>
      </c>
      <c r="F1216" s="21" t="str">
        <f t="shared" si="149"/>
        <v>00</v>
      </c>
      <c r="G1216" s="21" t="s">
        <v>1202</v>
      </c>
      <c r="H1216" s="21" t="s">
        <v>3131</v>
      </c>
      <c r="I1216" s="22" t="s">
        <v>3643</v>
      </c>
      <c r="J1216" s="21"/>
      <c r="K1216" s="21"/>
      <c r="L1216" s="21"/>
      <c r="M1216" s="21"/>
    </row>
    <row r="1217" spans="1:13" ht="51" x14ac:dyDescent="0.25">
      <c r="A1217" s="21" t="str">
        <f t="shared" si="144"/>
        <v>1</v>
      </c>
      <c r="B1217" s="21" t="str">
        <f t="shared" si="145"/>
        <v>9</v>
      </c>
      <c r="C1217" s="21" t="str">
        <f t="shared" si="146"/>
        <v>3</v>
      </c>
      <c r="D1217" s="21" t="str">
        <f t="shared" si="147"/>
        <v>2</v>
      </c>
      <c r="E1217" s="21" t="str">
        <f t="shared" si="148"/>
        <v>35</v>
      </c>
      <c r="F1217" s="21" t="str">
        <f t="shared" si="149"/>
        <v>00</v>
      </c>
      <c r="G1217" s="21" t="s">
        <v>1203</v>
      </c>
      <c r="H1217" s="21" t="s">
        <v>3132</v>
      </c>
      <c r="I1217" s="22" t="s">
        <v>3644</v>
      </c>
      <c r="J1217" s="21"/>
      <c r="K1217" s="21"/>
      <c r="L1217" s="21"/>
      <c r="M1217" s="21"/>
    </row>
    <row r="1218" spans="1:13" ht="25.5" x14ac:dyDescent="0.25">
      <c r="A1218" s="21" t="str">
        <f t="shared" si="144"/>
        <v>1</v>
      </c>
      <c r="B1218" s="21" t="str">
        <f t="shared" si="145"/>
        <v>9</v>
      </c>
      <c r="C1218" s="21" t="str">
        <f t="shared" si="146"/>
        <v>3</v>
      </c>
      <c r="D1218" s="21" t="str">
        <f t="shared" si="147"/>
        <v>2</v>
      </c>
      <c r="E1218" s="21" t="str">
        <f t="shared" si="148"/>
        <v>36</v>
      </c>
      <c r="F1218" s="21" t="str">
        <f t="shared" si="149"/>
        <v>00</v>
      </c>
      <c r="G1218" s="21" t="s">
        <v>1204</v>
      </c>
      <c r="H1218" s="21" t="s">
        <v>3133</v>
      </c>
      <c r="I1218" s="22" t="s">
        <v>3645</v>
      </c>
      <c r="J1218" s="21"/>
      <c r="K1218" s="21"/>
      <c r="L1218" s="21"/>
      <c r="M1218" s="21"/>
    </row>
    <row r="1219" spans="1:13" ht="25.5" x14ac:dyDescent="0.25">
      <c r="A1219" s="21" t="str">
        <f t="shared" si="144"/>
        <v>1</v>
      </c>
      <c r="B1219" s="21" t="str">
        <f t="shared" si="145"/>
        <v>9</v>
      </c>
      <c r="C1219" s="21" t="str">
        <f t="shared" si="146"/>
        <v>3</v>
      </c>
      <c r="D1219" s="21" t="str">
        <f t="shared" si="147"/>
        <v>2</v>
      </c>
      <c r="E1219" s="21" t="str">
        <f t="shared" si="148"/>
        <v>37</v>
      </c>
      <c r="F1219" s="21" t="str">
        <f t="shared" si="149"/>
        <v>00</v>
      </c>
      <c r="G1219" s="21" t="s">
        <v>1205</v>
      </c>
      <c r="H1219" s="21" t="s">
        <v>3134</v>
      </c>
      <c r="I1219" s="22" t="s">
        <v>3646</v>
      </c>
      <c r="J1219" s="21"/>
      <c r="K1219" s="21"/>
      <c r="L1219" s="21"/>
      <c r="M1219" s="21"/>
    </row>
    <row r="1220" spans="1:13" ht="25.5" x14ac:dyDescent="0.25">
      <c r="A1220" s="21" t="str">
        <f t="shared" si="144"/>
        <v>1</v>
      </c>
      <c r="B1220" s="21" t="str">
        <f t="shared" si="145"/>
        <v>9</v>
      </c>
      <c r="C1220" s="21" t="str">
        <f t="shared" si="146"/>
        <v>3</v>
      </c>
      <c r="D1220" s="21" t="str">
        <f t="shared" si="147"/>
        <v>2</v>
      </c>
      <c r="E1220" s="21" t="str">
        <f t="shared" si="148"/>
        <v>38</v>
      </c>
      <c r="F1220" s="21" t="str">
        <f t="shared" si="149"/>
        <v>00</v>
      </c>
      <c r="G1220" s="21" t="s">
        <v>1206</v>
      </c>
      <c r="H1220" s="21" t="s">
        <v>3135</v>
      </c>
      <c r="I1220" s="22" t="s">
        <v>3647</v>
      </c>
      <c r="J1220" s="21"/>
      <c r="K1220" s="21"/>
      <c r="L1220" s="21"/>
      <c r="M1220" s="21"/>
    </row>
    <row r="1221" spans="1:13" ht="38.25" x14ac:dyDescent="0.25">
      <c r="A1221" s="21" t="str">
        <f t="shared" si="144"/>
        <v>1</v>
      </c>
      <c r="B1221" s="21" t="str">
        <f t="shared" si="145"/>
        <v>9</v>
      </c>
      <c r="C1221" s="21" t="str">
        <f t="shared" si="146"/>
        <v>3</v>
      </c>
      <c r="D1221" s="21" t="str">
        <f t="shared" si="147"/>
        <v>2</v>
      </c>
      <c r="E1221" s="21" t="str">
        <f t="shared" si="148"/>
        <v>39</v>
      </c>
      <c r="F1221" s="21" t="str">
        <f t="shared" si="149"/>
        <v>00</v>
      </c>
      <c r="G1221" s="21" t="s">
        <v>1207</v>
      </c>
      <c r="H1221" s="21" t="s">
        <v>3136</v>
      </c>
      <c r="I1221" s="22" t="s">
        <v>3648</v>
      </c>
      <c r="J1221" s="21"/>
      <c r="K1221" s="21"/>
      <c r="L1221" s="21"/>
      <c r="M1221" s="21"/>
    </row>
    <row r="1222" spans="1:13" ht="25.5" x14ac:dyDescent="0.25">
      <c r="A1222" s="21" t="str">
        <f t="shared" si="144"/>
        <v>1</v>
      </c>
      <c r="B1222" s="21" t="str">
        <f t="shared" si="145"/>
        <v>9</v>
      </c>
      <c r="C1222" s="21" t="str">
        <f t="shared" si="146"/>
        <v>3</v>
      </c>
      <c r="D1222" s="21" t="str">
        <f t="shared" si="147"/>
        <v>2</v>
      </c>
      <c r="E1222" s="21" t="str">
        <f t="shared" si="148"/>
        <v>40</v>
      </c>
      <c r="F1222" s="21" t="str">
        <f t="shared" si="149"/>
        <v>00</v>
      </c>
      <c r="G1222" s="21" t="s">
        <v>1208</v>
      </c>
      <c r="H1222" s="21" t="s">
        <v>3137</v>
      </c>
      <c r="I1222" s="22" t="s">
        <v>3649</v>
      </c>
      <c r="J1222" s="21"/>
      <c r="K1222" s="21"/>
      <c r="L1222" s="21"/>
      <c r="M1222" s="21"/>
    </row>
    <row r="1223" spans="1:13" ht="25.5" x14ac:dyDescent="0.25">
      <c r="A1223" s="21" t="str">
        <f t="shared" si="144"/>
        <v>1</v>
      </c>
      <c r="B1223" s="21" t="str">
        <f t="shared" si="145"/>
        <v>9</v>
      </c>
      <c r="C1223" s="21" t="str">
        <f t="shared" si="146"/>
        <v>3</v>
      </c>
      <c r="D1223" s="21" t="str">
        <f t="shared" si="147"/>
        <v>2</v>
      </c>
      <c r="E1223" s="21" t="str">
        <f t="shared" si="148"/>
        <v>41</v>
      </c>
      <c r="F1223" s="21" t="str">
        <f t="shared" si="149"/>
        <v>00</v>
      </c>
      <c r="G1223" s="21" t="s">
        <v>1209</v>
      </c>
      <c r="H1223" s="21" t="s">
        <v>3138</v>
      </c>
      <c r="I1223" s="22" t="s">
        <v>3650</v>
      </c>
      <c r="J1223" s="21"/>
      <c r="K1223" s="21"/>
      <c r="L1223" s="21"/>
      <c r="M1223" s="21"/>
    </row>
    <row r="1224" spans="1:13" ht="25.5" x14ac:dyDescent="0.25">
      <c r="A1224" s="21" t="str">
        <f t="shared" si="144"/>
        <v>1</v>
      </c>
      <c r="B1224" s="21" t="str">
        <f t="shared" si="145"/>
        <v>9</v>
      </c>
      <c r="C1224" s="21" t="str">
        <f t="shared" si="146"/>
        <v>3</v>
      </c>
      <c r="D1224" s="21" t="str">
        <f t="shared" si="147"/>
        <v>2</v>
      </c>
      <c r="E1224" s="21" t="str">
        <f t="shared" si="148"/>
        <v>42</v>
      </c>
      <c r="F1224" s="21" t="str">
        <f t="shared" si="149"/>
        <v>00</v>
      </c>
      <c r="G1224" s="21" t="s">
        <v>1210</v>
      </c>
      <c r="H1224" s="21" t="s">
        <v>3139</v>
      </c>
      <c r="I1224" s="22" t="s">
        <v>3651</v>
      </c>
      <c r="J1224" s="21"/>
      <c r="K1224" s="21"/>
      <c r="L1224" s="21"/>
      <c r="M1224" s="21"/>
    </row>
    <row r="1225" spans="1:13" ht="38.25" x14ac:dyDescent="0.25">
      <c r="A1225" s="21" t="str">
        <f t="shared" ref="A1225:A1293" si="150">MID(G1225,1,1)</f>
        <v>1</v>
      </c>
      <c r="B1225" s="21" t="str">
        <f t="shared" ref="B1225:B1293" si="151">MID(G1225,2,1)</f>
        <v>9</v>
      </c>
      <c r="C1225" s="21" t="str">
        <f t="shared" ref="C1225:C1293" si="152">MID(G1225,3,1)</f>
        <v>3</v>
      </c>
      <c r="D1225" s="21" t="str">
        <f t="shared" ref="D1225:D1293" si="153">MID(G1225,4,1)</f>
        <v>2</v>
      </c>
      <c r="E1225" s="21" t="str">
        <f t="shared" ref="E1225:E1293" si="154">MID(G1225,6,2)</f>
        <v>43</v>
      </c>
      <c r="F1225" s="21" t="str">
        <f t="shared" ref="F1225:F1293" si="155">MID(G1225,9,2)</f>
        <v>00</v>
      </c>
      <c r="G1225" s="21" t="s">
        <v>1211</v>
      </c>
      <c r="H1225" s="21" t="s">
        <v>3140</v>
      </c>
      <c r="I1225" s="22" t="s">
        <v>3652</v>
      </c>
      <c r="J1225" s="21"/>
      <c r="K1225" s="21"/>
      <c r="L1225" s="21"/>
      <c r="M1225" s="21"/>
    </row>
    <row r="1226" spans="1:13" ht="25.5" x14ac:dyDescent="0.25">
      <c r="A1226" s="21" t="str">
        <f t="shared" si="150"/>
        <v>1</v>
      </c>
      <c r="B1226" s="21" t="str">
        <f t="shared" si="151"/>
        <v>9</v>
      </c>
      <c r="C1226" s="21" t="str">
        <f t="shared" si="152"/>
        <v>3</v>
      </c>
      <c r="D1226" s="21" t="str">
        <f t="shared" si="153"/>
        <v>2</v>
      </c>
      <c r="E1226" s="21" t="str">
        <f t="shared" si="154"/>
        <v>44</v>
      </c>
      <c r="F1226" s="21" t="str">
        <f t="shared" si="155"/>
        <v>00</v>
      </c>
      <c r="G1226" s="21" t="s">
        <v>1212</v>
      </c>
      <c r="H1226" s="21" t="s">
        <v>3141</v>
      </c>
      <c r="I1226" s="22" t="s">
        <v>3653</v>
      </c>
      <c r="J1226" s="21"/>
      <c r="K1226" s="21"/>
      <c r="L1226" s="21"/>
      <c r="M1226" s="21"/>
    </row>
    <row r="1227" spans="1:13" ht="38.25" x14ac:dyDescent="0.25">
      <c r="A1227" s="21" t="str">
        <f t="shared" si="150"/>
        <v>1</v>
      </c>
      <c r="B1227" s="21" t="str">
        <f t="shared" si="151"/>
        <v>9</v>
      </c>
      <c r="C1227" s="21" t="str">
        <f t="shared" si="152"/>
        <v>3</v>
      </c>
      <c r="D1227" s="21" t="str">
        <f t="shared" si="153"/>
        <v>2</v>
      </c>
      <c r="E1227" s="21" t="str">
        <f t="shared" si="154"/>
        <v>45</v>
      </c>
      <c r="F1227" s="21" t="str">
        <f t="shared" si="155"/>
        <v>00</v>
      </c>
      <c r="G1227" s="21" t="s">
        <v>1213</v>
      </c>
      <c r="H1227" s="21" t="s">
        <v>3142</v>
      </c>
      <c r="I1227" s="22" t="s">
        <v>3654</v>
      </c>
      <c r="J1227" s="21"/>
      <c r="K1227" s="21"/>
      <c r="L1227" s="21"/>
      <c r="M1227" s="21"/>
    </row>
    <row r="1228" spans="1:13" ht="38.25" x14ac:dyDescent="0.25">
      <c r="A1228" s="21" t="str">
        <f t="shared" si="150"/>
        <v>1</v>
      </c>
      <c r="B1228" s="21" t="str">
        <f t="shared" si="151"/>
        <v>9</v>
      </c>
      <c r="C1228" s="21" t="str">
        <f t="shared" si="152"/>
        <v>3</v>
      </c>
      <c r="D1228" s="21" t="str">
        <f t="shared" si="153"/>
        <v>2</v>
      </c>
      <c r="E1228" s="21" t="str">
        <f t="shared" si="154"/>
        <v>46</v>
      </c>
      <c r="F1228" s="21" t="str">
        <f t="shared" si="155"/>
        <v>00</v>
      </c>
      <c r="G1228" s="21" t="s">
        <v>1214</v>
      </c>
      <c r="H1228" s="21" t="s">
        <v>3143</v>
      </c>
      <c r="I1228" s="22" t="s">
        <v>3655</v>
      </c>
      <c r="J1228" s="21"/>
      <c r="K1228" s="21"/>
      <c r="L1228" s="21"/>
      <c r="M1228" s="21"/>
    </row>
    <row r="1229" spans="1:13" ht="25.5" x14ac:dyDescent="0.25">
      <c r="A1229" s="21" t="str">
        <f t="shared" si="150"/>
        <v>1</v>
      </c>
      <c r="B1229" s="21" t="str">
        <f t="shared" si="151"/>
        <v>9</v>
      </c>
      <c r="C1229" s="21" t="str">
        <f t="shared" si="152"/>
        <v>3</v>
      </c>
      <c r="D1229" s="21" t="str">
        <f t="shared" si="153"/>
        <v>2</v>
      </c>
      <c r="E1229" s="21" t="str">
        <f t="shared" si="154"/>
        <v>47</v>
      </c>
      <c r="F1229" s="21" t="str">
        <f t="shared" si="155"/>
        <v>00</v>
      </c>
      <c r="G1229" s="21" t="s">
        <v>1215</v>
      </c>
      <c r="H1229" s="21" t="s">
        <v>3144</v>
      </c>
      <c r="I1229" s="22" t="s">
        <v>3656</v>
      </c>
      <c r="J1229" s="21"/>
      <c r="K1229" s="21"/>
      <c r="L1229" s="21"/>
      <c r="M1229" s="21"/>
    </row>
    <row r="1230" spans="1:13" ht="38.25" x14ac:dyDescent="0.25">
      <c r="A1230" s="13" t="str">
        <f t="shared" si="150"/>
        <v>1</v>
      </c>
      <c r="B1230" s="13" t="str">
        <f t="shared" si="151"/>
        <v>9</v>
      </c>
      <c r="C1230" s="13" t="str">
        <f t="shared" si="152"/>
        <v>3</v>
      </c>
      <c r="D1230" s="13" t="str">
        <f t="shared" si="153"/>
        <v>2</v>
      </c>
      <c r="E1230" s="13" t="str">
        <f t="shared" si="154"/>
        <v>47</v>
      </c>
      <c r="F1230" s="13" t="str">
        <f t="shared" si="155"/>
        <v>10</v>
      </c>
      <c r="G1230" s="13" t="s">
        <v>1216</v>
      </c>
      <c r="H1230" s="13" t="s">
        <v>3145</v>
      </c>
      <c r="I1230" s="16" t="s">
        <v>3657</v>
      </c>
      <c r="J1230" s="13"/>
      <c r="K1230" s="13"/>
      <c r="L1230" s="13"/>
      <c r="M1230" s="16"/>
    </row>
    <row r="1231" spans="1:13" ht="25.5" x14ac:dyDescent="0.25">
      <c r="A1231" s="13" t="str">
        <f t="shared" si="150"/>
        <v>1</v>
      </c>
      <c r="B1231" s="13" t="str">
        <f t="shared" si="151"/>
        <v>9</v>
      </c>
      <c r="C1231" s="13" t="str">
        <f t="shared" si="152"/>
        <v>3</v>
      </c>
      <c r="D1231" s="13" t="str">
        <f t="shared" si="153"/>
        <v>2</v>
      </c>
      <c r="E1231" s="13" t="str">
        <f t="shared" si="154"/>
        <v>47</v>
      </c>
      <c r="F1231" s="13" t="str">
        <f t="shared" si="155"/>
        <v>20</v>
      </c>
      <c r="G1231" s="13" t="s">
        <v>1217</v>
      </c>
      <c r="H1231" s="13" t="s">
        <v>3146</v>
      </c>
      <c r="I1231" s="16" t="s">
        <v>3658</v>
      </c>
      <c r="J1231" s="13"/>
      <c r="K1231" s="13"/>
      <c r="L1231" s="13"/>
      <c r="M1231" s="16"/>
    </row>
    <row r="1232" spans="1:13" ht="25.5" x14ac:dyDescent="0.25">
      <c r="A1232" s="21" t="str">
        <f t="shared" si="150"/>
        <v>1</v>
      </c>
      <c r="B1232" s="21" t="str">
        <f t="shared" si="151"/>
        <v>9</v>
      </c>
      <c r="C1232" s="21" t="str">
        <f t="shared" si="152"/>
        <v>3</v>
      </c>
      <c r="D1232" s="21" t="str">
        <f t="shared" si="153"/>
        <v>2</v>
      </c>
      <c r="E1232" s="21" t="str">
        <f t="shared" si="154"/>
        <v>99</v>
      </c>
      <c r="F1232" s="21" t="str">
        <f t="shared" si="155"/>
        <v>00</v>
      </c>
      <c r="G1232" s="21" t="s">
        <v>1218</v>
      </c>
      <c r="H1232" s="21" t="s">
        <v>3147</v>
      </c>
      <c r="I1232" s="22" t="s">
        <v>3659</v>
      </c>
      <c r="J1232" s="21"/>
      <c r="K1232" s="21"/>
      <c r="L1232" s="21"/>
      <c r="M1232" s="21"/>
    </row>
    <row r="1233" spans="1:13" ht="25.5" x14ac:dyDescent="0.25">
      <c r="A1233" s="13" t="str">
        <f t="shared" si="150"/>
        <v>1</v>
      </c>
      <c r="B1233" s="13" t="str">
        <f t="shared" si="151"/>
        <v>9</v>
      </c>
      <c r="C1233" s="13" t="str">
        <f t="shared" si="152"/>
        <v>3</v>
      </c>
      <c r="D1233" s="13" t="str">
        <f t="shared" si="153"/>
        <v>2</v>
      </c>
      <c r="E1233" s="13" t="str">
        <f t="shared" si="154"/>
        <v>99</v>
      </c>
      <c r="F1233" s="13" t="str">
        <f t="shared" si="155"/>
        <v>01</v>
      </c>
      <c r="G1233" s="13" t="s">
        <v>1219</v>
      </c>
      <c r="H1233" s="13" t="s">
        <v>3148</v>
      </c>
      <c r="I1233" s="16" t="s">
        <v>3660</v>
      </c>
      <c r="J1233" s="13"/>
      <c r="K1233" s="13"/>
      <c r="L1233" s="13"/>
      <c r="M1233" s="16"/>
    </row>
    <row r="1234" spans="1:13" ht="25.5" x14ac:dyDescent="0.25">
      <c r="A1234" s="13" t="str">
        <f t="shared" si="150"/>
        <v>1</v>
      </c>
      <c r="B1234" s="13" t="str">
        <f t="shared" si="151"/>
        <v>9</v>
      </c>
      <c r="C1234" s="13" t="str">
        <f t="shared" si="152"/>
        <v>3</v>
      </c>
      <c r="D1234" s="13" t="str">
        <f t="shared" si="153"/>
        <v>2</v>
      </c>
      <c r="E1234" s="13" t="str">
        <f t="shared" si="154"/>
        <v>99</v>
      </c>
      <c r="F1234" s="13" t="str">
        <f t="shared" si="155"/>
        <v>02</v>
      </c>
      <c r="G1234" s="13" t="s">
        <v>1220</v>
      </c>
      <c r="H1234" s="13" t="s">
        <v>3149</v>
      </c>
      <c r="I1234" s="16" t="s">
        <v>3661</v>
      </c>
      <c r="J1234" s="13"/>
      <c r="K1234" s="13"/>
      <c r="L1234" s="13"/>
      <c r="M1234" s="16"/>
    </row>
    <row r="1235" spans="1:13" ht="38.25" x14ac:dyDescent="0.25">
      <c r="A1235" s="12" t="str">
        <f t="shared" si="150"/>
        <v>1</v>
      </c>
      <c r="B1235" s="12" t="str">
        <f t="shared" si="151"/>
        <v>9</v>
      </c>
      <c r="C1235" s="12" t="str">
        <f t="shared" si="152"/>
        <v>4</v>
      </c>
      <c r="D1235" s="12" t="str">
        <f t="shared" si="153"/>
        <v>0</v>
      </c>
      <c r="E1235" s="12" t="str">
        <f t="shared" si="154"/>
        <v>00</v>
      </c>
      <c r="F1235" s="12" t="str">
        <f t="shared" si="155"/>
        <v>00</v>
      </c>
      <c r="G1235" s="12" t="s">
        <v>1221</v>
      </c>
      <c r="H1235" s="12" t="s">
        <v>3150</v>
      </c>
      <c r="I1235" s="15" t="s">
        <v>3662</v>
      </c>
      <c r="J1235" s="12"/>
      <c r="K1235" s="12"/>
      <c r="L1235" s="12"/>
      <c r="M1235" s="15"/>
    </row>
    <row r="1236" spans="1:13" ht="25.5" x14ac:dyDescent="0.25">
      <c r="A1236" s="12" t="str">
        <f t="shared" si="150"/>
        <v>1</v>
      </c>
      <c r="B1236" s="12" t="str">
        <f t="shared" si="151"/>
        <v>9</v>
      </c>
      <c r="C1236" s="12" t="str">
        <f t="shared" si="152"/>
        <v>5</v>
      </c>
      <c r="D1236" s="12" t="str">
        <f t="shared" si="153"/>
        <v>0</v>
      </c>
      <c r="E1236" s="12" t="str">
        <f t="shared" si="154"/>
        <v>00</v>
      </c>
      <c r="F1236" s="12" t="str">
        <f t="shared" si="155"/>
        <v>00</v>
      </c>
      <c r="G1236" s="12" t="s">
        <v>1222</v>
      </c>
      <c r="H1236" s="12" t="s">
        <v>3151</v>
      </c>
      <c r="I1236" s="15" t="s">
        <v>4014</v>
      </c>
      <c r="J1236" s="12"/>
      <c r="K1236" s="12" t="s">
        <v>46</v>
      </c>
      <c r="L1236" s="12" t="s">
        <v>4234</v>
      </c>
      <c r="M1236" s="15"/>
    </row>
    <row r="1237" spans="1:13" ht="38.25" x14ac:dyDescent="0.25">
      <c r="A1237" s="12" t="str">
        <f t="shared" si="150"/>
        <v>1</v>
      </c>
      <c r="B1237" s="12" t="str">
        <f t="shared" si="151"/>
        <v>9</v>
      </c>
      <c r="C1237" s="12" t="str">
        <f t="shared" si="152"/>
        <v>9</v>
      </c>
      <c r="D1237" s="12" t="str">
        <f t="shared" si="153"/>
        <v>0</v>
      </c>
      <c r="E1237" s="12" t="str">
        <f t="shared" si="154"/>
        <v>00</v>
      </c>
      <c r="F1237" s="12" t="str">
        <f t="shared" si="155"/>
        <v>00</v>
      </c>
      <c r="G1237" s="12" t="s">
        <v>1223</v>
      </c>
      <c r="H1237" s="12" t="s">
        <v>3152</v>
      </c>
      <c r="I1237" s="15" t="s">
        <v>3663</v>
      </c>
      <c r="J1237" s="12"/>
      <c r="K1237" s="12"/>
      <c r="L1237" s="12"/>
      <c r="M1237" s="15"/>
    </row>
    <row r="1238" spans="1:13" ht="25.5" x14ac:dyDescent="0.25">
      <c r="A1238" s="21" t="str">
        <f t="shared" si="150"/>
        <v>1</v>
      </c>
      <c r="B1238" s="21" t="str">
        <f t="shared" si="151"/>
        <v>9</v>
      </c>
      <c r="C1238" s="21" t="str">
        <f t="shared" si="152"/>
        <v>9</v>
      </c>
      <c r="D1238" s="21" t="str">
        <f t="shared" si="153"/>
        <v>0</v>
      </c>
      <c r="E1238" s="21" t="str">
        <f t="shared" si="154"/>
        <v>01</v>
      </c>
      <c r="F1238" s="21" t="str">
        <f t="shared" si="155"/>
        <v>00</v>
      </c>
      <c r="G1238" s="21" t="s">
        <v>1224</v>
      </c>
      <c r="H1238" s="21" t="s">
        <v>3153</v>
      </c>
      <c r="I1238" s="22" t="s">
        <v>3664</v>
      </c>
      <c r="J1238" s="21"/>
      <c r="K1238" s="21"/>
      <c r="L1238" s="21"/>
      <c r="M1238" s="21"/>
    </row>
    <row r="1239" spans="1:13" ht="38.25" x14ac:dyDescent="0.25">
      <c r="A1239" s="21" t="str">
        <f t="shared" si="150"/>
        <v>1</v>
      </c>
      <c r="B1239" s="21" t="str">
        <f t="shared" si="151"/>
        <v>9</v>
      </c>
      <c r="C1239" s="21" t="str">
        <f t="shared" si="152"/>
        <v>9</v>
      </c>
      <c r="D1239" s="21" t="str">
        <f t="shared" si="153"/>
        <v>0</v>
      </c>
      <c r="E1239" s="21" t="str">
        <f t="shared" si="154"/>
        <v>02</v>
      </c>
      <c r="F1239" s="21" t="str">
        <f t="shared" si="155"/>
        <v>00</v>
      </c>
      <c r="G1239" s="21" t="s">
        <v>1225</v>
      </c>
      <c r="H1239" s="21" t="s">
        <v>4274</v>
      </c>
      <c r="I1239" s="22" t="s">
        <v>3665</v>
      </c>
      <c r="J1239" s="21"/>
      <c r="K1239" s="21" t="s">
        <v>4018</v>
      </c>
      <c r="L1239" s="21" t="s">
        <v>4282</v>
      </c>
      <c r="M1239" s="21"/>
    </row>
    <row r="1240" spans="1:13" ht="38.25" x14ac:dyDescent="0.25">
      <c r="A1240" s="13" t="str">
        <f t="shared" si="150"/>
        <v>1</v>
      </c>
      <c r="B1240" s="13" t="str">
        <f t="shared" si="151"/>
        <v>9</v>
      </c>
      <c r="C1240" s="13" t="str">
        <f t="shared" si="152"/>
        <v>9</v>
      </c>
      <c r="D1240" s="13" t="str">
        <f t="shared" si="153"/>
        <v>0</v>
      </c>
      <c r="E1240" s="13" t="str">
        <f t="shared" si="154"/>
        <v>02</v>
      </c>
      <c r="F1240" s="13" t="str">
        <f t="shared" si="155"/>
        <v>01</v>
      </c>
      <c r="G1240" s="13" t="s">
        <v>1226</v>
      </c>
      <c r="H1240" s="13" t="s">
        <v>4275</v>
      </c>
      <c r="I1240" s="16" t="s">
        <v>4277</v>
      </c>
      <c r="J1240" s="13"/>
      <c r="K1240" s="13" t="s">
        <v>4018</v>
      </c>
      <c r="L1240" s="13" t="s">
        <v>4282</v>
      </c>
      <c r="M1240" s="16" t="s">
        <v>4276</v>
      </c>
    </row>
    <row r="1241" spans="1:13" x14ac:dyDescent="0.25">
      <c r="A1241" s="13" t="str">
        <f t="shared" si="150"/>
        <v>1</v>
      </c>
      <c r="B1241" s="13" t="str">
        <f t="shared" si="151"/>
        <v>9</v>
      </c>
      <c r="C1241" s="13" t="str">
        <f t="shared" si="152"/>
        <v>9</v>
      </c>
      <c r="D1241" s="13" t="str">
        <f t="shared" si="153"/>
        <v>0</v>
      </c>
      <c r="E1241" s="13" t="str">
        <f t="shared" si="154"/>
        <v>02</v>
      </c>
      <c r="F1241" s="13" t="str">
        <f t="shared" si="155"/>
        <v>02</v>
      </c>
      <c r="G1241" s="13" t="s">
        <v>1227</v>
      </c>
      <c r="H1241" s="13" t="s">
        <v>3154</v>
      </c>
      <c r="I1241" s="16" t="s">
        <v>3666</v>
      </c>
      <c r="J1241" s="13"/>
      <c r="K1241" s="13"/>
      <c r="L1241" s="13"/>
      <c r="M1241" s="16"/>
    </row>
    <row r="1242" spans="1:13" ht="25.5" x14ac:dyDescent="0.25">
      <c r="A1242" s="21" t="str">
        <f t="shared" si="150"/>
        <v>1</v>
      </c>
      <c r="B1242" s="21" t="str">
        <f t="shared" si="151"/>
        <v>9</v>
      </c>
      <c r="C1242" s="21" t="str">
        <f t="shared" si="152"/>
        <v>9</v>
      </c>
      <c r="D1242" s="21" t="str">
        <f t="shared" si="153"/>
        <v>0</v>
      </c>
      <c r="E1242" s="21" t="str">
        <f t="shared" si="154"/>
        <v>03</v>
      </c>
      <c r="F1242" s="21" t="str">
        <f t="shared" si="155"/>
        <v>00</v>
      </c>
      <c r="G1242" s="21" t="s">
        <v>1228</v>
      </c>
      <c r="H1242" s="21" t="s">
        <v>3155</v>
      </c>
      <c r="I1242" s="22" t="s">
        <v>3667</v>
      </c>
      <c r="J1242" s="21"/>
      <c r="K1242" s="21"/>
      <c r="L1242" s="21"/>
      <c r="M1242" s="21"/>
    </row>
    <row r="1243" spans="1:13" ht="38.25" x14ac:dyDescent="0.25">
      <c r="A1243" s="13" t="str">
        <f t="shared" si="150"/>
        <v>1</v>
      </c>
      <c r="B1243" s="13" t="str">
        <f t="shared" si="151"/>
        <v>9</v>
      </c>
      <c r="C1243" s="13" t="str">
        <f t="shared" si="152"/>
        <v>9</v>
      </c>
      <c r="D1243" s="13" t="str">
        <f t="shared" si="153"/>
        <v>0</v>
      </c>
      <c r="E1243" s="13" t="str">
        <f t="shared" si="154"/>
        <v>03</v>
      </c>
      <c r="F1243" s="13" t="str">
        <f t="shared" si="155"/>
        <v>01</v>
      </c>
      <c r="G1243" s="13" t="s">
        <v>1229</v>
      </c>
      <c r="H1243" s="13" t="s">
        <v>3156</v>
      </c>
      <c r="I1243" s="16" t="s">
        <v>3668</v>
      </c>
      <c r="J1243" s="13"/>
      <c r="K1243" s="13"/>
      <c r="L1243" s="13"/>
      <c r="M1243" s="16"/>
    </row>
    <row r="1244" spans="1:13" ht="51" x14ac:dyDescent="0.25">
      <c r="A1244" s="13" t="str">
        <f t="shared" si="150"/>
        <v>1</v>
      </c>
      <c r="B1244" s="13" t="str">
        <f t="shared" si="151"/>
        <v>9</v>
      </c>
      <c r="C1244" s="13" t="str">
        <f t="shared" si="152"/>
        <v>9</v>
      </c>
      <c r="D1244" s="13" t="str">
        <f t="shared" si="153"/>
        <v>0</v>
      </c>
      <c r="E1244" s="13" t="str">
        <f t="shared" si="154"/>
        <v>03</v>
      </c>
      <c r="F1244" s="13" t="str">
        <f t="shared" si="155"/>
        <v>02</v>
      </c>
      <c r="G1244" s="13" t="s">
        <v>1230</v>
      </c>
      <c r="H1244" s="13" t="s">
        <v>3157</v>
      </c>
      <c r="I1244" s="16" t="s">
        <v>3669</v>
      </c>
      <c r="J1244" s="13"/>
      <c r="K1244" s="13"/>
      <c r="L1244" s="13"/>
      <c r="M1244" s="16"/>
    </row>
    <row r="1245" spans="1:13" ht="25.5" x14ac:dyDescent="0.25">
      <c r="A1245" s="13" t="str">
        <f t="shared" si="150"/>
        <v>1</v>
      </c>
      <c r="B1245" s="13" t="str">
        <f t="shared" si="151"/>
        <v>9</v>
      </c>
      <c r="C1245" s="13" t="str">
        <f t="shared" si="152"/>
        <v>9</v>
      </c>
      <c r="D1245" s="13" t="str">
        <f t="shared" si="153"/>
        <v>0</v>
      </c>
      <c r="E1245" s="13" t="str">
        <f t="shared" si="154"/>
        <v>03</v>
      </c>
      <c r="F1245" s="13" t="str">
        <f t="shared" si="155"/>
        <v>03</v>
      </c>
      <c r="G1245" s="13" t="s">
        <v>1231</v>
      </c>
      <c r="H1245" s="13" t="s">
        <v>3158</v>
      </c>
      <c r="I1245" s="16" t="s">
        <v>3670</v>
      </c>
      <c r="J1245" s="13"/>
      <c r="K1245" s="13"/>
      <c r="L1245" s="13"/>
      <c r="M1245" s="16"/>
    </row>
    <row r="1246" spans="1:13" ht="38.25" x14ac:dyDescent="0.25">
      <c r="A1246" s="13" t="str">
        <f t="shared" si="150"/>
        <v>1</v>
      </c>
      <c r="B1246" s="13" t="str">
        <f t="shared" si="151"/>
        <v>9</v>
      </c>
      <c r="C1246" s="13" t="str">
        <f t="shared" si="152"/>
        <v>9</v>
      </c>
      <c r="D1246" s="13" t="str">
        <f t="shared" si="153"/>
        <v>0</v>
      </c>
      <c r="E1246" s="13" t="str">
        <f t="shared" si="154"/>
        <v>03</v>
      </c>
      <c r="F1246" s="13" t="str">
        <f t="shared" si="155"/>
        <v>04</v>
      </c>
      <c r="G1246" s="13" t="s">
        <v>1232</v>
      </c>
      <c r="H1246" s="13" t="s">
        <v>3159</v>
      </c>
      <c r="I1246" s="16" t="s">
        <v>3671</v>
      </c>
      <c r="J1246" s="13"/>
      <c r="K1246" s="13"/>
      <c r="L1246" s="13"/>
      <c r="M1246" s="16"/>
    </row>
    <row r="1247" spans="1:13" ht="38.25" x14ac:dyDescent="0.25">
      <c r="A1247" s="13" t="str">
        <f t="shared" si="150"/>
        <v>1</v>
      </c>
      <c r="B1247" s="13" t="str">
        <f t="shared" si="151"/>
        <v>9</v>
      </c>
      <c r="C1247" s="13" t="str">
        <f t="shared" si="152"/>
        <v>9</v>
      </c>
      <c r="D1247" s="13" t="str">
        <f t="shared" si="153"/>
        <v>0</v>
      </c>
      <c r="E1247" s="13" t="str">
        <f t="shared" si="154"/>
        <v>03</v>
      </c>
      <c r="F1247" s="13" t="str">
        <f t="shared" si="155"/>
        <v>05</v>
      </c>
      <c r="G1247" s="13" t="s">
        <v>1233</v>
      </c>
      <c r="H1247" s="13" t="s">
        <v>3160</v>
      </c>
      <c r="I1247" s="16" t="s">
        <v>3672</v>
      </c>
      <c r="J1247" s="13"/>
      <c r="K1247" s="13"/>
      <c r="L1247" s="13"/>
      <c r="M1247" s="16"/>
    </row>
    <row r="1248" spans="1:13" ht="25.5" x14ac:dyDescent="0.25">
      <c r="A1248" s="21" t="str">
        <f t="shared" si="150"/>
        <v>1</v>
      </c>
      <c r="B1248" s="21" t="str">
        <f t="shared" si="151"/>
        <v>9</v>
      </c>
      <c r="C1248" s="21" t="str">
        <f t="shared" si="152"/>
        <v>9</v>
      </c>
      <c r="D1248" s="21" t="str">
        <f t="shared" si="153"/>
        <v>0</v>
      </c>
      <c r="E1248" s="21" t="str">
        <f t="shared" si="154"/>
        <v>04</v>
      </c>
      <c r="F1248" s="21" t="str">
        <f t="shared" si="155"/>
        <v>00</v>
      </c>
      <c r="G1248" s="21" t="s">
        <v>1234</v>
      </c>
      <c r="H1248" s="21" t="s">
        <v>3161</v>
      </c>
      <c r="I1248" s="22" t="s">
        <v>3673</v>
      </c>
      <c r="J1248" s="21"/>
      <c r="K1248" s="21"/>
      <c r="L1248" s="21"/>
      <c r="M1248" s="21"/>
    </row>
    <row r="1249" spans="1:13" ht="25.5" x14ac:dyDescent="0.25">
      <c r="A1249" s="21" t="str">
        <f t="shared" si="150"/>
        <v>1</v>
      </c>
      <c r="B1249" s="21" t="str">
        <f t="shared" si="151"/>
        <v>9</v>
      </c>
      <c r="C1249" s="21" t="str">
        <f t="shared" si="152"/>
        <v>9</v>
      </c>
      <c r="D1249" s="21" t="str">
        <f t="shared" si="153"/>
        <v>0</v>
      </c>
      <c r="E1249" s="21" t="str">
        <f t="shared" si="154"/>
        <v>05</v>
      </c>
      <c r="F1249" s="21" t="str">
        <f t="shared" si="155"/>
        <v>00</v>
      </c>
      <c r="G1249" s="21" t="s">
        <v>1235</v>
      </c>
      <c r="H1249" s="21" t="s">
        <v>3162</v>
      </c>
      <c r="I1249" s="22" t="s">
        <v>3674</v>
      </c>
      <c r="J1249" s="21"/>
      <c r="K1249" s="21"/>
      <c r="L1249" s="21"/>
      <c r="M1249" s="21"/>
    </row>
    <row r="1250" spans="1:13" ht="25.5" x14ac:dyDescent="0.25">
      <c r="A1250" s="13" t="str">
        <f t="shared" si="150"/>
        <v>1</v>
      </c>
      <c r="B1250" s="13" t="str">
        <f t="shared" si="151"/>
        <v>9</v>
      </c>
      <c r="C1250" s="13" t="str">
        <f t="shared" si="152"/>
        <v>9</v>
      </c>
      <c r="D1250" s="13" t="str">
        <f t="shared" si="153"/>
        <v>0</v>
      </c>
      <c r="E1250" s="13" t="str">
        <f t="shared" si="154"/>
        <v>05</v>
      </c>
      <c r="F1250" s="13" t="str">
        <f t="shared" si="155"/>
        <v>10</v>
      </c>
      <c r="G1250" s="13" t="s">
        <v>1236</v>
      </c>
      <c r="H1250" s="13" t="s">
        <v>3163</v>
      </c>
      <c r="I1250" s="16" t="s">
        <v>3675</v>
      </c>
      <c r="J1250" s="13"/>
      <c r="K1250" s="13"/>
      <c r="L1250" s="13"/>
      <c r="M1250" s="16"/>
    </row>
    <row r="1251" spans="1:13" ht="25.5" x14ac:dyDescent="0.25">
      <c r="A1251" s="13" t="str">
        <f t="shared" si="150"/>
        <v>1</v>
      </c>
      <c r="B1251" s="13" t="str">
        <f t="shared" si="151"/>
        <v>9</v>
      </c>
      <c r="C1251" s="13" t="str">
        <f t="shared" si="152"/>
        <v>9</v>
      </c>
      <c r="D1251" s="13" t="str">
        <f t="shared" si="153"/>
        <v>0</v>
      </c>
      <c r="E1251" s="13" t="str">
        <f t="shared" si="154"/>
        <v>05</v>
      </c>
      <c r="F1251" s="13" t="str">
        <f t="shared" si="155"/>
        <v>20</v>
      </c>
      <c r="G1251" s="13" t="s">
        <v>1237</v>
      </c>
      <c r="H1251" s="13" t="s">
        <v>3164</v>
      </c>
      <c r="I1251" s="16" t="s">
        <v>3676</v>
      </c>
      <c r="J1251" s="13"/>
      <c r="K1251" s="13"/>
      <c r="L1251" s="13"/>
      <c r="M1251" s="16"/>
    </row>
    <row r="1252" spans="1:13" ht="38.25" x14ac:dyDescent="0.25">
      <c r="A1252" s="21" t="str">
        <f t="shared" si="150"/>
        <v>1</v>
      </c>
      <c r="B1252" s="21" t="str">
        <f t="shared" si="151"/>
        <v>9</v>
      </c>
      <c r="C1252" s="21" t="str">
        <f t="shared" si="152"/>
        <v>9</v>
      </c>
      <c r="D1252" s="21" t="str">
        <f t="shared" si="153"/>
        <v>0</v>
      </c>
      <c r="E1252" s="21" t="str">
        <f t="shared" si="154"/>
        <v>06</v>
      </c>
      <c r="F1252" s="21" t="str">
        <f t="shared" si="155"/>
        <v>00</v>
      </c>
      <c r="G1252" s="21" t="s">
        <v>1238</v>
      </c>
      <c r="H1252" s="21" t="s">
        <v>3165</v>
      </c>
      <c r="I1252" s="22" t="s">
        <v>3677</v>
      </c>
      <c r="J1252" s="21"/>
      <c r="K1252" s="21" t="s">
        <v>4018</v>
      </c>
      <c r="L1252" s="21" t="s">
        <v>4258</v>
      </c>
      <c r="M1252" s="21"/>
    </row>
    <row r="1253" spans="1:13" s="49" customFormat="1" ht="38.25" x14ac:dyDescent="0.25">
      <c r="A1253" s="43" t="str">
        <f t="shared" si="150"/>
        <v>1</v>
      </c>
      <c r="B1253" s="43" t="str">
        <f t="shared" si="151"/>
        <v>9</v>
      </c>
      <c r="C1253" s="43" t="str">
        <f t="shared" si="152"/>
        <v>9</v>
      </c>
      <c r="D1253" s="43" t="str">
        <f t="shared" si="153"/>
        <v>0</v>
      </c>
      <c r="E1253" s="43" t="str">
        <f t="shared" si="154"/>
        <v>06</v>
      </c>
      <c r="F1253" s="43" t="str">
        <f t="shared" si="155"/>
        <v>01</v>
      </c>
      <c r="G1253" s="43" t="s">
        <v>4251</v>
      </c>
      <c r="H1253" s="43" t="s">
        <v>4255</v>
      </c>
      <c r="I1253" s="44" t="s">
        <v>4253</v>
      </c>
      <c r="J1253" s="43"/>
      <c r="K1253" s="43" t="s">
        <v>46</v>
      </c>
      <c r="L1253" s="43" t="s">
        <v>4254</v>
      </c>
      <c r="M1253" s="43"/>
    </row>
    <row r="1254" spans="1:13" s="49" customFormat="1" ht="51" x14ac:dyDescent="0.25">
      <c r="A1254" s="43" t="str">
        <f t="shared" ref="A1254" si="156">MID(G1254,1,1)</f>
        <v>1</v>
      </c>
      <c r="B1254" s="43" t="str">
        <f t="shared" ref="B1254" si="157">MID(G1254,2,1)</f>
        <v>9</v>
      </c>
      <c r="C1254" s="43" t="str">
        <f t="shared" ref="C1254" si="158">MID(G1254,3,1)</f>
        <v>9</v>
      </c>
      <c r="D1254" s="43" t="str">
        <f t="shared" ref="D1254" si="159">MID(G1254,4,1)</f>
        <v>0</v>
      </c>
      <c r="E1254" s="43" t="str">
        <f t="shared" ref="E1254" si="160">MID(G1254,6,2)</f>
        <v>06</v>
      </c>
      <c r="F1254" s="43" t="str">
        <f t="shared" ref="F1254" si="161">MID(G1254,9,2)</f>
        <v>02</v>
      </c>
      <c r="G1254" s="43" t="s">
        <v>4252</v>
      </c>
      <c r="H1254" s="43" t="s">
        <v>4256</v>
      </c>
      <c r="I1254" s="44" t="s">
        <v>4257</v>
      </c>
      <c r="J1254" s="43"/>
      <c r="K1254" s="43" t="s">
        <v>46</v>
      </c>
      <c r="L1254" s="43" t="s">
        <v>4254</v>
      </c>
      <c r="M1254" s="43"/>
    </row>
    <row r="1255" spans="1:13" ht="25.5" x14ac:dyDescent="0.25">
      <c r="A1255" s="21" t="str">
        <f t="shared" si="150"/>
        <v>1</v>
      </c>
      <c r="B1255" s="21" t="str">
        <f t="shared" si="151"/>
        <v>9</v>
      </c>
      <c r="C1255" s="21" t="str">
        <f t="shared" si="152"/>
        <v>9</v>
      </c>
      <c r="D1255" s="21" t="str">
        <f t="shared" si="153"/>
        <v>0</v>
      </c>
      <c r="E1255" s="21" t="str">
        <f t="shared" si="154"/>
        <v>07</v>
      </c>
      <c r="F1255" s="21" t="str">
        <f t="shared" si="155"/>
        <v>00</v>
      </c>
      <c r="G1255" s="21" t="s">
        <v>1239</v>
      </c>
      <c r="H1255" s="21" t="s">
        <v>3166</v>
      </c>
      <c r="I1255" s="22" t="s">
        <v>3678</v>
      </c>
      <c r="J1255" s="21"/>
      <c r="K1255" s="21"/>
      <c r="L1255" s="21"/>
      <c r="M1255" s="21"/>
    </row>
    <row r="1256" spans="1:13" ht="51" x14ac:dyDescent="0.25">
      <c r="A1256" s="21" t="str">
        <f t="shared" si="150"/>
        <v>1</v>
      </c>
      <c r="B1256" s="21" t="str">
        <f t="shared" si="151"/>
        <v>9</v>
      </c>
      <c r="C1256" s="21" t="str">
        <f t="shared" si="152"/>
        <v>9</v>
      </c>
      <c r="D1256" s="21" t="str">
        <f t="shared" si="153"/>
        <v>0</v>
      </c>
      <c r="E1256" s="21" t="str">
        <f t="shared" si="154"/>
        <v>08</v>
      </c>
      <c r="F1256" s="21" t="str">
        <f t="shared" si="155"/>
        <v>00</v>
      </c>
      <c r="G1256" s="21" t="s">
        <v>1240</v>
      </c>
      <c r="H1256" s="21" t="s">
        <v>3167</v>
      </c>
      <c r="I1256" s="22" t="s">
        <v>3679</v>
      </c>
      <c r="J1256" s="21"/>
      <c r="K1256" s="21"/>
      <c r="L1256" s="21"/>
      <c r="M1256" s="21"/>
    </row>
    <row r="1257" spans="1:13" ht="38.25" x14ac:dyDescent="0.25">
      <c r="A1257" s="21" t="str">
        <f t="shared" si="150"/>
        <v>1</v>
      </c>
      <c r="B1257" s="21" t="str">
        <f t="shared" si="151"/>
        <v>9</v>
      </c>
      <c r="C1257" s="21" t="str">
        <f t="shared" si="152"/>
        <v>9</v>
      </c>
      <c r="D1257" s="21" t="str">
        <f t="shared" si="153"/>
        <v>0</v>
      </c>
      <c r="E1257" s="21" t="str">
        <f t="shared" si="154"/>
        <v>10</v>
      </c>
      <c r="F1257" s="21" t="str">
        <f t="shared" si="155"/>
        <v>00</v>
      </c>
      <c r="G1257" s="21" t="s">
        <v>1241</v>
      </c>
      <c r="H1257" s="21" t="s">
        <v>3168</v>
      </c>
      <c r="I1257" s="22" t="s">
        <v>3680</v>
      </c>
      <c r="J1257" s="21"/>
      <c r="K1257" s="21"/>
      <c r="L1257" s="21"/>
      <c r="M1257" s="21"/>
    </row>
    <row r="1258" spans="1:13" ht="25.5" x14ac:dyDescent="0.25">
      <c r="A1258" s="21" t="str">
        <f t="shared" si="150"/>
        <v>1</v>
      </c>
      <c r="B1258" s="21" t="str">
        <f t="shared" si="151"/>
        <v>9</v>
      </c>
      <c r="C1258" s="21" t="str">
        <f t="shared" si="152"/>
        <v>9</v>
      </c>
      <c r="D1258" s="21" t="str">
        <f t="shared" si="153"/>
        <v>0</v>
      </c>
      <c r="E1258" s="21" t="str">
        <f t="shared" si="154"/>
        <v>16</v>
      </c>
      <c r="F1258" s="21" t="str">
        <f t="shared" si="155"/>
        <v>00</v>
      </c>
      <c r="G1258" s="21" t="s">
        <v>1242</v>
      </c>
      <c r="H1258" s="21" t="s">
        <v>3169</v>
      </c>
      <c r="I1258" s="22" t="s">
        <v>4065</v>
      </c>
      <c r="J1258" s="21"/>
      <c r="K1258" s="21" t="s">
        <v>4021</v>
      </c>
      <c r="L1258" s="21" t="s">
        <v>4235</v>
      </c>
      <c r="M1258" s="21"/>
    </row>
    <row r="1259" spans="1:13" ht="25.5" x14ac:dyDescent="0.25">
      <c r="A1259" s="21" t="str">
        <f t="shared" si="150"/>
        <v>1</v>
      </c>
      <c r="B1259" s="21" t="str">
        <f t="shared" si="151"/>
        <v>9</v>
      </c>
      <c r="C1259" s="21" t="str">
        <f t="shared" si="152"/>
        <v>9</v>
      </c>
      <c r="D1259" s="21" t="str">
        <f t="shared" si="153"/>
        <v>0</v>
      </c>
      <c r="E1259" s="21" t="str">
        <f t="shared" si="154"/>
        <v>18</v>
      </c>
      <c r="F1259" s="21" t="str">
        <f t="shared" si="155"/>
        <v>00</v>
      </c>
      <c r="G1259" s="21" t="s">
        <v>1243</v>
      </c>
      <c r="H1259" s="21" t="s">
        <v>3170</v>
      </c>
      <c r="I1259" s="22" t="s">
        <v>3681</v>
      </c>
      <c r="J1259" s="21"/>
      <c r="K1259" s="21"/>
      <c r="L1259" s="21"/>
      <c r="M1259" s="21"/>
    </row>
    <row r="1260" spans="1:13" ht="25.5" x14ac:dyDescent="0.25">
      <c r="A1260" s="21" t="str">
        <f t="shared" si="150"/>
        <v>1</v>
      </c>
      <c r="B1260" s="21" t="str">
        <f t="shared" si="151"/>
        <v>9</v>
      </c>
      <c r="C1260" s="21" t="str">
        <f t="shared" si="152"/>
        <v>9</v>
      </c>
      <c r="D1260" s="21" t="str">
        <f t="shared" si="153"/>
        <v>0</v>
      </c>
      <c r="E1260" s="21" t="str">
        <f t="shared" si="154"/>
        <v>19</v>
      </c>
      <c r="F1260" s="21" t="str">
        <f t="shared" si="155"/>
        <v>00</v>
      </c>
      <c r="G1260" s="21" t="s">
        <v>1244</v>
      </c>
      <c r="H1260" s="21" t="s">
        <v>3171</v>
      </c>
      <c r="I1260" s="22" t="s">
        <v>3682</v>
      </c>
      <c r="J1260" s="21"/>
      <c r="K1260" s="21"/>
      <c r="L1260" s="21"/>
      <c r="M1260" s="21"/>
    </row>
    <row r="1261" spans="1:13" ht="25.5" x14ac:dyDescent="0.25">
      <c r="A1261" s="21" t="str">
        <f t="shared" si="150"/>
        <v>1</v>
      </c>
      <c r="B1261" s="21" t="str">
        <f t="shared" si="151"/>
        <v>9</v>
      </c>
      <c r="C1261" s="21" t="str">
        <f t="shared" si="152"/>
        <v>9</v>
      </c>
      <c r="D1261" s="21" t="str">
        <f t="shared" si="153"/>
        <v>0</v>
      </c>
      <c r="E1261" s="21" t="str">
        <f t="shared" si="154"/>
        <v>20</v>
      </c>
      <c r="F1261" s="21" t="str">
        <f t="shared" si="155"/>
        <v>00</v>
      </c>
      <c r="G1261" s="21" t="s">
        <v>1245</v>
      </c>
      <c r="H1261" s="21" t="s">
        <v>3172</v>
      </c>
      <c r="I1261" s="22" t="s">
        <v>3683</v>
      </c>
      <c r="J1261" s="21"/>
      <c r="K1261" s="21"/>
      <c r="L1261" s="21"/>
      <c r="M1261" s="21"/>
    </row>
    <row r="1262" spans="1:13" ht="38.25" x14ac:dyDescent="0.25">
      <c r="A1262" s="21" t="str">
        <f t="shared" si="150"/>
        <v>1</v>
      </c>
      <c r="B1262" s="21" t="str">
        <f t="shared" si="151"/>
        <v>9</v>
      </c>
      <c r="C1262" s="21" t="str">
        <f t="shared" si="152"/>
        <v>9</v>
      </c>
      <c r="D1262" s="21" t="str">
        <f t="shared" si="153"/>
        <v>0</v>
      </c>
      <c r="E1262" s="21" t="str">
        <f t="shared" si="154"/>
        <v>21</v>
      </c>
      <c r="F1262" s="21" t="str">
        <f t="shared" si="155"/>
        <v>00</v>
      </c>
      <c r="G1262" s="21" t="s">
        <v>1246</v>
      </c>
      <c r="H1262" s="21" t="s">
        <v>3173</v>
      </c>
      <c r="I1262" s="22" t="s">
        <v>4064</v>
      </c>
      <c r="J1262" s="21"/>
      <c r="K1262" s="21" t="s">
        <v>4018</v>
      </c>
      <c r="L1262" s="21" t="s">
        <v>4236</v>
      </c>
      <c r="M1262" s="21"/>
    </row>
    <row r="1263" spans="1:13" ht="25.5" x14ac:dyDescent="0.25">
      <c r="A1263" s="21" t="str">
        <f t="shared" si="150"/>
        <v>1</v>
      </c>
      <c r="B1263" s="21" t="str">
        <f t="shared" si="151"/>
        <v>9</v>
      </c>
      <c r="C1263" s="21" t="str">
        <f t="shared" si="152"/>
        <v>9</v>
      </c>
      <c r="D1263" s="21" t="str">
        <f t="shared" si="153"/>
        <v>0</v>
      </c>
      <c r="E1263" s="21" t="str">
        <f t="shared" si="154"/>
        <v>24</v>
      </c>
      <c r="F1263" s="21" t="str">
        <f t="shared" si="155"/>
        <v>00</v>
      </c>
      <c r="G1263" s="21" t="s">
        <v>1247</v>
      </c>
      <c r="H1263" s="21" t="s">
        <v>3174</v>
      </c>
      <c r="I1263" s="22" t="s">
        <v>3684</v>
      </c>
      <c r="J1263" s="21"/>
      <c r="K1263" s="21"/>
      <c r="L1263" s="21"/>
      <c r="M1263" s="21"/>
    </row>
    <row r="1264" spans="1:13" ht="25.5" x14ac:dyDescent="0.25">
      <c r="A1264" s="21" t="str">
        <f t="shared" si="150"/>
        <v>1</v>
      </c>
      <c r="B1264" s="21" t="str">
        <f t="shared" si="151"/>
        <v>9</v>
      </c>
      <c r="C1264" s="21" t="str">
        <f t="shared" si="152"/>
        <v>9</v>
      </c>
      <c r="D1264" s="21" t="str">
        <f t="shared" si="153"/>
        <v>0</v>
      </c>
      <c r="E1264" s="21" t="str">
        <f t="shared" si="154"/>
        <v>25</v>
      </c>
      <c r="F1264" s="21" t="str">
        <f t="shared" si="155"/>
        <v>00</v>
      </c>
      <c r="G1264" s="21" t="s">
        <v>1248</v>
      </c>
      <c r="H1264" s="21" t="s">
        <v>3175</v>
      </c>
      <c r="I1264" s="22" t="s">
        <v>3685</v>
      </c>
      <c r="J1264" s="21"/>
      <c r="K1264" s="21"/>
      <c r="L1264" s="21"/>
      <c r="M1264" s="21"/>
    </row>
    <row r="1265" spans="1:13" ht="25.5" x14ac:dyDescent="0.25">
      <c r="A1265" s="21" t="str">
        <f t="shared" si="150"/>
        <v>1</v>
      </c>
      <c r="B1265" s="21" t="str">
        <f t="shared" si="151"/>
        <v>9</v>
      </c>
      <c r="C1265" s="21" t="str">
        <f t="shared" si="152"/>
        <v>9</v>
      </c>
      <c r="D1265" s="21" t="str">
        <f t="shared" si="153"/>
        <v>0</v>
      </c>
      <c r="E1265" s="21" t="str">
        <f t="shared" si="154"/>
        <v>26</v>
      </c>
      <c r="F1265" s="21" t="str">
        <f t="shared" si="155"/>
        <v>00</v>
      </c>
      <c r="G1265" s="21" t="s">
        <v>1249</v>
      </c>
      <c r="H1265" s="21" t="s">
        <v>3176</v>
      </c>
      <c r="I1265" s="22" t="s">
        <v>3686</v>
      </c>
      <c r="J1265" s="21"/>
      <c r="K1265" s="21"/>
      <c r="L1265" s="21"/>
      <c r="M1265" s="21"/>
    </row>
    <row r="1266" spans="1:13" ht="38.25" x14ac:dyDescent="0.25">
      <c r="A1266" s="13" t="str">
        <f t="shared" si="150"/>
        <v>1</v>
      </c>
      <c r="B1266" s="13" t="str">
        <f t="shared" si="151"/>
        <v>9</v>
      </c>
      <c r="C1266" s="13" t="str">
        <f t="shared" si="152"/>
        <v>9</v>
      </c>
      <c r="D1266" s="13" t="str">
        <f t="shared" si="153"/>
        <v>0</v>
      </c>
      <c r="E1266" s="13" t="str">
        <f t="shared" si="154"/>
        <v>26</v>
      </c>
      <c r="F1266" s="13" t="str">
        <f t="shared" si="155"/>
        <v>01</v>
      </c>
      <c r="G1266" s="13" t="s">
        <v>1250</v>
      </c>
      <c r="H1266" s="13" t="s">
        <v>4261</v>
      </c>
      <c r="I1266" s="16" t="s">
        <v>4263</v>
      </c>
      <c r="J1266" s="13"/>
      <c r="K1266" s="13" t="s">
        <v>4018</v>
      </c>
      <c r="L1266" s="13" t="s">
        <v>4281</v>
      </c>
      <c r="M1266" s="16"/>
    </row>
    <row r="1267" spans="1:13" ht="38.25" x14ac:dyDescent="0.25">
      <c r="A1267" s="13" t="str">
        <f t="shared" si="150"/>
        <v>1</v>
      </c>
      <c r="B1267" s="13" t="str">
        <f t="shared" si="151"/>
        <v>9</v>
      </c>
      <c r="C1267" s="13" t="str">
        <f t="shared" si="152"/>
        <v>9</v>
      </c>
      <c r="D1267" s="13" t="str">
        <f t="shared" si="153"/>
        <v>0</v>
      </c>
      <c r="E1267" s="13" t="str">
        <f t="shared" si="154"/>
        <v>26</v>
      </c>
      <c r="F1267" s="13" t="str">
        <f t="shared" si="155"/>
        <v>02</v>
      </c>
      <c r="G1267" s="13" t="s">
        <v>1251</v>
      </c>
      <c r="H1267" s="13" t="s">
        <v>4262</v>
      </c>
      <c r="I1267" s="16" t="s">
        <v>4264</v>
      </c>
      <c r="J1267" s="13"/>
      <c r="K1267" s="13" t="s">
        <v>4018</v>
      </c>
      <c r="L1267" s="13" t="s">
        <v>4280</v>
      </c>
      <c r="M1267" s="16"/>
    </row>
    <row r="1268" spans="1:13" ht="38.25" x14ac:dyDescent="0.25">
      <c r="A1268" s="13" t="str">
        <f t="shared" si="150"/>
        <v>1</v>
      </c>
      <c r="B1268" s="13" t="str">
        <f t="shared" si="151"/>
        <v>9</v>
      </c>
      <c r="C1268" s="13" t="str">
        <f t="shared" si="152"/>
        <v>9</v>
      </c>
      <c r="D1268" s="13" t="str">
        <f t="shared" si="153"/>
        <v>0</v>
      </c>
      <c r="E1268" s="13" t="str">
        <f t="shared" si="154"/>
        <v>26</v>
      </c>
      <c r="F1268" s="13" t="str">
        <f t="shared" si="155"/>
        <v>03</v>
      </c>
      <c r="G1268" s="13" t="s">
        <v>1252</v>
      </c>
      <c r="H1268" s="13" t="s">
        <v>3177</v>
      </c>
      <c r="I1268" s="16" t="s">
        <v>3687</v>
      </c>
      <c r="J1268" s="13"/>
      <c r="K1268" s="13"/>
      <c r="L1268" s="13"/>
      <c r="M1268" s="16"/>
    </row>
    <row r="1269" spans="1:13" ht="38.25" x14ac:dyDescent="0.25">
      <c r="A1269" s="21" t="str">
        <f t="shared" si="150"/>
        <v>1</v>
      </c>
      <c r="B1269" s="21" t="str">
        <f t="shared" si="151"/>
        <v>9</v>
      </c>
      <c r="C1269" s="21" t="str">
        <f t="shared" si="152"/>
        <v>9</v>
      </c>
      <c r="D1269" s="21" t="str">
        <f t="shared" si="153"/>
        <v>0</v>
      </c>
      <c r="E1269" s="21" t="str">
        <f t="shared" si="154"/>
        <v>27</v>
      </c>
      <c r="F1269" s="21" t="str">
        <f t="shared" si="155"/>
        <v>00</v>
      </c>
      <c r="G1269" s="21" t="s">
        <v>1253</v>
      </c>
      <c r="H1269" s="21" t="s">
        <v>3178</v>
      </c>
      <c r="I1269" s="22" t="s">
        <v>3688</v>
      </c>
      <c r="J1269" s="21"/>
      <c r="K1269" s="21"/>
      <c r="L1269" s="21"/>
      <c r="M1269" s="21"/>
    </row>
    <row r="1270" spans="1:13" ht="25.5" x14ac:dyDescent="0.25">
      <c r="A1270" s="21" t="str">
        <f>MID(G1270,1,1)</f>
        <v>1</v>
      </c>
      <c r="B1270" s="21" t="str">
        <f>MID(G1270,2,1)</f>
        <v>9</v>
      </c>
      <c r="C1270" s="21" t="str">
        <f>MID(G1270,3,1)</f>
        <v>9</v>
      </c>
      <c r="D1270" s="21" t="str">
        <f>MID(G1270,4,1)</f>
        <v>0</v>
      </c>
      <c r="E1270" s="21" t="str">
        <f>MID(G1270,6,2)</f>
        <v>28</v>
      </c>
      <c r="F1270" s="21" t="str">
        <f>MID(G1270,9,2)</f>
        <v>00</v>
      </c>
      <c r="G1270" s="21" t="s">
        <v>4130</v>
      </c>
      <c r="H1270" s="21" t="s">
        <v>4131</v>
      </c>
      <c r="I1270" s="22" t="s">
        <v>4132</v>
      </c>
      <c r="J1270" s="21"/>
      <c r="K1270" s="21" t="s">
        <v>46</v>
      </c>
      <c r="L1270" s="21" t="s">
        <v>4233</v>
      </c>
      <c r="M1270" s="21"/>
    </row>
    <row r="1271" spans="1:13" ht="25.5" x14ac:dyDescent="0.25">
      <c r="A1271" s="21" t="str">
        <f t="shared" si="150"/>
        <v>1</v>
      </c>
      <c r="B1271" s="21" t="str">
        <f t="shared" si="151"/>
        <v>9</v>
      </c>
      <c r="C1271" s="21" t="str">
        <f t="shared" si="152"/>
        <v>9</v>
      </c>
      <c r="D1271" s="21" t="str">
        <f t="shared" si="153"/>
        <v>0</v>
      </c>
      <c r="E1271" s="21" t="str">
        <f t="shared" si="154"/>
        <v>96</v>
      </c>
      <c r="F1271" s="21" t="str">
        <f t="shared" si="155"/>
        <v>00</v>
      </c>
      <c r="G1271" s="21" t="s">
        <v>1254</v>
      </c>
      <c r="H1271" s="21" t="s">
        <v>3179</v>
      </c>
      <c r="I1271" s="22" t="s">
        <v>3689</v>
      </c>
      <c r="J1271" s="21"/>
      <c r="K1271" s="21"/>
      <c r="L1271" s="21"/>
      <c r="M1271" s="21"/>
    </row>
    <row r="1272" spans="1:13" x14ac:dyDescent="0.25">
      <c r="A1272" s="21" t="str">
        <f t="shared" si="150"/>
        <v>1</v>
      </c>
      <c r="B1272" s="21" t="str">
        <f t="shared" si="151"/>
        <v>9</v>
      </c>
      <c r="C1272" s="21" t="str">
        <f t="shared" si="152"/>
        <v>9</v>
      </c>
      <c r="D1272" s="21" t="str">
        <f t="shared" si="153"/>
        <v>0</v>
      </c>
      <c r="E1272" s="21" t="str">
        <f t="shared" si="154"/>
        <v>98</v>
      </c>
      <c r="F1272" s="21" t="str">
        <f t="shared" si="155"/>
        <v>00</v>
      </c>
      <c r="G1272" s="21" t="s">
        <v>1255</v>
      </c>
      <c r="H1272" s="21" t="s">
        <v>3180</v>
      </c>
      <c r="I1272" s="22" t="s">
        <v>3690</v>
      </c>
      <c r="J1272" s="21"/>
      <c r="K1272" s="21"/>
      <c r="L1272" s="21"/>
      <c r="M1272" s="21"/>
    </row>
    <row r="1273" spans="1:13" x14ac:dyDescent="0.25">
      <c r="A1273" s="21" t="str">
        <f t="shared" si="150"/>
        <v>1</v>
      </c>
      <c r="B1273" s="21" t="str">
        <f t="shared" si="151"/>
        <v>9</v>
      </c>
      <c r="C1273" s="21" t="str">
        <f t="shared" si="152"/>
        <v>9</v>
      </c>
      <c r="D1273" s="21" t="str">
        <f t="shared" si="153"/>
        <v>0</v>
      </c>
      <c r="E1273" s="21" t="str">
        <f t="shared" si="154"/>
        <v>99</v>
      </c>
      <c r="F1273" s="21" t="str">
        <f t="shared" si="155"/>
        <v>00</v>
      </c>
      <c r="G1273" s="21" t="s">
        <v>1256</v>
      </c>
      <c r="H1273" s="21" t="s">
        <v>3181</v>
      </c>
      <c r="I1273" s="22" t="s">
        <v>4189</v>
      </c>
      <c r="J1273" s="21"/>
      <c r="K1273" s="21" t="s">
        <v>4018</v>
      </c>
      <c r="L1273" s="21" t="s">
        <v>4229</v>
      </c>
      <c r="M1273" s="21"/>
    </row>
    <row r="1274" spans="1:13" x14ac:dyDescent="0.25">
      <c r="A1274" s="43" t="str">
        <f>MID(G1274,1,1)</f>
        <v>1</v>
      </c>
      <c r="B1274" s="43" t="str">
        <f>MID(G1274,2,1)</f>
        <v>9</v>
      </c>
      <c r="C1274" s="43" t="str">
        <f>MID(G1274,3,1)</f>
        <v>9</v>
      </c>
      <c r="D1274" s="43" t="str">
        <f>MID(G1274,4,1)</f>
        <v>0</v>
      </c>
      <c r="E1274" s="43" t="str">
        <f>MID(G1274,6,2)</f>
        <v>99</v>
      </c>
      <c r="F1274" s="43" t="str">
        <f>MID(G1274,9,2)</f>
        <v>01</v>
      </c>
      <c r="G1274" s="43" t="s">
        <v>4190</v>
      </c>
      <c r="H1274" s="43" t="s">
        <v>4191</v>
      </c>
      <c r="I1274" s="44" t="s">
        <v>4192</v>
      </c>
      <c r="J1274" s="43"/>
      <c r="K1274" s="43" t="s">
        <v>46</v>
      </c>
      <c r="L1274" s="43" t="s">
        <v>4237</v>
      </c>
      <c r="M1274" s="43"/>
    </row>
    <row r="1275" spans="1:13" x14ac:dyDescent="0.25">
      <c r="A1275" s="43" t="str">
        <f>MID(G1275,1,1)</f>
        <v>1</v>
      </c>
      <c r="B1275" s="43" t="str">
        <f>MID(G1275,2,1)</f>
        <v>9</v>
      </c>
      <c r="C1275" s="43" t="str">
        <f>MID(G1275,3,1)</f>
        <v>9</v>
      </c>
      <c r="D1275" s="43" t="str">
        <f>MID(G1275,4,1)</f>
        <v>0</v>
      </c>
      <c r="E1275" s="43" t="str">
        <f>MID(G1275,6,2)</f>
        <v>99</v>
      </c>
      <c r="F1275" s="43" t="str">
        <f>MID(G1275,9,2)</f>
        <v>02</v>
      </c>
      <c r="G1275" s="43" t="s">
        <v>4193</v>
      </c>
      <c r="H1275" s="43" t="s">
        <v>4194</v>
      </c>
      <c r="I1275" s="44" t="s">
        <v>4195</v>
      </c>
      <c r="J1275" s="43"/>
      <c r="K1275" s="43" t="s">
        <v>46</v>
      </c>
      <c r="L1275" s="43" t="s">
        <v>4237</v>
      </c>
      <c r="M1275" s="43"/>
    </row>
    <row r="1276" spans="1:13" ht="25.5" x14ac:dyDescent="0.25">
      <c r="A1276" s="6" t="str">
        <f t="shared" si="150"/>
        <v>2</v>
      </c>
      <c r="B1276" s="6" t="str">
        <f t="shared" si="151"/>
        <v>0</v>
      </c>
      <c r="C1276" s="6" t="str">
        <f t="shared" si="152"/>
        <v>0</v>
      </c>
      <c r="D1276" s="6" t="str">
        <f t="shared" si="153"/>
        <v>0</v>
      </c>
      <c r="E1276" s="6" t="str">
        <f t="shared" si="154"/>
        <v>00</v>
      </c>
      <c r="F1276" s="6" t="str">
        <f t="shared" si="155"/>
        <v>00</v>
      </c>
      <c r="G1276" s="6" t="s">
        <v>1257</v>
      </c>
      <c r="H1276" s="6" t="s">
        <v>3691</v>
      </c>
      <c r="I1276" s="7" t="s">
        <v>3805</v>
      </c>
      <c r="J1276" s="6"/>
      <c r="K1276" s="6"/>
      <c r="L1276" s="6"/>
      <c r="M1276" s="7"/>
    </row>
    <row r="1277" spans="1:13" ht="25.5" x14ac:dyDescent="0.25">
      <c r="A1277" s="10" t="str">
        <f t="shared" si="150"/>
        <v>2</v>
      </c>
      <c r="B1277" s="10" t="str">
        <f t="shared" si="151"/>
        <v>1</v>
      </c>
      <c r="C1277" s="10" t="str">
        <f t="shared" si="152"/>
        <v>0</v>
      </c>
      <c r="D1277" s="10" t="str">
        <f t="shared" si="153"/>
        <v>0</v>
      </c>
      <c r="E1277" s="10" t="str">
        <f t="shared" si="154"/>
        <v>00</v>
      </c>
      <c r="F1277" s="10" t="str">
        <f t="shared" si="155"/>
        <v>00</v>
      </c>
      <c r="G1277" s="10" t="s">
        <v>1258</v>
      </c>
      <c r="H1277" s="10" t="s">
        <v>3692</v>
      </c>
      <c r="I1277" s="14" t="s">
        <v>3806</v>
      </c>
      <c r="J1277" s="10"/>
      <c r="K1277" s="10"/>
      <c r="L1277" s="10"/>
      <c r="M1277" s="14"/>
    </row>
    <row r="1278" spans="1:13" ht="25.5" x14ac:dyDescent="0.25">
      <c r="A1278" s="12" t="str">
        <f t="shared" si="150"/>
        <v>2</v>
      </c>
      <c r="B1278" s="12" t="str">
        <f t="shared" si="151"/>
        <v>1</v>
      </c>
      <c r="C1278" s="12" t="str">
        <f t="shared" si="152"/>
        <v>1</v>
      </c>
      <c r="D1278" s="12" t="str">
        <f t="shared" si="153"/>
        <v>0</v>
      </c>
      <c r="E1278" s="12" t="str">
        <f t="shared" si="154"/>
        <v>00</v>
      </c>
      <c r="F1278" s="12" t="str">
        <f t="shared" si="155"/>
        <v>00</v>
      </c>
      <c r="G1278" s="12" t="s">
        <v>1259</v>
      </c>
      <c r="H1278" s="12" t="s">
        <v>3693</v>
      </c>
      <c r="I1278" s="15" t="s">
        <v>3807</v>
      </c>
      <c r="J1278" s="12"/>
      <c r="K1278" s="12"/>
      <c r="L1278" s="12"/>
      <c r="M1278" s="15"/>
    </row>
    <row r="1279" spans="1:13" x14ac:dyDescent="0.25">
      <c r="A1279" s="19" t="str">
        <f t="shared" si="150"/>
        <v>2</v>
      </c>
      <c r="B1279" s="19" t="str">
        <f t="shared" si="151"/>
        <v>1</v>
      </c>
      <c r="C1279" s="19" t="str">
        <f t="shared" si="152"/>
        <v>1</v>
      </c>
      <c r="D1279" s="19" t="str">
        <f t="shared" si="153"/>
        <v>1</v>
      </c>
      <c r="E1279" s="19" t="str">
        <f t="shared" si="154"/>
        <v>00</v>
      </c>
      <c r="F1279" s="19" t="str">
        <f t="shared" si="155"/>
        <v>00</v>
      </c>
      <c r="G1279" s="19" t="s">
        <v>1260</v>
      </c>
      <c r="H1279" s="19" t="s">
        <v>3694</v>
      </c>
      <c r="I1279" s="20" t="s">
        <v>3808</v>
      </c>
      <c r="J1279" s="19"/>
      <c r="K1279" s="19"/>
      <c r="L1279" s="19"/>
      <c r="M1279" s="20"/>
    </row>
    <row r="1280" spans="1:13" ht="25.5" x14ac:dyDescent="0.25">
      <c r="A1280" s="21" t="str">
        <f t="shared" si="150"/>
        <v>2</v>
      </c>
      <c r="B1280" s="21" t="str">
        <f t="shared" si="151"/>
        <v>1</v>
      </c>
      <c r="C1280" s="21" t="str">
        <f t="shared" si="152"/>
        <v>1</v>
      </c>
      <c r="D1280" s="21" t="str">
        <f t="shared" si="153"/>
        <v>1</v>
      </c>
      <c r="E1280" s="21" t="str">
        <f t="shared" si="154"/>
        <v>01</v>
      </c>
      <c r="F1280" s="21" t="str">
        <f t="shared" si="155"/>
        <v>00</v>
      </c>
      <c r="G1280" s="21" t="s">
        <v>1261</v>
      </c>
      <c r="H1280" s="21" t="s">
        <v>3695</v>
      </c>
      <c r="I1280" s="22" t="s">
        <v>3809</v>
      </c>
      <c r="J1280" s="21"/>
      <c r="K1280" s="21"/>
      <c r="L1280" s="21"/>
      <c r="M1280" s="21"/>
    </row>
    <row r="1281" spans="1:13" ht="25.5" x14ac:dyDescent="0.25">
      <c r="A1281" s="21" t="str">
        <f t="shared" si="150"/>
        <v>2</v>
      </c>
      <c r="B1281" s="21" t="str">
        <f t="shared" si="151"/>
        <v>1</v>
      </c>
      <c r="C1281" s="21" t="str">
        <f t="shared" si="152"/>
        <v>1</v>
      </c>
      <c r="D1281" s="21" t="str">
        <f t="shared" si="153"/>
        <v>1</v>
      </c>
      <c r="E1281" s="21" t="str">
        <f t="shared" si="154"/>
        <v>02</v>
      </c>
      <c r="F1281" s="21" t="str">
        <f t="shared" si="155"/>
        <v>00</v>
      </c>
      <c r="G1281" s="21" t="s">
        <v>1262</v>
      </c>
      <c r="H1281" s="21" t="s">
        <v>3696</v>
      </c>
      <c r="I1281" s="22" t="s">
        <v>3810</v>
      </c>
      <c r="J1281" s="21"/>
      <c r="K1281" s="21"/>
      <c r="L1281" s="21"/>
      <c r="M1281" s="21"/>
    </row>
    <row r="1282" spans="1:13" ht="25.5" x14ac:dyDescent="0.25">
      <c r="A1282" s="21" t="str">
        <f t="shared" si="150"/>
        <v>2</v>
      </c>
      <c r="B1282" s="21" t="str">
        <f t="shared" si="151"/>
        <v>1</v>
      </c>
      <c r="C1282" s="21" t="str">
        <f t="shared" si="152"/>
        <v>1</v>
      </c>
      <c r="D1282" s="21" t="str">
        <f t="shared" si="153"/>
        <v>1</v>
      </c>
      <c r="E1282" s="21" t="str">
        <f t="shared" si="154"/>
        <v>03</v>
      </c>
      <c r="F1282" s="21" t="str">
        <f t="shared" si="155"/>
        <v>00</v>
      </c>
      <c r="G1282" s="21" t="s">
        <v>1263</v>
      </c>
      <c r="H1282" s="21" t="s">
        <v>3697</v>
      </c>
      <c r="I1282" s="22" t="s">
        <v>3811</v>
      </c>
      <c r="J1282" s="21"/>
      <c r="K1282" s="21"/>
      <c r="L1282" s="21"/>
      <c r="M1282" s="21"/>
    </row>
    <row r="1283" spans="1:13" ht="25.5" x14ac:dyDescent="0.25">
      <c r="A1283" s="19" t="str">
        <f t="shared" si="150"/>
        <v>2</v>
      </c>
      <c r="B1283" s="19" t="str">
        <f t="shared" si="151"/>
        <v>1</v>
      </c>
      <c r="C1283" s="19" t="str">
        <f t="shared" si="152"/>
        <v>1</v>
      </c>
      <c r="D1283" s="19" t="str">
        <f t="shared" si="153"/>
        <v>2</v>
      </c>
      <c r="E1283" s="19" t="str">
        <f t="shared" si="154"/>
        <v>00</v>
      </c>
      <c r="F1283" s="19" t="str">
        <f t="shared" si="155"/>
        <v>00</v>
      </c>
      <c r="G1283" s="19" t="s">
        <v>1264</v>
      </c>
      <c r="H1283" s="19" t="s">
        <v>3698</v>
      </c>
      <c r="I1283" s="20" t="s">
        <v>3812</v>
      </c>
      <c r="J1283" s="19"/>
      <c r="K1283" s="19"/>
      <c r="L1283" s="19"/>
      <c r="M1283" s="20"/>
    </row>
    <row r="1284" spans="1:13" ht="25.5" x14ac:dyDescent="0.25">
      <c r="A1284" s="19" t="str">
        <f t="shared" si="150"/>
        <v>2</v>
      </c>
      <c r="B1284" s="19" t="str">
        <f t="shared" si="151"/>
        <v>1</v>
      </c>
      <c r="C1284" s="19" t="str">
        <f t="shared" si="152"/>
        <v>1</v>
      </c>
      <c r="D1284" s="19" t="str">
        <f t="shared" si="153"/>
        <v>3</v>
      </c>
      <c r="E1284" s="19" t="str">
        <f t="shared" si="154"/>
        <v>00</v>
      </c>
      <c r="F1284" s="19" t="str">
        <f t="shared" si="155"/>
        <v>00</v>
      </c>
      <c r="G1284" s="19" t="s">
        <v>1265</v>
      </c>
      <c r="H1284" s="19" t="s">
        <v>3699</v>
      </c>
      <c r="I1284" s="20" t="s">
        <v>3813</v>
      </c>
      <c r="J1284" s="19"/>
      <c r="K1284" s="19"/>
      <c r="L1284" s="19"/>
      <c r="M1284" s="20"/>
    </row>
    <row r="1285" spans="1:13" ht="25.5" x14ac:dyDescent="0.25">
      <c r="A1285" s="19" t="str">
        <f t="shared" si="150"/>
        <v>2</v>
      </c>
      <c r="B1285" s="19" t="str">
        <f t="shared" si="151"/>
        <v>1</v>
      </c>
      <c r="C1285" s="19" t="str">
        <f t="shared" si="152"/>
        <v>1</v>
      </c>
      <c r="D1285" s="19" t="str">
        <f t="shared" si="153"/>
        <v>4</v>
      </c>
      <c r="E1285" s="19" t="str">
        <f t="shared" si="154"/>
        <v>00</v>
      </c>
      <c r="F1285" s="19" t="str">
        <f t="shared" si="155"/>
        <v>00</v>
      </c>
      <c r="G1285" s="19" t="s">
        <v>1266</v>
      </c>
      <c r="H1285" s="19" t="s">
        <v>3700</v>
      </c>
      <c r="I1285" s="20" t="s">
        <v>3814</v>
      </c>
      <c r="J1285" s="19"/>
      <c r="K1285" s="19"/>
      <c r="L1285" s="19"/>
      <c r="M1285" s="20"/>
    </row>
    <row r="1286" spans="1:13" ht="25.5" x14ac:dyDescent="0.25">
      <c r="A1286" s="21" t="str">
        <f t="shared" si="150"/>
        <v>2</v>
      </c>
      <c r="B1286" s="21" t="str">
        <f t="shared" si="151"/>
        <v>1</v>
      </c>
      <c r="C1286" s="21" t="str">
        <f t="shared" si="152"/>
        <v>1</v>
      </c>
      <c r="D1286" s="21" t="str">
        <f t="shared" si="153"/>
        <v>4</v>
      </c>
      <c r="E1286" s="21" t="str">
        <f t="shared" si="154"/>
        <v>01</v>
      </c>
      <c r="F1286" s="21" t="str">
        <f t="shared" si="155"/>
        <v>00</v>
      </c>
      <c r="G1286" s="21" t="s">
        <v>1267</v>
      </c>
      <c r="H1286" s="21" t="s">
        <v>3701</v>
      </c>
      <c r="I1286" s="22" t="s">
        <v>3815</v>
      </c>
      <c r="J1286" s="21"/>
      <c r="K1286" s="21"/>
      <c r="L1286" s="21"/>
      <c r="M1286" s="21"/>
    </row>
    <row r="1287" spans="1:13" ht="25.5" x14ac:dyDescent="0.25">
      <c r="A1287" s="21" t="str">
        <f t="shared" si="150"/>
        <v>2</v>
      </c>
      <c r="B1287" s="21" t="str">
        <f t="shared" si="151"/>
        <v>1</v>
      </c>
      <c r="C1287" s="21" t="str">
        <f t="shared" si="152"/>
        <v>1</v>
      </c>
      <c r="D1287" s="21" t="str">
        <f t="shared" si="153"/>
        <v>4</v>
      </c>
      <c r="E1287" s="21" t="str">
        <f t="shared" si="154"/>
        <v>02</v>
      </c>
      <c r="F1287" s="21" t="str">
        <f t="shared" si="155"/>
        <v>00</v>
      </c>
      <c r="G1287" s="21" t="s">
        <v>1268</v>
      </c>
      <c r="H1287" s="21" t="s">
        <v>3702</v>
      </c>
      <c r="I1287" s="22" t="s">
        <v>3816</v>
      </c>
      <c r="J1287" s="21"/>
      <c r="K1287" s="21"/>
      <c r="L1287" s="21"/>
      <c r="M1287" s="21"/>
    </row>
    <row r="1288" spans="1:13" ht="25.5" x14ac:dyDescent="0.25">
      <c r="A1288" s="21" t="str">
        <f t="shared" si="150"/>
        <v>2</v>
      </c>
      <c r="B1288" s="21" t="str">
        <f t="shared" si="151"/>
        <v>1</v>
      </c>
      <c r="C1288" s="21" t="str">
        <f t="shared" si="152"/>
        <v>1</v>
      </c>
      <c r="D1288" s="21" t="str">
        <f t="shared" si="153"/>
        <v>4</v>
      </c>
      <c r="E1288" s="21" t="str">
        <f t="shared" si="154"/>
        <v>03</v>
      </c>
      <c r="F1288" s="21" t="str">
        <f t="shared" si="155"/>
        <v>00</v>
      </c>
      <c r="G1288" s="21" t="s">
        <v>1269</v>
      </c>
      <c r="H1288" s="21" t="s">
        <v>3703</v>
      </c>
      <c r="I1288" s="22" t="s">
        <v>3817</v>
      </c>
      <c r="J1288" s="21"/>
      <c r="K1288" s="21"/>
      <c r="L1288" s="21"/>
      <c r="M1288" s="21"/>
    </row>
    <row r="1289" spans="1:13" ht="25.5" x14ac:dyDescent="0.25">
      <c r="A1289" s="21" t="str">
        <f t="shared" si="150"/>
        <v>2</v>
      </c>
      <c r="B1289" s="21" t="str">
        <f t="shared" si="151"/>
        <v>1</v>
      </c>
      <c r="C1289" s="21" t="str">
        <f t="shared" si="152"/>
        <v>1</v>
      </c>
      <c r="D1289" s="21" t="str">
        <f t="shared" si="153"/>
        <v>4</v>
      </c>
      <c r="E1289" s="21" t="str">
        <f t="shared" si="154"/>
        <v>04</v>
      </c>
      <c r="F1289" s="21" t="str">
        <f t="shared" si="155"/>
        <v>00</v>
      </c>
      <c r="G1289" s="21" t="s">
        <v>1270</v>
      </c>
      <c r="H1289" s="21" t="s">
        <v>3704</v>
      </c>
      <c r="I1289" s="22" t="s">
        <v>3818</v>
      </c>
      <c r="J1289" s="21"/>
      <c r="K1289" s="21"/>
      <c r="L1289" s="21"/>
      <c r="M1289" s="21"/>
    </row>
    <row r="1290" spans="1:13" ht="38.25" x14ac:dyDescent="0.25">
      <c r="A1290" s="21" t="str">
        <f t="shared" si="150"/>
        <v>2</v>
      </c>
      <c r="B1290" s="21" t="str">
        <f t="shared" si="151"/>
        <v>1</v>
      </c>
      <c r="C1290" s="21" t="str">
        <f t="shared" si="152"/>
        <v>1</v>
      </c>
      <c r="D1290" s="21" t="str">
        <f t="shared" si="153"/>
        <v>4</v>
      </c>
      <c r="E1290" s="21" t="str">
        <f t="shared" si="154"/>
        <v>05</v>
      </c>
      <c r="F1290" s="21" t="str">
        <f t="shared" si="155"/>
        <v>00</v>
      </c>
      <c r="G1290" s="21" t="s">
        <v>1271</v>
      </c>
      <c r="H1290" s="21" t="s">
        <v>3705</v>
      </c>
      <c r="I1290" s="22" t="s">
        <v>3819</v>
      </c>
      <c r="J1290" s="21"/>
      <c r="K1290" s="21"/>
      <c r="L1290" s="21"/>
      <c r="M1290" s="21"/>
    </row>
    <row r="1291" spans="1:13" ht="25.5" x14ac:dyDescent="0.25">
      <c r="A1291" s="21" t="str">
        <f t="shared" si="150"/>
        <v>2</v>
      </c>
      <c r="B1291" s="21" t="str">
        <f t="shared" si="151"/>
        <v>1</v>
      </c>
      <c r="C1291" s="21" t="str">
        <f t="shared" si="152"/>
        <v>1</v>
      </c>
      <c r="D1291" s="21" t="str">
        <f t="shared" si="153"/>
        <v>4</v>
      </c>
      <c r="E1291" s="21" t="str">
        <f t="shared" si="154"/>
        <v>06</v>
      </c>
      <c r="F1291" s="21" t="str">
        <f t="shared" si="155"/>
        <v>00</v>
      </c>
      <c r="G1291" s="21" t="s">
        <v>1272</v>
      </c>
      <c r="H1291" s="21" t="s">
        <v>3706</v>
      </c>
      <c r="I1291" s="22" t="s">
        <v>3820</v>
      </c>
      <c r="J1291" s="21"/>
      <c r="K1291" s="21"/>
      <c r="L1291" s="21"/>
      <c r="M1291" s="21"/>
    </row>
    <row r="1292" spans="1:13" ht="25.5" x14ac:dyDescent="0.25">
      <c r="A1292" s="21" t="str">
        <f t="shared" si="150"/>
        <v>2</v>
      </c>
      <c r="B1292" s="21" t="str">
        <f t="shared" si="151"/>
        <v>1</v>
      </c>
      <c r="C1292" s="21" t="str">
        <f t="shared" si="152"/>
        <v>1</v>
      </c>
      <c r="D1292" s="21" t="str">
        <f t="shared" si="153"/>
        <v>4</v>
      </c>
      <c r="E1292" s="21" t="str">
        <f t="shared" si="154"/>
        <v>07</v>
      </c>
      <c r="F1292" s="21" t="str">
        <f t="shared" si="155"/>
        <v>00</v>
      </c>
      <c r="G1292" s="21" t="s">
        <v>1273</v>
      </c>
      <c r="H1292" s="21" t="s">
        <v>3707</v>
      </c>
      <c r="I1292" s="22" t="s">
        <v>3821</v>
      </c>
      <c r="J1292" s="21"/>
      <c r="K1292" s="21"/>
      <c r="L1292" s="21"/>
      <c r="M1292" s="21"/>
    </row>
    <row r="1293" spans="1:13" ht="25.5" x14ac:dyDescent="0.25">
      <c r="A1293" s="21" t="str">
        <f t="shared" si="150"/>
        <v>2</v>
      </c>
      <c r="B1293" s="21" t="str">
        <f t="shared" si="151"/>
        <v>1</v>
      </c>
      <c r="C1293" s="21" t="str">
        <f t="shared" si="152"/>
        <v>1</v>
      </c>
      <c r="D1293" s="21" t="str">
        <f t="shared" si="153"/>
        <v>4</v>
      </c>
      <c r="E1293" s="21" t="str">
        <f t="shared" si="154"/>
        <v>99</v>
      </c>
      <c r="F1293" s="21" t="str">
        <f t="shared" si="155"/>
        <v>00</v>
      </c>
      <c r="G1293" s="21" t="s">
        <v>1274</v>
      </c>
      <c r="H1293" s="21" t="s">
        <v>3708</v>
      </c>
      <c r="I1293" s="22" t="s">
        <v>3822</v>
      </c>
      <c r="J1293" s="21"/>
      <c r="K1293" s="21"/>
      <c r="L1293" s="21"/>
      <c r="M1293" s="21"/>
    </row>
    <row r="1294" spans="1:13" ht="25.5" x14ac:dyDescent="0.25">
      <c r="A1294" s="19" t="str">
        <f t="shared" ref="A1294:A1357" si="162">MID(G1294,1,1)</f>
        <v>2</v>
      </c>
      <c r="B1294" s="19" t="str">
        <f t="shared" ref="B1294:B1357" si="163">MID(G1294,2,1)</f>
        <v>1</v>
      </c>
      <c r="C1294" s="19" t="str">
        <f t="shared" ref="C1294:C1357" si="164">MID(G1294,3,1)</f>
        <v>1</v>
      </c>
      <c r="D1294" s="19" t="str">
        <f t="shared" ref="D1294:D1357" si="165">MID(G1294,4,1)</f>
        <v>9</v>
      </c>
      <c r="E1294" s="19" t="str">
        <f t="shared" ref="E1294:E1357" si="166">MID(G1294,6,2)</f>
        <v>00</v>
      </c>
      <c r="F1294" s="19" t="str">
        <f t="shared" ref="F1294:F1357" si="167">MID(G1294,9,2)</f>
        <v>00</v>
      </c>
      <c r="G1294" s="19" t="s">
        <v>1275</v>
      </c>
      <c r="H1294" s="19" t="s">
        <v>3709</v>
      </c>
      <c r="I1294" s="20" t="s">
        <v>3823</v>
      </c>
      <c r="J1294" s="19"/>
      <c r="K1294" s="19"/>
      <c r="L1294" s="19"/>
      <c r="M1294" s="20"/>
    </row>
    <row r="1295" spans="1:13" ht="25.5" x14ac:dyDescent="0.25">
      <c r="A1295" s="12" t="str">
        <f t="shared" si="162"/>
        <v>2</v>
      </c>
      <c r="B1295" s="12" t="str">
        <f t="shared" si="163"/>
        <v>1</v>
      </c>
      <c r="C1295" s="12" t="str">
        <f t="shared" si="164"/>
        <v>2</v>
      </c>
      <c r="D1295" s="12" t="str">
        <f t="shared" si="165"/>
        <v>0</v>
      </c>
      <c r="E1295" s="12" t="str">
        <f t="shared" si="166"/>
        <v>00</v>
      </c>
      <c r="F1295" s="12" t="str">
        <f t="shared" si="167"/>
        <v>00</v>
      </c>
      <c r="G1295" s="12" t="s">
        <v>1276</v>
      </c>
      <c r="H1295" s="12" t="s">
        <v>3710</v>
      </c>
      <c r="I1295" s="15" t="s">
        <v>3824</v>
      </c>
      <c r="J1295" s="12"/>
      <c r="K1295" s="12"/>
      <c r="L1295" s="12"/>
      <c r="M1295" s="15"/>
    </row>
    <row r="1296" spans="1:13" x14ac:dyDescent="0.25">
      <c r="A1296" s="19" t="str">
        <f t="shared" si="162"/>
        <v>2</v>
      </c>
      <c r="B1296" s="19" t="str">
        <f t="shared" si="163"/>
        <v>1</v>
      </c>
      <c r="C1296" s="19" t="str">
        <f t="shared" si="164"/>
        <v>2</v>
      </c>
      <c r="D1296" s="19" t="str">
        <f t="shared" si="165"/>
        <v>2</v>
      </c>
      <c r="E1296" s="19" t="str">
        <f t="shared" si="166"/>
        <v>00</v>
      </c>
      <c r="F1296" s="19" t="str">
        <f t="shared" si="167"/>
        <v>00</v>
      </c>
      <c r="G1296" s="19" t="s">
        <v>1277</v>
      </c>
      <c r="H1296" s="19" t="s">
        <v>3694</v>
      </c>
      <c r="I1296" s="20" t="s">
        <v>3825</v>
      </c>
      <c r="J1296" s="19"/>
      <c r="K1296" s="19"/>
      <c r="L1296" s="19"/>
      <c r="M1296" s="20"/>
    </row>
    <row r="1297" spans="1:13" ht="25.5" x14ac:dyDescent="0.25">
      <c r="A1297" s="21" t="str">
        <f t="shared" si="162"/>
        <v>2</v>
      </c>
      <c r="B1297" s="21" t="str">
        <f t="shared" si="163"/>
        <v>1</v>
      </c>
      <c r="C1297" s="21" t="str">
        <f t="shared" si="164"/>
        <v>2</v>
      </c>
      <c r="D1297" s="21" t="str">
        <f t="shared" si="165"/>
        <v>2</v>
      </c>
      <c r="E1297" s="21" t="str">
        <f t="shared" si="166"/>
        <v>01</v>
      </c>
      <c r="F1297" s="21" t="str">
        <f t="shared" si="167"/>
        <v>00</v>
      </c>
      <c r="G1297" s="21" t="s">
        <v>1278</v>
      </c>
      <c r="H1297" s="21" t="s">
        <v>3695</v>
      </c>
      <c r="I1297" s="22" t="s">
        <v>3826</v>
      </c>
      <c r="J1297" s="21"/>
      <c r="K1297" s="21"/>
      <c r="L1297" s="21"/>
      <c r="M1297" s="21"/>
    </row>
    <row r="1298" spans="1:13" ht="25.5" x14ac:dyDescent="0.25">
      <c r="A1298" s="21" t="str">
        <f t="shared" si="162"/>
        <v>2</v>
      </c>
      <c r="B1298" s="21" t="str">
        <f t="shared" si="163"/>
        <v>1</v>
      </c>
      <c r="C1298" s="21" t="str">
        <f t="shared" si="164"/>
        <v>2</v>
      </c>
      <c r="D1298" s="21" t="str">
        <f t="shared" si="165"/>
        <v>2</v>
      </c>
      <c r="E1298" s="21" t="str">
        <f t="shared" si="166"/>
        <v>02</v>
      </c>
      <c r="F1298" s="21" t="str">
        <f t="shared" si="167"/>
        <v>00</v>
      </c>
      <c r="G1298" s="21" t="s">
        <v>1279</v>
      </c>
      <c r="H1298" s="21" t="s">
        <v>3711</v>
      </c>
      <c r="I1298" s="22" t="s">
        <v>3827</v>
      </c>
      <c r="J1298" s="21"/>
      <c r="K1298" s="21"/>
      <c r="L1298" s="21"/>
      <c r="M1298" s="21"/>
    </row>
    <row r="1299" spans="1:13" ht="25.5" x14ac:dyDescent="0.25">
      <c r="A1299" s="19" t="str">
        <f t="shared" si="162"/>
        <v>2</v>
      </c>
      <c r="B1299" s="19" t="str">
        <f t="shared" si="163"/>
        <v>1</v>
      </c>
      <c r="C1299" s="19" t="str">
        <f t="shared" si="164"/>
        <v>2</v>
      </c>
      <c r="D1299" s="19" t="str">
        <f t="shared" si="165"/>
        <v>3</v>
      </c>
      <c r="E1299" s="19" t="str">
        <f t="shared" si="166"/>
        <v>00</v>
      </c>
      <c r="F1299" s="19" t="str">
        <f t="shared" si="167"/>
        <v>00</v>
      </c>
      <c r="G1299" s="19" t="s">
        <v>1280</v>
      </c>
      <c r="H1299" s="19" t="s">
        <v>3712</v>
      </c>
      <c r="I1299" s="20" t="s">
        <v>3828</v>
      </c>
      <c r="J1299" s="19"/>
      <c r="K1299" s="19"/>
      <c r="L1299" s="19"/>
      <c r="M1299" s="20"/>
    </row>
    <row r="1300" spans="1:13" ht="25.5" x14ac:dyDescent="0.25">
      <c r="A1300" s="21" t="str">
        <f t="shared" si="162"/>
        <v>2</v>
      </c>
      <c r="B1300" s="21" t="str">
        <f t="shared" si="163"/>
        <v>1</v>
      </c>
      <c r="C1300" s="21" t="str">
        <f t="shared" si="164"/>
        <v>2</v>
      </c>
      <c r="D1300" s="21" t="str">
        <f t="shared" si="165"/>
        <v>3</v>
      </c>
      <c r="E1300" s="21" t="str">
        <f t="shared" si="166"/>
        <v>01</v>
      </c>
      <c r="F1300" s="21" t="str">
        <f t="shared" si="167"/>
        <v>00</v>
      </c>
      <c r="G1300" s="21" t="s">
        <v>1281</v>
      </c>
      <c r="H1300" s="21" t="s">
        <v>3713</v>
      </c>
      <c r="I1300" s="22" t="s">
        <v>3829</v>
      </c>
      <c r="J1300" s="21"/>
      <c r="K1300" s="21"/>
      <c r="L1300" s="21"/>
      <c r="M1300" s="21"/>
    </row>
    <row r="1301" spans="1:13" ht="25.5" x14ac:dyDescent="0.25">
      <c r="A1301" s="21" t="str">
        <f t="shared" si="162"/>
        <v>2</v>
      </c>
      <c r="B1301" s="21" t="str">
        <f t="shared" si="163"/>
        <v>1</v>
      </c>
      <c r="C1301" s="21" t="str">
        <f t="shared" si="164"/>
        <v>2</v>
      </c>
      <c r="D1301" s="21" t="str">
        <f t="shared" si="165"/>
        <v>3</v>
      </c>
      <c r="E1301" s="21" t="str">
        <f t="shared" si="166"/>
        <v>02</v>
      </c>
      <c r="F1301" s="21" t="str">
        <f t="shared" si="167"/>
        <v>00</v>
      </c>
      <c r="G1301" s="21" t="s">
        <v>1282</v>
      </c>
      <c r="H1301" s="21" t="s">
        <v>3714</v>
      </c>
      <c r="I1301" s="22" t="s">
        <v>3830</v>
      </c>
      <c r="J1301" s="21"/>
      <c r="K1301" s="21"/>
      <c r="L1301" s="21"/>
      <c r="M1301" s="21"/>
    </row>
    <row r="1302" spans="1:13" ht="25.5" x14ac:dyDescent="0.25">
      <c r="A1302" s="21" t="str">
        <f t="shared" si="162"/>
        <v>2</v>
      </c>
      <c r="B1302" s="21" t="str">
        <f t="shared" si="163"/>
        <v>1</v>
      </c>
      <c r="C1302" s="21" t="str">
        <f t="shared" si="164"/>
        <v>2</v>
      </c>
      <c r="D1302" s="21" t="str">
        <f t="shared" si="165"/>
        <v>3</v>
      </c>
      <c r="E1302" s="21" t="str">
        <f t="shared" si="166"/>
        <v>03</v>
      </c>
      <c r="F1302" s="21" t="str">
        <f t="shared" si="167"/>
        <v>00</v>
      </c>
      <c r="G1302" s="21" t="s">
        <v>1283</v>
      </c>
      <c r="H1302" s="21" t="s">
        <v>3715</v>
      </c>
      <c r="I1302" s="22" t="s">
        <v>3831</v>
      </c>
      <c r="J1302" s="21"/>
      <c r="K1302" s="21"/>
      <c r="L1302" s="21"/>
      <c r="M1302" s="21"/>
    </row>
    <row r="1303" spans="1:13" ht="25.5" x14ac:dyDescent="0.25">
      <c r="A1303" s="21" t="str">
        <f t="shared" si="162"/>
        <v>2</v>
      </c>
      <c r="B1303" s="21" t="str">
        <f t="shared" si="163"/>
        <v>1</v>
      </c>
      <c r="C1303" s="21" t="str">
        <f t="shared" si="164"/>
        <v>2</v>
      </c>
      <c r="D1303" s="21" t="str">
        <f t="shared" si="165"/>
        <v>3</v>
      </c>
      <c r="E1303" s="21" t="str">
        <f t="shared" si="166"/>
        <v>04</v>
      </c>
      <c r="F1303" s="21" t="str">
        <f t="shared" si="167"/>
        <v>00</v>
      </c>
      <c r="G1303" s="21" t="s">
        <v>1284</v>
      </c>
      <c r="H1303" s="21" t="s">
        <v>3716</v>
      </c>
      <c r="I1303" s="22" t="s">
        <v>3832</v>
      </c>
      <c r="J1303" s="21"/>
      <c r="K1303" s="21"/>
      <c r="L1303" s="21"/>
      <c r="M1303" s="21"/>
    </row>
    <row r="1304" spans="1:13" ht="38.25" x14ac:dyDescent="0.25">
      <c r="A1304" s="21" t="str">
        <f t="shared" si="162"/>
        <v>2</v>
      </c>
      <c r="B1304" s="21" t="str">
        <f t="shared" si="163"/>
        <v>1</v>
      </c>
      <c r="C1304" s="21" t="str">
        <f t="shared" si="164"/>
        <v>2</v>
      </c>
      <c r="D1304" s="21" t="str">
        <f t="shared" si="165"/>
        <v>3</v>
      </c>
      <c r="E1304" s="21" t="str">
        <f t="shared" si="166"/>
        <v>05</v>
      </c>
      <c r="F1304" s="21" t="str">
        <f t="shared" si="167"/>
        <v>00</v>
      </c>
      <c r="G1304" s="21" t="s">
        <v>1285</v>
      </c>
      <c r="H1304" s="21" t="s">
        <v>3717</v>
      </c>
      <c r="I1304" s="22" t="s">
        <v>3833</v>
      </c>
      <c r="J1304" s="21"/>
      <c r="K1304" s="21"/>
      <c r="L1304" s="21"/>
      <c r="M1304" s="21"/>
    </row>
    <row r="1305" spans="1:13" ht="25.5" x14ac:dyDescent="0.25">
      <c r="A1305" s="21" t="str">
        <f t="shared" si="162"/>
        <v>2</v>
      </c>
      <c r="B1305" s="21" t="str">
        <f t="shared" si="163"/>
        <v>1</v>
      </c>
      <c r="C1305" s="21" t="str">
        <f t="shared" si="164"/>
        <v>2</v>
      </c>
      <c r="D1305" s="21" t="str">
        <f t="shared" si="165"/>
        <v>3</v>
      </c>
      <c r="E1305" s="21" t="str">
        <f t="shared" si="166"/>
        <v>07</v>
      </c>
      <c r="F1305" s="21" t="str">
        <f t="shared" si="167"/>
        <v>00</v>
      </c>
      <c r="G1305" s="21" t="s">
        <v>1286</v>
      </c>
      <c r="H1305" s="21" t="s">
        <v>3718</v>
      </c>
      <c r="I1305" s="22" t="s">
        <v>3834</v>
      </c>
      <c r="J1305" s="21"/>
      <c r="K1305" s="21"/>
      <c r="L1305" s="21"/>
      <c r="M1305" s="21"/>
    </row>
    <row r="1306" spans="1:13" ht="25.5" x14ac:dyDescent="0.25">
      <c r="A1306" s="21" t="str">
        <f t="shared" si="162"/>
        <v>2</v>
      </c>
      <c r="B1306" s="21" t="str">
        <f t="shared" si="163"/>
        <v>1</v>
      </c>
      <c r="C1306" s="21" t="str">
        <f t="shared" si="164"/>
        <v>2</v>
      </c>
      <c r="D1306" s="21" t="str">
        <f t="shared" si="165"/>
        <v>3</v>
      </c>
      <c r="E1306" s="21" t="str">
        <f t="shared" si="166"/>
        <v>99</v>
      </c>
      <c r="F1306" s="21" t="str">
        <f t="shared" si="167"/>
        <v>00</v>
      </c>
      <c r="G1306" s="21" t="s">
        <v>1287</v>
      </c>
      <c r="H1306" s="21" t="s">
        <v>3719</v>
      </c>
      <c r="I1306" s="22" t="s">
        <v>3835</v>
      </c>
      <c r="J1306" s="21"/>
      <c r="K1306" s="21"/>
      <c r="L1306" s="21"/>
      <c r="M1306" s="21"/>
    </row>
    <row r="1307" spans="1:13" x14ac:dyDescent="0.25">
      <c r="A1307" s="19" t="str">
        <f t="shared" si="162"/>
        <v>2</v>
      </c>
      <c r="B1307" s="19" t="str">
        <f t="shared" si="163"/>
        <v>1</v>
      </c>
      <c r="C1307" s="19" t="str">
        <f t="shared" si="164"/>
        <v>2</v>
      </c>
      <c r="D1307" s="19" t="str">
        <f t="shared" si="165"/>
        <v>9</v>
      </c>
      <c r="E1307" s="19" t="str">
        <f t="shared" si="166"/>
        <v>00</v>
      </c>
      <c r="F1307" s="19" t="str">
        <f t="shared" si="167"/>
        <v>00</v>
      </c>
      <c r="G1307" s="19" t="s">
        <v>1288</v>
      </c>
      <c r="H1307" s="19" t="s">
        <v>3720</v>
      </c>
      <c r="I1307" s="20" t="s">
        <v>3836</v>
      </c>
      <c r="J1307" s="19"/>
      <c r="K1307" s="19"/>
      <c r="L1307" s="19"/>
      <c r="M1307" s="20"/>
    </row>
    <row r="1308" spans="1:13" x14ac:dyDescent="0.25">
      <c r="A1308" s="10" t="str">
        <f t="shared" si="162"/>
        <v>2</v>
      </c>
      <c r="B1308" s="10" t="str">
        <f t="shared" si="163"/>
        <v>2</v>
      </c>
      <c r="C1308" s="10" t="str">
        <f t="shared" si="164"/>
        <v>0</v>
      </c>
      <c r="D1308" s="10" t="str">
        <f t="shared" si="165"/>
        <v>0</v>
      </c>
      <c r="E1308" s="10" t="str">
        <f t="shared" si="166"/>
        <v>00</v>
      </c>
      <c r="F1308" s="10" t="str">
        <f t="shared" si="167"/>
        <v>00</v>
      </c>
      <c r="G1308" s="10" t="s">
        <v>1289</v>
      </c>
      <c r="H1308" s="10" t="s">
        <v>3721</v>
      </c>
      <c r="I1308" s="14" t="s">
        <v>3837</v>
      </c>
      <c r="J1308" s="10"/>
      <c r="K1308" s="10"/>
      <c r="L1308" s="10"/>
      <c r="M1308" s="14"/>
    </row>
    <row r="1309" spans="1:13" x14ac:dyDescent="0.25">
      <c r="A1309" s="12" t="str">
        <f t="shared" si="162"/>
        <v>2</v>
      </c>
      <c r="B1309" s="12" t="str">
        <f t="shared" si="163"/>
        <v>2</v>
      </c>
      <c r="C1309" s="12" t="str">
        <f t="shared" si="164"/>
        <v>1</v>
      </c>
      <c r="D1309" s="12" t="str">
        <f t="shared" si="165"/>
        <v>0</v>
      </c>
      <c r="E1309" s="12" t="str">
        <f t="shared" si="166"/>
        <v>00</v>
      </c>
      <c r="F1309" s="12" t="str">
        <f t="shared" si="167"/>
        <v>00</v>
      </c>
      <c r="G1309" s="12" t="s">
        <v>1290</v>
      </c>
      <c r="H1309" s="12" t="s">
        <v>3722</v>
      </c>
      <c r="I1309" s="15" t="s">
        <v>3838</v>
      </c>
      <c r="J1309" s="12"/>
      <c r="K1309" s="12"/>
      <c r="L1309" s="12"/>
      <c r="M1309" s="15"/>
    </row>
    <row r="1310" spans="1:13" x14ac:dyDescent="0.25">
      <c r="A1310" s="19" t="str">
        <f t="shared" si="162"/>
        <v>2</v>
      </c>
      <c r="B1310" s="19" t="str">
        <f t="shared" si="163"/>
        <v>2</v>
      </c>
      <c r="C1310" s="19" t="str">
        <f t="shared" si="164"/>
        <v>1</v>
      </c>
      <c r="D1310" s="19" t="str">
        <f t="shared" si="165"/>
        <v>1</v>
      </c>
      <c r="E1310" s="19" t="str">
        <f t="shared" si="166"/>
        <v>00</v>
      </c>
      <c r="F1310" s="19" t="str">
        <f t="shared" si="167"/>
        <v>00</v>
      </c>
      <c r="G1310" s="19" t="s">
        <v>1291</v>
      </c>
      <c r="H1310" s="19" t="s">
        <v>3723</v>
      </c>
      <c r="I1310" s="20" t="s">
        <v>3839</v>
      </c>
      <c r="J1310" s="19"/>
      <c r="K1310" s="19"/>
      <c r="L1310" s="19"/>
      <c r="M1310" s="20"/>
    </row>
    <row r="1311" spans="1:13" x14ac:dyDescent="0.25">
      <c r="A1311" s="19" t="str">
        <f t="shared" si="162"/>
        <v>2</v>
      </c>
      <c r="B1311" s="19" t="str">
        <f t="shared" si="163"/>
        <v>2</v>
      </c>
      <c r="C1311" s="19" t="str">
        <f t="shared" si="164"/>
        <v>1</v>
      </c>
      <c r="D1311" s="19" t="str">
        <f t="shared" si="165"/>
        <v>2</v>
      </c>
      <c r="E1311" s="19" t="str">
        <f t="shared" si="166"/>
        <v>00</v>
      </c>
      <c r="F1311" s="19" t="str">
        <f t="shared" si="167"/>
        <v>00</v>
      </c>
      <c r="G1311" s="19" t="s">
        <v>1292</v>
      </c>
      <c r="H1311" s="19" t="s">
        <v>3724</v>
      </c>
      <c r="I1311" s="20" t="s">
        <v>3840</v>
      </c>
      <c r="J1311" s="19"/>
      <c r="K1311" s="19"/>
      <c r="L1311" s="19"/>
      <c r="M1311" s="20"/>
    </row>
    <row r="1312" spans="1:13" ht="25.5" x14ac:dyDescent="0.25">
      <c r="A1312" s="21" t="str">
        <f t="shared" si="162"/>
        <v>2</v>
      </c>
      <c r="B1312" s="21" t="str">
        <f t="shared" si="163"/>
        <v>2</v>
      </c>
      <c r="C1312" s="21" t="str">
        <f t="shared" si="164"/>
        <v>1</v>
      </c>
      <c r="D1312" s="21" t="str">
        <f t="shared" si="165"/>
        <v>2</v>
      </c>
      <c r="E1312" s="21" t="str">
        <f t="shared" si="166"/>
        <v>01</v>
      </c>
      <c r="F1312" s="21" t="str">
        <f t="shared" si="167"/>
        <v>00</v>
      </c>
      <c r="G1312" s="21" t="s">
        <v>1293</v>
      </c>
      <c r="H1312" s="21" t="s">
        <v>3725</v>
      </c>
      <c r="I1312" s="22" t="s">
        <v>3841</v>
      </c>
      <c r="J1312" s="21"/>
      <c r="K1312" s="21"/>
      <c r="L1312" s="21"/>
      <c r="M1312" s="21"/>
    </row>
    <row r="1313" spans="1:13" ht="25.5" x14ac:dyDescent="0.25">
      <c r="A1313" s="13" t="str">
        <f t="shared" si="162"/>
        <v>2</v>
      </c>
      <c r="B1313" s="13" t="str">
        <f t="shared" si="163"/>
        <v>2</v>
      </c>
      <c r="C1313" s="13" t="str">
        <f t="shared" si="164"/>
        <v>1</v>
      </c>
      <c r="D1313" s="13" t="str">
        <f t="shared" si="165"/>
        <v>2</v>
      </c>
      <c r="E1313" s="13" t="str">
        <f t="shared" si="166"/>
        <v>01</v>
      </c>
      <c r="F1313" s="13" t="str">
        <f t="shared" si="167"/>
        <v>01</v>
      </c>
      <c r="G1313" s="13" t="s">
        <v>1294</v>
      </c>
      <c r="H1313" s="13" t="s">
        <v>3726</v>
      </c>
      <c r="I1313" s="16" t="s">
        <v>3842</v>
      </c>
      <c r="J1313" s="13"/>
      <c r="K1313" s="13"/>
      <c r="L1313" s="13"/>
      <c r="M1313" s="16"/>
    </row>
    <row r="1314" spans="1:13" x14ac:dyDescent="0.25">
      <c r="A1314" s="13" t="str">
        <f t="shared" si="162"/>
        <v>2</v>
      </c>
      <c r="B1314" s="13" t="str">
        <f t="shared" si="163"/>
        <v>2</v>
      </c>
      <c r="C1314" s="13" t="str">
        <f t="shared" si="164"/>
        <v>1</v>
      </c>
      <c r="D1314" s="13" t="str">
        <f t="shared" si="165"/>
        <v>2</v>
      </c>
      <c r="E1314" s="13" t="str">
        <f t="shared" si="166"/>
        <v>01</v>
      </c>
      <c r="F1314" s="13" t="str">
        <f t="shared" si="167"/>
        <v>02</v>
      </c>
      <c r="G1314" s="13" t="s">
        <v>1295</v>
      </c>
      <c r="H1314" s="13" t="s">
        <v>3727</v>
      </c>
      <c r="I1314" s="16" t="s">
        <v>3843</v>
      </c>
      <c r="J1314" s="13"/>
      <c r="K1314" s="13"/>
      <c r="L1314" s="13"/>
      <c r="M1314" s="16"/>
    </row>
    <row r="1315" spans="1:13" ht="25.5" x14ac:dyDescent="0.25">
      <c r="A1315" s="13" t="str">
        <f t="shared" si="162"/>
        <v>2</v>
      </c>
      <c r="B1315" s="13" t="str">
        <f t="shared" si="163"/>
        <v>2</v>
      </c>
      <c r="C1315" s="13" t="str">
        <f t="shared" si="164"/>
        <v>1</v>
      </c>
      <c r="D1315" s="13" t="str">
        <f t="shared" si="165"/>
        <v>2</v>
      </c>
      <c r="E1315" s="13" t="str">
        <f t="shared" si="166"/>
        <v>01</v>
      </c>
      <c r="F1315" s="13" t="str">
        <f t="shared" si="167"/>
        <v>03</v>
      </c>
      <c r="G1315" s="13" t="s">
        <v>1296</v>
      </c>
      <c r="H1315" s="13" t="s">
        <v>3728</v>
      </c>
      <c r="I1315" s="16" t="s">
        <v>3844</v>
      </c>
      <c r="J1315" s="13"/>
      <c r="K1315" s="13"/>
      <c r="L1315" s="13"/>
      <c r="M1315" s="16"/>
    </row>
    <row r="1316" spans="1:13" ht="25.5" x14ac:dyDescent="0.25">
      <c r="A1316" s="21" t="str">
        <f t="shared" si="162"/>
        <v>2</v>
      </c>
      <c r="B1316" s="21" t="str">
        <f t="shared" si="163"/>
        <v>2</v>
      </c>
      <c r="C1316" s="21" t="str">
        <f t="shared" si="164"/>
        <v>1</v>
      </c>
      <c r="D1316" s="21" t="str">
        <f t="shared" si="165"/>
        <v>2</v>
      </c>
      <c r="E1316" s="21" t="str">
        <f t="shared" si="166"/>
        <v>03</v>
      </c>
      <c r="F1316" s="21" t="str">
        <f t="shared" si="167"/>
        <v>00</v>
      </c>
      <c r="G1316" s="21" t="s">
        <v>1297</v>
      </c>
      <c r="H1316" s="21" t="s">
        <v>3729</v>
      </c>
      <c r="I1316" s="22" t="s">
        <v>3845</v>
      </c>
      <c r="J1316" s="21"/>
      <c r="K1316" s="21"/>
      <c r="L1316" s="21"/>
      <c r="M1316" s="21"/>
    </row>
    <row r="1317" spans="1:13" ht="38.25" x14ac:dyDescent="0.25">
      <c r="A1317" s="13" t="str">
        <f t="shared" si="162"/>
        <v>2</v>
      </c>
      <c r="B1317" s="13" t="str">
        <f t="shared" si="163"/>
        <v>2</v>
      </c>
      <c r="C1317" s="13" t="str">
        <f t="shared" si="164"/>
        <v>1</v>
      </c>
      <c r="D1317" s="13" t="str">
        <f t="shared" si="165"/>
        <v>2</v>
      </c>
      <c r="E1317" s="13" t="str">
        <f t="shared" si="166"/>
        <v>03</v>
      </c>
      <c r="F1317" s="13" t="str">
        <f t="shared" si="167"/>
        <v>01</v>
      </c>
      <c r="G1317" s="13" t="s">
        <v>1298</v>
      </c>
      <c r="H1317" s="13" t="s">
        <v>3730</v>
      </c>
      <c r="I1317" s="16" t="s">
        <v>3846</v>
      </c>
      <c r="J1317" s="13"/>
      <c r="K1317" s="13"/>
      <c r="L1317" s="13"/>
      <c r="M1317" s="16"/>
    </row>
    <row r="1318" spans="1:13" ht="25.5" x14ac:dyDescent="0.25">
      <c r="A1318" s="13" t="str">
        <f t="shared" si="162"/>
        <v>2</v>
      </c>
      <c r="B1318" s="13" t="str">
        <f t="shared" si="163"/>
        <v>2</v>
      </c>
      <c r="C1318" s="13" t="str">
        <f t="shared" si="164"/>
        <v>1</v>
      </c>
      <c r="D1318" s="13" t="str">
        <f t="shared" si="165"/>
        <v>2</v>
      </c>
      <c r="E1318" s="13" t="str">
        <f t="shared" si="166"/>
        <v>03</v>
      </c>
      <c r="F1318" s="13" t="str">
        <f t="shared" si="167"/>
        <v>02</v>
      </c>
      <c r="G1318" s="13" t="s">
        <v>1299</v>
      </c>
      <c r="H1318" s="13" t="s">
        <v>3731</v>
      </c>
      <c r="I1318" s="16" t="s">
        <v>3847</v>
      </c>
      <c r="J1318" s="13"/>
      <c r="K1318" s="13"/>
      <c r="L1318" s="13"/>
      <c r="M1318" s="16"/>
    </row>
    <row r="1319" spans="1:13" ht="25.5" x14ac:dyDescent="0.25">
      <c r="A1319" s="13" t="str">
        <f t="shared" si="162"/>
        <v>2</v>
      </c>
      <c r="B1319" s="13" t="str">
        <f t="shared" si="163"/>
        <v>2</v>
      </c>
      <c r="C1319" s="13" t="str">
        <f t="shared" si="164"/>
        <v>1</v>
      </c>
      <c r="D1319" s="13" t="str">
        <f t="shared" si="165"/>
        <v>2</v>
      </c>
      <c r="E1319" s="13" t="str">
        <f t="shared" si="166"/>
        <v>03</v>
      </c>
      <c r="F1319" s="13" t="str">
        <f t="shared" si="167"/>
        <v>03</v>
      </c>
      <c r="G1319" s="13" t="s">
        <v>1300</v>
      </c>
      <c r="H1319" s="13" t="s">
        <v>3732</v>
      </c>
      <c r="I1319" s="16" t="s">
        <v>3848</v>
      </c>
      <c r="J1319" s="13"/>
      <c r="K1319" s="13"/>
      <c r="L1319" s="13"/>
      <c r="M1319" s="16"/>
    </row>
    <row r="1320" spans="1:13" ht="25.5" x14ac:dyDescent="0.25">
      <c r="A1320" s="21" t="str">
        <f t="shared" si="162"/>
        <v>2</v>
      </c>
      <c r="B1320" s="21" t="str">
        <f t="shared" si="163"/>
        <v>2</v>
      </c>
      <c r="C1320" s="21" t="str">
        <f t="shared" si="164"/>
        <v>1</v>
      </c>
      <c r="D1320" s="21" t="str">
        <f t="shared" si="165"/>
        <v>2</v>
      </c>
      <c r="E1320" s="21" t="str">
        <f t="shared" si="166"/>
        <v>07</v>
      </c>
      <c r="F1320" s="21" t="str">
        <f t="shared" si="167"/>
        <v>00</v>
      </c>
      <c r="G1320" s="21" t="s">
        <v>1301</v>
      </c>
      <c r="H1320" s="21" t="s">
        <v>3733</v>
      </c>
      <c r="I1320" s="22" t="s">
        <v>4063</v>
      </c>
      <c r="J1320" s="21"/>
      <c r="K1320" s="21" t="s">
        <v>4018</v>
      </c>
      <c r="L1320" s="21" t="s">
        <v>4231</v>
      </c>
      <c r="M1320" s="21"/>
    </row>
    <row r="1321" spans="1:13" ht="25.5" x14ac:dyDescent="0.25">
      <c r="A1321" s="13" t="str">
        <f t="shared" si="162"/>
        <v>2</v>
      </c>
      <c r="B1321" s="13" t="str">
        <f t="shared" si="163"/>
        <v>2</v>
      </c>
      <c r="C1321" s="13" t="str">
        <f t="shared" si="164"/>
        <v>1</v>
      </c>
      <c r="D1321" s="13" t="str">
        <f t="shared" si="165"/>
        <v>2</v>
      </c>
      <c r="E1321" s="13" t="str">
        <f t="shared" si="166"/>
        <v>07</v>
      </c>
      <c r="F1321" s="13" t="str">
        <f t="shared" si="167"/>
        <v>01</v>
      </c>
      <c r="G1321" s="13" t="s">
        <v>1302</v>
      </c>
      <c r="H1321" s="13" t="s">
        <v>3734</v>
      </c>
      <c r="I1321" s="16" t="s">
        <v>3849</v>
      </c>
      <c r="J1321" s="13"/>
      <c r="K1321" s="13"/>
      <c r="L1321" s="13"/>
      <c r="M1321" s="16"/>
    </row>
    <row r="1322" spans="1:13" ht="25.5" x14ac:dyDescent="0.25">
      <c r="A1322" s="13" t="str">
        <f t="shared" si="162"/>
        <v>2</v>
      </c>
      <c r="B1322" s="13" t="str">
        <f t="shared" si="163"/>
        <v>2</v>
      </c>
      <c r="C1322" s="13" t="str">
        <f t="shared" si="164"/>
        <v>1</v>
      </c>
      <c r="D1322" s="13" t="str">
        <f t="shared" si="165"/>
        <v>2</v>
      </c>
      <c r="E1322" s="13" t="str">
        <f t="shared" si="166"/>
        <v>07</v>
      </c>
      <c r="F1322" s="13" t="str">
        <f t="shared" si="167"/>
        <v>02</v>
      </c>
      <c r="G1322" s="13" t="s">
        <v>1303</v>
      </c>
      <c r="H1322" s="13" t="s">
        <v>3735</v>
      </c>
      <c r="I1322" s="16" t="s">
        <v>3850</v>
      </c>
      <c r="J1322" s="13"/>
      <c r="K1322" s="13"/>
      <c r="L1322" s="13"/>
      <c r="M1322" s="16"/>
    </row>
    <row r="1323" spans="1:13" x14ac:dyDescent="0.25">
      <c r="A1323" s="21" t="str">
        <f t="shared" si="162"/>
        <v>2</v>
      </c>
      <c r="B1323" s="21" t="str">
        <f t="shared" si="163"/>
        <v>2</v>
      </c>
      <c r="C1323" s="21" t="str">
        <f t="shared" si="164"/>
        <v>1</v>
      </c>
      <c r="D1323" s="21" t="str">
        <f t="shared" si="165"/>
        <v>2</v>
      </c>
      <c r="E1323" s="21" t="str">
        <f t="shared" si="166"/>
        <v>09</v>
      </c>
      <c r="F1323" s="21" t="str">
        <f t="shared" si="167"/>
        <v>00</v>
      </c>
      <c r="G1323" s="21" t="s">
        <v>1304</v>
      </c>
      <c r="H1323" s="21" t="s">
        <v>3736</v>
      </c>
      <c r="I1323" s="22" t="s">
        <v>3851</v>
      </c>
      <c r="J1323" s="21"/>
      <c r="K1323" s="21"/>
      <c r="L1323" s="21"/>
      <c r="M1323" s="21"/>
    </row>
    <row r="1324" spans="1:13" ht="25.5" x14ac:dyDescent="0.25">
      <c r="A1324" s="13" t="str">
        <f t="shared" si="162"/>
        <v>2</v>
      </c>
      <c r="B1324" s="13" t="str">
        <f t="shared" si="163"/>
        <v>2</v>
      </c>
      <c r="C1324" s="13" t="str">
        <f t="shared" si="164"/>
        <v>1</v>
      </c>
      <c r="D1324" s="13" t="str">
        <f t="shared" si="165"/>
        <v>2</v>
      </c>
      <c r="E1324" s="13" t="str">
        <f t="shared" si="166"/>
        <v>09</v>
      </c>
      <c r="F1324" s="13" t="str">
        <f t="shared" si="167"/>
        <v>01</v>
      </c>
      <c r="G1324" s="13" t="s">
        <v>1305</v>
      </c>
      <c r="H1324" s="13" t="s">
        <v>3737</v>
      </c>
      <c r="I1324" s="16" t="s">
        <v>3852</v>
      </c>
      <c r="J1324" s="13"/>
      <c r="K1324" s="13"/>
      <c r="L1324" s="13"/>
      <c r="M1324" s="16"/>
    </row>
    <row r="1325" spans="1:13" ht="25.5" x14ac:dyDescent="0.25">
      <c r="A1325" s="13" t="str">
        <f t="shared" si="162"/>
        <v>2</v>
      </c>
      <c r="B1325" s="13" t="str">
        <f t="shared" si="163"/>
        <v>2</v>
      </c>
      <c r="C1325" s="13" t="str">
        <f t="shared" si="164"/>
        <v>1</v>
      </c>
      <c r="D1325" s="13" t="str">
        <f t="shared" si="165"/>
        <v>2</v>
      </c>
      <c r="E1325" s="13" t="str">
        <f t="shared" si="166"/>
        <v>09</v>
      </c>
      <c r="F1325" s="13" t="str">
        <f t="shared" si="167"/>
        <v>02</v>
      </c>
      <c r="G1325" s="13" t="s">
        <v>1306</v>
      </c>
      <c r="H1325" s="13" t="s">
        <v>3738</v>
      </c>
      <c r="I1325" s="16" t="s">
        <v>3853</v>
      </c>
      <c r="J1325" s="13"/>
      <c r="K1325" s="13"/>
      <c r="L1325" s="13"/>
      <c r="M1325" s="16"/>
    </row>
    <row r="1326" spans="1:13" x14ac:dyDescent="0.25">
      <c r="A1326" s="21" t="str">
        <f t="shared" si="162"/>
        <v>2</v>
      </c>
      <c r="B1326" s="21" t="str">
        <f t="shared" si="163"/>
        <v>2</v>
      </c>
      <c r="C1326" s="21" t="str">
        <f t="shared" si="164"/>
        <v>1</v>
      </c>
      <c r="D1326" s="21" t="str">
        <f t="shared" si="165"/>
        <v>2</v>
      </c>
      <c r="E1326" s="21" t="str">
        <f t="shared" si="166"/>
        <v>99</v>
      </c>
      <c r="F1326" s="21" t="str">
        <f t="shared" si="167"/>
        <v>00</v>
      </c>
      <c r="G1326" s="21" t="s">
        <v>1307</v>
      </c>
      <c r="H1326" s="21" t="s">
        <v>3739</v>
      </c>
      <c r="I1326" s="22" t="s">
        <v>3854</v>
      </c>
      <c r="J1326" s="21"/>
      <c r="K1326" s="21"/>
      <c r="L1326" s="21"/>
      <c r="M1326" s="21"/>
    </row>
    <row r="1327" spans="1:13" ht="25.5" x14ac:dyDescent="0.25">
      <c r="A1327" s="19" t="str">
        <f t="shared" si="162"/>
        <v>2</v>
      </c>
      <c r="B1327" s="19" t="str">
        <f t="shared" si="163"/>
        <v>2</v>
      </c>
      <c r="C1327" s="19" t="str">
        <f t="shared" si="164"/>
        <v>1</v>
      </c>
      <c r="D1327" s="19" t="str">
        <f t="shared" si="165"/>
        <v>4</v>
      </c>
      <c r="E1327" s="19" t="str">
        <f t="shared" si="166"/>
        <v>00</v>
      </c>
      <c r="F1327" s="19" t="str">
        <f t="shared" si="167"/>
        <v>00</v>
      </c>
      <c r="G1327" s="19" t="s">
        <v>1308</v>
      </c>
      <c r="H1327" s="19" t="s">
        <v>3740</v>
      </c>
      <c r="I1327" s="20" t="s">
        <v>3855</v>
      </c>
      <c r="J1327" s="19"/>
      <c r="K1327" s="19"/>
      <c r="L1327" s="19"/>
      <c r="M1327" s="20"/>
    </row>
    <row r="1328" spans="1:13" x14ac:dyDescent="0.25">
      <c r="A1328" s="19" t="str">
        <f t="shared" si="162"/>
        <v>2</v>
      </c>
      <c r="B1328" s="19" t="str">
        <f t="shared" si="163"/>
        <v>2</v>
      </c>
      <c r="C1328" s="19" t="str">
        <f t="shared" si="164"/>
        <v>1</v>
      </c>
      <c r="D1328" s="19" t="str">
        <f t="shared" si="165"/>
        <v>5</v>
      </c>
      <c r="E1328" s="19" t="str">
        <f t="shared" si="166"/>
        <v>00</v>
      </c>
      <c r="F1328" s="19" t="str">
        <f t="shared" si="167"/>
        <v>00</v>
      </c>
      <c r="G1328" s="19" t="s">
        <v>1309</v>
      </c>
      <c r="H1328" s="19" t="s">
        <v>3741</v>
      </c>
      <c r="I1328" s="20" t="s">
        <v>3856</v>
      </c>
      <c r="J1328" s="19"/>
      <c r="K1328" s="19"/>
      <c r="L1328" s="19"/>
      <c r="M1328" s="20"/>
    </row>
    <row r="1329" spans="1:13" x14ac:dyDescent="0.25">
      <c r="A1329" s="19" t="str">
        <f t="shared" si="162"/>
        <v>2</v>
      </c>
      <c r="B1329" s="19" t="str">
        <f t="shared" si="163"/>
        <v>2</v>
      </c>
      <c r="C1329" s="19" t="str">
        <f t="shared" si="164"/>
        <v>1</v>
      </c>
      <c r="D1329" s="19" t="str">
        <f t="shared" si="165"/>
        <v>6</v>
      </c>
      <c r="E1329" s="19" t="str">
        <f t="shared" si="166"/>
        <v>00</v>
      </c>
      <c r="F1329" s="19" t="str">
        <f t="shared" si="167"/>
        <v>00</v>
      </c>
      <c r="G1329" s="19" t="s">
        <v>1310</v>
      </c>
      <c r="H1329" s="19" t="s">
        <v>3742</v>
      </c>
      <c r="I1329" s="20" t="s">
        <v>3857</v>
      </c>
      <c r="J1329" s="19"/>
      <c r="K1329" s="19"/>
      <c r="L1329" s="19"/>
      <c r="M1329" s="20"/>
    </row>
    <row r="1330" spans="1:13" x14ac:dyDescent="0.25">
      <c r="A1330" s="19" t="str">
        <f t="shared" si="162"/>
        <v>2</v>
      </c>
      <c r="B1330" s="19" t="str">
        <f t="shared" si="163"/>
        <v>2</v>
      </c>
      <c r="C1330" s="19" t="str">
        <f t="shared" si="164"/>
        <v>1</v>
      </c>
      <c r="D1330" s="19" t="str">
        <f t="shared" si="165"/>
        <v>7</v>
      </c>
      <c r="E1330" s="19" t="str">
        <f t="shared" si="166"/>
        <v>00</v>
      </c>
      <c r="F1330" s="19" t="str">
        <f t="shared" si="167"/>
        <v>00</v>
      </c>
      <c r="G1330" s="19" t="s">
        <v>1311</v>
      </c>
      <c r="H1330" s="19" t="s">
        <v>3743</v>
      </c>
      <c r="I1330" s="20" t="s">
        <v>3858</v>
      </c>
      <c r="J1330" s="19"/>
      <c r="K1330" s="19"/>
      <c r="L1330" s="19"/>
      <c r="M1330" s="20"/>
    </row>
    <row r="1331" spans="1:13" x14ac:dyDescent="0.25">
      <c r="A1331" s="19" t="str">
        <f t="shared" si="162"/>
        <v>2</v>
      </c>
      <c r="B1331" s="19" t="str">
        <f t="shared" si="163"/>
        <v>2</v>
      </c>
      <c r="C1331" s="19" t="str">
        <f t="shared" si="164"/>
        <v>1</v>
      </c>
      <c r="D1331" s="19" t="str">
        <f t="shared" si="165"/>
        <v>9</v>
      </c>
      <c r="E1331" s="19" t="str">
        <f t="shared" si="166"/>
        <v>00</v>
      </c>
      <c r="F1331" s="19" t="str">
        <f t="shared" si="167"/>
        <v>00</v>
      </c>
      <c r="G1331" s="19" t="s">
        <v>1312</v>
      </c>
      <c r="H1331" s="19" t="s">
        <v>3744</v>
      </c>
      <c r="I1331" s="20" t="s">
        <v>3859</v>
      </c>
      <c r="J1331" s="19"/>
      <c r="K1331" s="19"/>
      <c r="L1331" s="19"/>
      <c r="M1331" s="20"/>
    </row>
    <row r="1332" spans="1:13" x14ac:dyDescent="0.25">
      <c r="A1332" s="12" t="str">
        <f t="shared" si="162"/>
        <v>2</v>
      </c>
      <c r="B1332" s="12" t="str">
        <f t="shared" si="163"/>
        <v>2</v>
      </c>
      <c r="C1332" s="12" t="str">
        <f t="shared" si="164"/>
        <v>2</v>
      </c>
      <c r="D1332" s="12" t="str">
        <f t="shared" si="165"/>
        <v>0</v>
      </c>
      <c r="E1332" s="12" t="str">
        <f t="shared" si="166"/>
        <v>00</v>
      </c>
      <c r="F1332" s="12" t="str">
        <f t="shared" si="167"/>
        <v>00</v>
      </c>
      <c r="G1332" s="12" t="s">
        <v>1313</v>
      </c>
      <c r="H1332" s="12" t="s">
        <v>3745</v>
      </c>
      <c r="I1332" s="15" t="s">
        <v>3860</v>
      </c>
      <c r="J1332" s="12"/>
      <c r="K1332" s="12"/>
      <c r="L1332" s="12"/>
      <c r="M1332" s="15"/>
    </row>
    <row r="1333" spans="1:13" ht="25.5" x14ac:dyDescent="0.25">
      <c r="A1333" s="19" t="str">
        <f t="shared" si="162"/>
        <v>2</v>
      </c>
      <c r="B1333" s="19" t="str">
        <f t="shared" si="163"/>
        <v>2</v>
      </c>
      <c r="C1333" s="19" t="str">
        <f t="shared" si="164"/>
        <v>2</v>
      </c>
      <c r="D1333" s="19" t="str">
        <f t="shared" si="165"/>
        <v>1</v>
      </c>
      <c r="E1333" s="19" t="str">
        <f t="shared" si="166"/>
        <v>00</v>
      </c>
      <c r="F1333" s="19" t="str">
        <f t="shared" si="167"/>
        <v>00</v>
      </c>
      <c r="G1333" s="19" t="s">
        <v>1314</v>
      </c>
      <c r="H1333" s="19" t="s">
        <v>3746</v>
      </c>
      <c r="I1333" s="20" t="s">
        <v>3861</v>
      </c>
      <c r="J1333" s="19"/>
      <c r="K1333" s="19"/>
      <c r="L1333" s="19"/>
      <c r="M1333" s="20"/>
    </row>
    <row r="1334" spans="1:13" ht="25.5" x14ac:dyDescent="0.25">
      <c r="A1334" s="19" t="str">
        <f t="shared" si="162"/>
        <v>2</v>
      </c>
      <c r="B1334" s="19" t="str">
        <f t="shared" si="163"/>
        <v>2</v>
      </c>
      <c r="C1334" s="19" t="str">
        <f t="shared" si="164"/>
        <v>2</v>
      </c>
      <c r="D1334" s="19" t="str">
        <f t="shared" si="165"/>
        <v>2</v>
      </c>
      <c r="E1334" s="19" t="str">
        <f t="shared" si="166"/>
        <v>00</v>
      </c>
      <c r="F1334" s="19" t="str">
        <f t="shared" si="167"/>
        <v>00</v>
      </c>
      <c r="G1334" s="19" t="s">
        <v>1315</v>
      </c>
      <c r="H1334" s="19" t="s">
        <v>3747</v>
      </c>
      <c r="I1334" s="20" t="s">
        <v>3862</v>
      </c>
      <c r="J1334" s="19"/>
      <c r="K1334" s="19"/>
      <c r="L1334" s="19"/>
      <c r="M1334" s="20"/>
    </row>
    <row r="1335" spans="1:13" ht="25.5" x14ac:dyDescent="0.25">
      <c r="A1335" s="21" t="str">
        <f t="shared" si="162"/>
        <v>2</v>
      </c>
      <c r="B1335" s="21" t="str">
        <f t="shared" si="163"/>
        <v>2</v>
      </c>
      <c r="C1335" s="21" t="str">
        <f t="shared" si="164"/>
        <v>2</v>
      </c>
      <c r="D1335" s="21" t="str">
        <f t="shared" si="165"/>
        <v>2</v>
      </c>
      <c r="E1335" s="21" t="str">
        <f t="shared" si="166"/>
        <v>01</v>
      </c>
      <c r="F1335" s="21" t="str">
        <f t="shared" si="167"/>
        <v>00</v>
      </c>
      <c r="G1335" s="21" t="s">
        <v>1316</v>
      </c>
      <c r="H1335" s="21" t="s">
        <v>3748</v>
      </c>
      <c r="I1335" s="22" t="s">
        <v>3863</v>
      </c>
      <c r="J1335" s="21"/>
      <c r="K1335" s="21"/>
      <c r="L1335" s="21"/>
      <c r="M1335" s="21"/>
    </row>
    <row r="1336" spans="1:13" ht="25.5" x14ac:dyDescent="0.25">
      <c r="A1336" s="21" t="str">
        <f t="shared" si="162"/>
        <v>2</v>
      </c>
      <c r="B1336" s="21" t="str">
        <f t="shared" si="163"/>
        <v>2</v>
      </c>
      <c r="C1336" s="21" t="str">
        <f t="shared" si="164"/>
        <v>2</v>
      </c>
      <c r="D1336" s="21" t="str">
        <f t="shared" si="165"/>
        <v>2</v>
      </c>
      <c r="E1336" s="21" t="str">
        <f t="shared" si="166"/>
        <v>02</v>
      </c>
      <c r="F1336" s="21" t="str">
        <f t="shared" si="167"/>
        <v>00</v>
      </c>
      <c r="G1336" s="21" t="s">
        <v>1317</v>
      </c>
      <c r="H1336" s="21" t="s">
        <v>3749</v>
      </c>
      <c r="I1336" s="22" t="s">
        <v>3864</v>
      </c>
      <c r="J1336" s="21"/>
      <c r="K1336" s="21"/>
      <c r="L1336" s="21"/>
      <c r="M1336" s="21"/>
    </row>
    <row r="1337" spans="1:13" ht="25.5" x14ac:dyDescent="0.25">
      <c r="A1337" s="21" t="str">
        <f t="shared" si="162"/>
        <v>2</v>
      </c>
      <c r="B1337" s="21" t="str">
        <f t="shared" si="163"/>
        <v>2</v>
      </c>
      <c r="C1337" s="21" t="str">
        <f t="shared" si="164"/>
        <v>2</v>
      </c>
      <c r="D1337" s="21" t="str">
        <f t="shared" si="165"/>
        <v>2</v>
      </c>
      <c r="E1337" s="21" t="str">
        <f t="shared" si="166"/>
        <v>03</v>
      </c>
      <c r="F1337" s="21" t="str">
        <f t="shared" si="167"/>
        <v>00</v>
      </c>
      <c r="G1337" s="21" t="s">
        <v>1318</v>
      </c>
      <c r="H1337" s="21" t="s">
        <v>3750</v>
      </c>
      <c r="I1337" s="22" t="s">
        <v>3865</v>
      </c>
      <c r="J1337" s="21"/>
      <c r="K1337" s="21"/>
      <c r="L1337" s="21"/>
      <c r="M1337" s="21"/>
    </row>
    <row r="1338" spans="1:13" ht="51" x14ac:dyDescent="0.25">
      <c r="A1338" s="21" t="str">
        <f t="shared" si="162"/>
        <v>2</v>
      </c>
      <c r="B1338" s="21" t="str">
        <f t="shared" si="163"/>
        <v>2</v>
      </c>
      <c r="C1338" s="21" t="str">
        <f t="shared" si="164"/>
        <v>2</v>
      </c>
      <c r="D1338" s="21" t="str">
        <f t="shared" si="165"/>
        <v>2</v>
      </c>
      <c r="E1338" s="21" t="str">
        <f t="shared" si="166"/>
        <v>04</v>
      </c>
      <c r="F1338" s="21" t="str">
        <f t="shared" si="167"/>
        <v>00</v>
      </c>
      <c r="G1338" s="21" t="s">
        <v>1319</v>
      </c>
      <c r="H1338" s="21" t="s">
        <v>3751</v>
      </c>
      <c r="I1338" s="22" t="s">
        <v>3866</v>
      </c>
      <c r="J1338" s="21"/>
      <c r="K1338" s="21"/>
      <c r="L1338" s="21"/>
      <c r="M1338" s="21"/>
    </row>
    <row r="1339" spans="1:13" x14ac:dyDescent="0.25">
      <c r="A1339" s="19" t="str">
        <f t="shared" si="162"/>
        <v>2</v>
      </c>
      <c r="B1339" s="19" t="str">
        <f t="shared" si="163"/>
        <v>2</v>
      </c>
      <c r="C1339" s="19" t="str">
        <f t="shared" si="164"/>
        <v>2</v>
      </c>
      <c r="D1339" s="19" t="str">
        <f t="shared" si="165"/>
        <v>3</v>
      </c>
      <c r="E1339" s="19" t="str">
        <f t="shared" si="166"/>
        <v>00</v>
      </c>
      <c r="F1339" s="19" t="str">
        <f t="shared" si="167"/>
        <v>00</v>
      </c>
      <c r="G1339" s="19" t="s">
        <v>1320</v>
      </c>
      <c r="H1339" s="19" t="s">
        <v>3752</v>
      </c>
      <c r="I1339" s="20" t="s">
        <v>3867</v>
      </c>
      <c r="J1339" s="19"/>
      <c r="K1339" s="19"/>
      <c r="L1339" s="19"/>
      <c r="M1339" s="20"/>
    </row>
    <row r="1340" spans="1:13" x14ac:dyDescent="0.25">
      <c r="A1340" s="19" t="str">
        <f t="shared" si="162"/>
        <v>2</v>
      </c>
      <c r="B1340" s="19" t="str">
        <f t="shared" si="163"/>
        <v>2</v>
      </c>
      <c r="C1340" s="19" t="str">
        <f t="shared" si="164"/>
        <v>2</v>
      </c>
      <c r="D1340" s="19" t="str">
        <f t="shared" si="165"/>
        <v>4</v>
      </c>
      <c r="E1340" s="19" t="str">
        <f t="shared" si="166"/>
        <v>00</v>
      </c>
      <c r="F1340" s="19" t="str">
        <f t="shared" si="167"/>
        <v>00</v>
      </c>
      <c r="G1340" s="19" t="s">
        <v>1321</v>
      </c>
      <c r="H1340" s="19" t="s">
        <v>3753</v>
      </c>
      <c r="I1340" s="20" t="s">
        <v>3868</v>
      </c>
      <c r="J1340" s="19"/>
      <c r="K1340" s="19"/>
      <c r="L1340" s="19"/>
      <c r="M1340" s="20"/>
    </row>
    <row r="1341" spans="1:13" x14ac:dyDescent="0.25">
      <c r="A1341" s="19" t="str">
        <f t="shared" si="162"/>
        <v>2</v>
      </c>
      <c r="B1341" s="19" t="str">
        <f t="shared" si="163"/>
        <v>2</v>
      </c>
      <c r="C1341" s="19" t="str">
        <f t="shared" si="164"/>
        <v>2</v>
      </c>
      <c r="D1341" s="19" t="str">
        <f t="shared" si="165"/>
        <v>5</v>
      </c>
      <c r="E1341" s="19" t="str">
        <f t="shared" si="166"/>
        <v>00</v>
      </c>
      <c r="F1341" s="19" t="str">
        <f t="shared" si="167"/>
        <v>00</v>
      </c>
      <c r="G1341" s="19" t="s">
        <v>1322</v>
      </c>
      <c r="H1341" s="19" t="s">
        <v>3754</v>
      </c>
      <c r="I1341" s="20" t="s">
        <v>3869</v>
      </c>
      <c r="J1341" s="19"/>
      <c r="K1341" s="19"/>
      <c r="L1341" s="19"/>
      <c r="M1341" s="20"/>
    </row>
    <row r="1342" spans="1:13" x14ac:dyDescent="0.25">
      <c r="A1342" s="19" t="str">
        <f t="shared" si="162"/>
        <v>2</v>
      </c>
      <c r="B1342" s="19" t="str">
        <f t="shared" si="163"/>
        <v>2</v>
      </c>
      <c r="C1342" s="19" t="str">
        <f t="shared" si="164"/>
        <v>2</v>
      </c>
      <c r="D1342" s="19" t="str">
        <f t="shared" si="165"/>
        <v>9</v>
      </c>
      <c r="E1342" s="19" t="str">
        <f t="shared" si="166"/>
        <v>00</v>
      </c>
      <c r="F1342" s="19" t="str">
        <f t="shared" si="167"/>
        <v>00</v>
      </c>
      <c r="G1342" s="19" t="s">
        <v>1323</v>
      </c>
      <c r="H1342" s="19" t="s">
        <v>3755</v>
      </c>
      <c r="I1342" s="20" t="s">
        <v>3870</v>
      </c>
      <c r="J1342" s="19"/>
      <c r="K1342" s="19"/>
      <c r="L1342" s="19"/>
      <c r="M1342" s="20"/>
    </row>
    <row r="1343" spans="1:13" x14ac:dyDescent="0.25">
      <c r="A1343" s="10" t="str">
        <f t="shared" si="162"/>
        <v>2</v>
      </c>
      <c r="B1343" s="10" t="str">
        <f t="shared" si="163"/>
        <v>3</v>
      </c>
      <c r="C1343" s="10" t="str">
        <f t="shared" si="164"/>
        <v>0</v>
      </c>
      <c r="D1343" s="10" t="str">
        <f t="shared" si="165"/>
        <v>0</v>
      </c>
      <c r="E1343" s="10" t="str">
        <f t="shared" si="166"/>
        <v>00</v>
      </c>
      <c r="F1343" s="10" t="str">
        <f t="shared" si="167"/>
        <v>00</v>
      </c>
      <c r="G1343" s="10" t="s">
        <v>1324</v>
      </c>
      <c r="H1343" s="10" t="s">
        <v>3756</v>
      </c>
      <c r="I1343" s="14" t="s">
        <v>3871</v>
      </c>
      <c r="J1343" s="10"/>
      <c r="K1343" s="10"/>
      <c r="L1343" s="10"/>
      <c r="M1343" s="14"/>
    </row>
    <row r="1344" spans="1:13" ht="38.25" x14ac:dyDescent="0.25">
      <c r="A1344" s="21" t="str">
        <f t="shared" si="162"/>
        <v>2</v>
      </c>
      <c r="B1344" s="21" t="str">
        <f t="shared" si="163"/>
        <v>3</v>
      </c>
      <c r="C1344" s="21" t="str">
        <f t="shared" si="164"/>
        <v>0</v>
      </c>
      <c r="D1344" s="21" t="str">
        <f t="shared" si="165"/>
        <v>0</v>
      </c>
      <c r="E1344" s="21" t="str">
        <f t="shared" si="166"/>
        <v>10</v>
      </c>
      <c r="F1344" s="21" t="str">
        <f t="shared" si="167"/>
        <v>00</v>
      </c>
      <c r="G1344" s="21" t="s">
        <v>1325</v>
      </c>
      <c r="H1344" s="21" t="s">
        <v>3757</v>
      </c>
      <c r="I1344" s="22" t="s">
        <v>3872</v>
      </c>
      <c r="J1344" s="21"/>
      <c r="K1344" s="21"/>
      <c r="L1344" s="21"/>
      <c r="M1344" s="21"/>
    </row>
    <row r="1345" spans="1:13" ht="25.5" x14ac:dyDescent="0.25">
      <c r="A1345" s="21" t="str">
        <f t="shared" si="162"/>
        <v>2</v>
      </c>
      <c r="B1345" s="21" t="str">
        <f t="shared" si="163"/>
        <v>3</v>
      </c>
      <c r="C1345" s="21" t="str">
        <f t="shared" si="164"/>
        <v>0</v>
      </c>
      <c r="D1345" s="21" t="str">
        <f t="shared" si="165"/>
        <v>0</v>
      </c>
      <c r="E1345" s="21" t="str">
        <f t="shared" si="166"/>
        <v>20</v>
      </c>
      <c r="F1345" s="21" t="str">
        <f t="shared" si="167"/>
        <v>00</v>
      </c>
      <c r="G1345" s="21" t="s">
        <v>1326</v>
      </c>
      <c r="H1345" s="21" t="s">
        <v>3758</v>
      </c>
      <c r="I1345" s="22" t="s">
        <v>3873</v>
      </c>
      <c r="J1345" s="21"/>
      <c r="K1345" s="21"/>
      <c r="L1345" s="21"/>
      <c r="M1345" s="21"/>
    </row>
    <row r="1346" spans="1:13" ht="25.5" x14ac:dyDescent="0.25">
      <c r="A1346" s="13" t="str">
        <f t="shared" si="162"/>
        <v>2</v>
      </c>
      <c r="B1346" s="13" t="str">
        <f t="shared" si="163"/>
        <v>3</v>
      </c>
      <c r="C1346" s="13" t="str">
        <f t="shared" si="164"/>
        <v>0</v>
      </c>
      <c r="D1346" s="13" t="str">
        <f t="shared" si="165"/>
        <v>0</v>
      </c>
      <c r="E1346" s="13" t="str">
        <f t="shared" si="166"/>
        <v>20</v>
      </c>
      <c r="F1346" s="13" t="str">
        <f t="shared" si="167"/>
        <v>01</v>
      </c>
      <c r="G1346" s="13" t="s">
        <v>1327</v>
      </c>
      <c r="H1346" s="13" t="s">
        <v>3759</v>
      </c>
      <c r="I1346" s="16" t="s">
        <v>3874</v>
      </c>
      <c r="J1346" s="13"/>
      <c r="K1346" s="13"/>
      <c r="L1346" s="13"/>
      <c r="M1346" s="16"/>
    </row>
    <row r="1347" spans="1:13" ht="25.5" x14ac:dyDescent="0.25">
      <c r="A1347" s="13" t="str">
        <f t="shared" si="162"/>
        <v>2</v>
      </c>
      <c r="B1347" s="13" t="str">
        <f t="shared" si="163"/>
        <v>3</v>
      </c>
      <c r="C1347" s="13" t="str">
        <f t="shared" si="164"/>
        <v>0</v>
      </c>
      <c r="D1347" s="13" t="str">
        <f t="shared" si="165"/>
        <v>0</v>
      </c>
      <c r="E1347" s="13" t="str">
        <f t="shared" si="166"/>
        <v>20</v>
      </c>
      <c r="F1347" s="13" t="str">
        <f t="shared" si="167"/>
        <v>02</v>
      </c>
      <c r="G1347" s="13" t="s">
        <v>1328</v>
      </c>
      <c r="H1347" s="13" t="s">
        <v>3760</v>
      </c>
      <c r="I1347" s="16" t="s">
        <v>3875</v>
      </c>
      <c r="J1347" s="13"/>
      <c r="K1347" s="13"/>
      <c r="L1347" s="13"/>
      <c r="M1347" s="16"/>
    </row>
    <row r="1348" spans="1:13" ht="25.5" x14ac:dyDescent="0.25">
      <c r="A1348" s="21" t="str">
        <f t="shared" si="162"/>
        <v>2</v>
      </c>
      <c r="B1348" s="21" t="str">
        <f t="shared" si="163"/>
        <v>3</v>
      </c>
      <c r="C1348" s="21" t="str">
        <f t="shared" si="164"/>
        <v>0</v>
      </c>
      <c r="D1348" s="21" t="str">
        <f t="shared" si="165"/>
        <v>0</v>
      </c>
      <c r="E1348" s="21" t="str">
        <f t="shared" si="166"/>
        <v>30</v>
      </c>
      <c r="F1348" s="21" t="str">
        <f t="shared" si="167"/>
        <v>00</v>
      </c>
      <c r="G1348" s="21" t="s">
        <v>1329</v>
      </c>
      <c r="H1348" s="21" t="s">
        <v>3761</v>
      </c>
      <c r="I1348" s="22" t="s">
        <v>3876</v>
      </c>
      <c r="J1348" s="21"/>
      <c r="K1348" s="21"/>
      <c r="L1348" s="21"/>
      <c r="M1348" s="21"/>
    </row>
    <row r="1349" spans="1:13" ht="38.25" x14ac:dyDescent="0.25">
      <c r="A1349" s="21" t="str">
        <f t="shared" si="162"/>
        <v>2</v>
      </c>
      <c r="B1349" s="21" t="str">
        <f t="shared" si="163"/>
        <v>3</v>
      </c>
      <c r="C1349" s="21" t="str">
        <f t="shared" si="164"/>
        <v>0</v>
      </c>
      <c r="D1349" s="21" t="str">
        <f t="shared" si="165"/>
        <v>0</v>
      </c>
      <c r="E1349" s="21" t="str">
        <f t="shared" si="166"/>
        <v>40</v>
      </c>
      <c r="F1349" s="21" t="str">
        <f t="shared" si="167"/>
        <v>00</v>
      </c>
      <c r="G1349" s="21" t="s">
        <v>1330</v>
      </c>
      <c r="H1349" s="21" t="s">
        <v>3762</v>
      </c>
      <c r="I1349" s="22" t="s">
        <v>3877</v>
      </c>
      <c r="J1349" s="21"/>
      <c r="K1349" s="21"/>
      <c r="L1349" s="21"/>
      <c r="M1349" s="21"/>
    </row>
    <row r="1350" spans="1:13" ht="89.25" x14ac:dyDescent="0.25">
      <c r="A1350" s="21" t="str">
        <f t="shared" si="162"/>
        <v>2</v>
      </c>
      <c r="B1350" s="21" t="str">
        <f t="shared" si="163"/>
        <v>3</v>
      </c>
      <c r="C1350" s="21" t="str">
        <f t="shared" si="164"/>
        <v>0</v>
      </c>
      <c r="D1350" s="21" t="str">
        <f t="shared" si="165"/>
        <v>0</v>
      </c>
      <c r="E1350" s="21" t="str">
        <f t="shared" si="166"/>
        <v>50</v>
      </c>
      <c r="F1350" s="21" t="str">
        <f t="shared" si="167"/>
        <v>00</v>
      </c>
      <c r="G1350" s="21" t="s">
        <v>1331</v>
      </c>
      <c r="H1350" s="21" t="s">
        <v>3763</v>
      </c>
      <c r="I1350" s="22" t="s">
        <v>3878</v>
      </c>
      <c r="J1350" s="21"/>
      <c r="K1350" s="21"/>
      <c r="L1350" s="21"/>
      <c r="M1350" s="21"/>
    </row>
    <row r="1351" spans="1:13" ht="25.5" x14ac:dyDescent="0.25">
      <c r="A1351" s="21" t="str">
        <f t="shared" si="162"/>
        <v>2</v>
      </c>
      <c r="B1351" s="21" t="str">
        <f t="shared" si="163"/>
        <v>3</v>
      </c>
      <c r="C1351" s="21" t="str">
        <f t="shared" si="164"/>
        <v>0</v>
      </c>
      <c r="D1351" s="21" t="str">
        <f t="shared" si="165"/>
        <v>0</v>
      </c>
      <c r="E1351" s="21" t="str">
        <f t="shared" si="166"/>
        <v>70</v>
      </c>
      <c r="F1351" s="21" t="str">
        <f t="shared" si="167"/>
        <v>00</v>
      </c>
      <c r="G1351" s="21" t="s">
        <v>1332</v>
      </c>
      <c r="H1351" s="21" t="s">
        <v>3764</v>
      </c>
      <c r="I1351" s="22" t="s">
        <v>3879</v>
      </c>
      <c r="J1351" s="21"/>
      <c r="K1351" s="21"/>
      <c r="L1351" s="21"/>
      <c r="M1351" s="21"/>
    </row>
    <row r="1352" spans="1:13" x14ac:dyDescent="0.25">
      <c r="A1352" s="13" t="str">
        <f t="shared" si="162"/>
        <v>2</v>
      </c>
      <c r="B1352" s="13" t="str">
        <f t="shared" si="163"/>
        <v>3</v>
      </c>
      <c r="C1352" s="13" t="str">
        <f t="shared" si="164"/>
        <v>0</v>
      </c>
      <c r="D1352" s="13" t="str">
        <f t="shared" si="165"/>
        <v>0</v>
      </c>
      <c r="E1352" s="13" t="str">
        <f t="shared" si="166"/>
        <v>70</v>
      </c>
      <c r="F1352" s="13" t="str">
        <f t="shared" si="167"/>
        <v>01</v>
      </c>
      <c r="G1352" s="13" t="s">
        <v>1333</v>
      </c>
      <c r="H1352" s="13" t="s">
        <v>3765</v>
      </c>
      <c r="I1352" s="16" t="s">
        <v>3880</v>
      </c>
      <c r="J1352" s="13"/>
      <c r="K1352" s="13"/>
      <c r="L1352" s="13"/>
      <c r="M1352" s="16"/>
    </row>
    <row r="1353" spans="1:13" ht="38.25" x14ac:dyDescent="0.25">
      <c r="A1353" s="13" t="str">
        <f t="shared" si="162"/>
        <v>2</v>
      </c>
      <c r="B1353" s="13" t="str">
        <f t="shared" si="163"/>
        <v>3</v>
      </c>
      <c r="C1353" s="13" t="str">
        <f t="shared" si="164"/>
        <v>0</v>
      </c>
      <c r="D1353" s="13" t="str">
        <f t="shared" si="165"/>
        <v>0</v>
      </c>
      <c r="E1353" s="13" t="str">
        <f t="shared" si="166"/>
        <v>70</v>
      </c>
      <c r="F1353" s="13" t="str">
        <f t="shared" si="167"/>
        <v>02</v>
      </c>
      <c r="G1353" s="13" t="s">
        <v>1334</v>
      </c>
      <c r="H1353" s="13" t="s">
        <v>3766</v>
      </c>
      <c r="I1353" s="16" t="s">
        <v>3881</v>
      </c>
      <c r="J1353" s="13"/>
      <c r="K1353" s="13"/>
      <c r="L1353" s="13"/>
      <c r="M1353" s="16"/>
    </row>
    <row r="1354" spans="1:13" ht="89.25" x14ac:dyDescent="0.25">
      <c r="A1354" s="21" t="str">
        <f t="shared" si="162"/>
        <v>2</v>
      </c>
      <c r="B1354" s="21" t="str">
        <f t="shared" si="163"/>
        <v>3</v>
      </c>
      <c r="C1354" s="21" t="str">
        <f t="shared" si="164"/>
        <v>0</v>
      </c>
      <c r="D1354" s="21" t="str">
        <f t="shared" si="165"/>
        <v>0</v>
      </c>
      <c r="E1354" s="21" t="str">
        <f t="shared" si="166"/>
        <v>80</v>
      </c>
      <c r="F1354" s="21" t="str">
        <f t="shared" si="167"/>
        <v>00</v>
      </c>
      <c r="G1354" s="21" t="s">
        <v>1335</v>
      </c>
      <c r="H1354" s="21" t="s">
        <v>3767</v>
      </c>
      <c r="I1354" s="22" t="s">
        <v>3882</v>
      </c>
      <c r="J1354" s="21"/>
      <c r="K1354" s="21"/>
      <c r="L1354" s="21"/>
      <c r="M1354" s="21"/>
    </row>
    <row r="1355" spans="1:13" x14ac:dyDescent="0.25">
      <c r="A1355" s="13" t="str">
        <f t="shared" si="162"/>
        <v>2</v>
      </c>
      <c r="B1355" s="13" t="str">
        <f t="shared" si="163"/>
        <v>3</v>
      </c>
      <c r="C1355" s="13" t="str">
        <f t="shared" si="164"/>
        <v>0</v>
      </c>
      <c r="D1355" s="13" t="str">
        <f t="shared" si="165"/>
        <v>0</v>
      </c>
      <c r="E1355" s="13" t="str">
        <f t="shared" si="166"/>
        <v>80</v>
      </c>
      <c r="F1355" s="13" t="str">
        <f t="shared" si="167"/>
        <v>01</v>
      </c>
      <c r="G1355" s="13" t="s">
        <v>1336</v>
      </c>
      <c r="H1355" s="13" t="s">
        <v>3768</v>
      </c>
      <c r="I1355" s="16" t="s">
        <v>3883</v>
      </c>
      <c r="J1355" s="13"/>
      <c r="K1355" s="13"/>
      <c r="L1355" s="13"/>
      <c r="M1355" s="16"/>
    </row>
    <row r="1356" spans="1:13" ht="25.5" x14ac:dyDescent="0.25">
      <c r="A1356" s="13" t="str">
        <f t="shared" si="162"/>
        <v>2</v>
      </c>
      <c r="B1356" s="13" t="str">
        <f t="shared" si="163"/>
        <v>3</v>
      </c>
      <c r="C1356" s="13" t="str">
        <f t="shared" si="164"/>
        <v>0</v>
      </c>
      <c r="D1356" s="13" t="str">
        <f t="shared" si="165"/>
        <v>0</v>
      </c>
      <c r="E1356" s="13" t="str">
        <f t="shared" si="166"/>
        <v>80</v>
      </c>
      <c r="F1356" s="13" t="str">
        <f t="shared" si="167"/>
        <v>02</v>
      </c>
      <c r="G1356" s="13" t="s">
        <v>1337</v>
      </c>
      <c r="H1356" s="13" t="s">
        <v>3769</v>
      </c>
      <c r="I1356" s="16" t="s">
        <v>3884</v>
      </c>
      <c r="J1356" s="13"/>
      <c r="K1356" s="13"/>
      <c r="L1356" s="13"/>
      <c r="M1356" s="16"/>
    </row>
    <row r="1357" spans="1:13" ht="38.25" x14ac:dyDescent="0.25">
      <c r="A1357" s="13" t="str">
        <f t="shared" si="162"/>
        <v>2</v>
      </c>
      <c r="B1357" s="13" t="str">
        <f t="shared" si="163"/>
        <v>3</v>
      </c>
      <c r="C1357" s="13" t="str">
        <f t="shared" si="164"/>
        <v>0</v>
      </c>
      <c r="D1357" s="13" t="str">
        <f t="shared" si="165"/>
        <v>0</v>
      </c>
      <c r="E1357" s="13" t="str">
        <f t="shared" si="166"/>
        <v>80</v>
      </c>
      <c r="F1357" s="13" t="str">
        <f t="shared" si="167"/>
        <v>03</v>
      </c>
      <c r="G1357" s="13" t="s">
        <v>1338</v>
      </c>
      <c r="H1357" s="13" t="s">
        <v>3770</v>
      </c>
      <c r="I1357" s="16" t="s">
        <v>3885</v>
      </c>
      <c r="J1357" s="13"/>
      <c r="K1357" s="13"/>
      <c r="L1357" s="13"/>
      <c r="M1357" s="16"/>
    </row>
    <row r="1358" spans="1:13" ht="25.5" x14ac:dyDescent="0.25">
      <c r="A1358" s="45" t="str">
        <f t="shared" ref="A1358:A1422" si="168">MID(G1358,1,1)</f>
        <v>2</v>
      </c>
      <c r="B1358" s="45" t="str">
        <f t="shared" ref="B1358:B1422" si="169">MID(G1358,2,1)</f>
        <v>3</v>
      </c>
      <c r="C1358" s="45" t="str">
        <f t="shared" ref="C1358:C1422" si="170">MID(G1358,3,1)</f>
        <v>0</v>
      </c>
      <c r="D1358" s="45" t="str">
        <f t="shared" ref="D1358:D1422" si="171">MID(G1358,4,1)</f>
        <v>0</v>
      </c>
      <c r="E1358" s="45" t="str">
        <f t="shared" ref="E1358:E1422" si="172">MID(G1358,6,2)</f>
        <v>80</v>
      </c>
      <c r="F1358" s="45" t="str">
        <f t="shared" ref="F1358:F1422" si="173">MID(G1358,9,2)</f>
        <v>04</v>
      </c>
      <c r="G1358" s="45" t="s">
        <v>1339</v>
      </c>
      <c r="H1358" s="45" t="s">
        <v>3771</v>
      </c>
      <c r="I1358" s="46" t="s">
        <v>3886</v>
      </c>
      <c r="J1358" s="13"/>
      <c r="K1358" s="13" t="s">
        <v>3947</v>
      </c>
      <c r="L1358" s="13" t="s">
        <v>4220</v>
      </c>
      <c r="M1358" s="16"/>
    </row>
    <row r="1359" spans="1:13" ht="25.5" x14ac:dyDescent="0.25">
      <c r="A1359" s="21" t="str">
        <f t="shared" si="168"/>
        <v>2</v>
      </c>
      <c r="B1359" s="21" t="str">
        <f t="shared" si="169"/>
        <v>3</v>
      </c>
      <c r="C1359" s="21" t="str">
        <f t="shared" si="170"/>
        <v>0</v>
      </c>
      <c r="D1359" s="21" t="str">
        <f t="shared" si="171"/>
        <v>0</v>
      </c>
      <c r="E1359" s="21" t="str">
        <f t="shared" si="172"/>
        <v>99</v>
      </c>
      <c r="F1359" s="21" t="str">
        <f t="shared" si="173"/>
        <v>00</v>
      </c>
      <c r="G1359" s="21" t="s">
        <v>1340</v>
      </c>
      <c r="H1359" s="21" t="s">
        <v>3772</v>
      </c>
      <c r="I1359" s="22" t="s">
        <v>3879</v>
      </c>
      <c r="J1359" s="21"/>
      <c r="K1359" s="21"/>
      <c r="L1359" s="21"/>
      <c r="M1359" s="21"/>
    </row>
    <row r="1360" spans="1:13" ht="25.5" x14ac:dyDescent="0.25">
      <c r="A1360" s="10" t="str">
        <f t="shared" si="168"/>
        <v>2</v>
      </c>
      <c r="B1360" s="10" t="str">
        <f t="shared" si="169"/>
        <v>4</v>
      </c>
      <c r="C1360" s="10" t="str">
        <f t="shared" si="170"/>
        <v>0</v>
      </c>
      <c r="D1360" s="10" t="str">
        <f t="shared" si="171"/>
        <v>0</v>
      </c>
      <c r="E1360" s="10" t="str">
        <f t="shared" si="172"/>
        <v>00</v>
      </c>
      <c r="F1360" s="10" t="str">
        <f t="shared" si="173"/>
        <v>00</v>
      </c>
      <c r="G1360" s="10" t="s">
        <v>1341</v>
      </c>
      <c r="H1360" s="10" t="s">
        <v>3773</v>
      </c>
      <c r="I1360" s="14" t="s">
        <v>3887</v>
      </c>
      <c r="J1360" s="10"/>
      <c r="K1360" s="10"/>
      <c r="L1360" s="10"/>
      <c r="M1360" s="14"/>
    </row>
    <row r="1361" spans="1:14" x14ac:dyDescent="0.25">
      <c r="A1361" s="12" t="str">
        <f t="shared" si="168"/>
        <v>2</v>
      </c>
      <c r="B1361" s="12" t="str">
        <f t="shared" si="169"/>
        <v>4</v>
      </c>
      <c r="C1361" s="12" t="str">
        <f t="shared" si="170"/>
        <v>2</v>
      </c>
      <c r="D1361" s="12" t="str">
        <f t="shared" si="171"/>
        <v>0</v>
      </c>
      <c r="E1361" s="12" t="str">
        <f t="shared" si="172"/>
        <v>00</v>
      </c>
      <c r="F1361" s="12" t="str">
        <f t="shared" si="173"/>
        <v>00</v>
      </c>
      <c r="G1361" s="12" t="s">
        <v>1342</v>
      </c>
      <c r="H1361" s="12" t="s">
        <v>2445</v>
      </c>
      <c r="I1361" s="15" t="s">
        <v>2517</v>
      </c>
      <c r="J1361" s="12"/>
      <c r="K1361" s="12"/>
      <c r="L1361" s="12"/>
      <c r="M1361" s="15"/>
    </row>
    <row r="1362" spans="1:14" ht="25.5" x14ac:dyDescent="0.25">
      <c r="A1362" s="19" t="str">
        <f t="shared" si="168"/>
        <v>2</v>
      </c>
      <c r="B1362" s="19" t="str">
        <f t="shared" si="169"/>
        <v>4</v>
      </c>
      <c r="C1362" s="19" t="str">
        <f t="shared" si="170"/>
        <v>2</v>
      </c>
      <c r="D1362" s="19" t="str">
        <f t="shared" si="171"/>
        <v>1</v>
      </c>
      <c r="E1362" s="19" t="str">
        <f t="shared" si="172"/>
        <v>00</v>
      </c>
      <c r="F1362" s="19" t="str">
        <f t="shared" si="173"/>
        <v>00</v>
      </c>
      <c r="G1362" s="19" t="s">
        <v>1343</v>
      </c>
      <c r="H1362" s="19" t="s">
        <v>2446</v>
      </c>
      <c r="I1362" s="20" t="s">
        <v>3888</v>
      </c>
      <c r="J1362" s="19"/>
      <c r="K1362" s="19"/>
      <c r="L1362" s="19"/>
      <c r="M1362" s="20"/>
    </row>
    <row r="1363" spans="1:14" ht="25.5" x14ac:dyDescent="0.25">
      <c r="A1363" s="21" t="str">
        <f t="shared" si="168"/>
        <v>2</v>
      </c>
      <c r="B1363" s="21" t="str">
        <f t="shared" si="169"/>
        <v>4</v>
      </c>
      <c r="C1363" s="21" t="str">
        <f t="shared" si="170"/>
        <v>2</v>
      </c>
      <c r="D1363" s="21" t="str">
        <f t="shared" si="171"/>
        <v>1</v>
      </c>
      <c r="E1363" s="21" t="str">
        <f t="shared" si="172"/>
        <v>01</v>
      </c>
      <c r="F1363" s="21" t="str">
        <f t="shared" si="173"/>
        <v>00</v>
      </c>
      <c r="G1363" s="21" t="s">
        <v>1344</v>
      </c>
      <c r="H1363" s="21" t="s">
        <v>2484</v>
      </c>
      <c r="I1363" s="22" t="s">
        <v>3889</v>
      </c>
      <c r="J1363" s="21"/>
      <c r="K1363" s="21"/>
      <c r="L1363" s="21"/>
      <c r="M1363" s="21"/>
    </row>
    <row r="1364" spans="1:14" ht="25.5" x14ac:dyDescent="0.25">
      <c r="A1364" s="21" t="str">
        <f t="shared" si="168"/>
        <v>2</v>
      </c>
      <c r="B1364" s="21" t="str">
        <f t="shared" si="169"/>
        <v>4</v>
      </c>
      <c r="C1364" s="21" t="str">
        <f t="shared" si="170"/>
        <v>2</v>
      </c>
      <c r="D1364" s="21" t="str">
        <f t="shared" si="171"/>
        <v>1</v>
      </c>
      <c r="E1364" s="21" t="str">
        <f t="shared" si="172"/>
        <v>02</v>
      </c>
      <c r="F1364" s="21" t="str">
        <f t="shared" si="173"/>
        <v>00</v>
      </c>
      <c r="G1364" s="21" t="s">
        <v>1345</v>
      </c>
      <c r="H1364" s="21" t="s">
        <v>3774</v>
      </c>
      <c r="I1364" s="22" t="s">
        <v>3890</v>
      </c>
      <c r="J1364" s="21"/>
      <c r="K1364" s="21"/>
      <c r="L1364" s="21"/>
      <c r="M1364" s="21"/>
    </row>
    <row r="1365" spans="1:14" x14ac:dyDescent="0.25">
      <c r="A1365" s="40" t="str">
        <f t="shared" si="168"/>
        <v>2</v>
      </c>
      <c r="B1365" s="40" t="str">
        <f t="shared" si="169"/>
        <v>4</v>
      </c>
      <c r="C1365" s="40" t="str">
        <f t="shared" si="170"/>
        <v>2</v>
      </c>
      <c r="D1365" s="40" t="str">
        <f t="shared" si="171"/>
        <v>1</v>
      </c>
      <c r="E1365" s="40" t="str">
        <f t="shared" si="172"/>
        <v>37</v>
      </c>
      <c r="F1365" s="40" t="str">
        <f t="shared" si="173"/>
        <v>00</v>
      </c>
      <c r="G1365" s="40" t="s">
        <v>1346</v>
      </c>
      <c r="H1365" s="40" t="s">
        <v>2470</v>
      </c>
      <c r="I1365" s="41" t="s">
        <v>3891</v>
      </c>
      <c r="J1365" s="40"/>
      <c r="K1365" s="40"/>
      <c r="L1365" s="40"/>
      <c r="M1365" s="40"/>
      <c r="N1365" t="s">
        <v>4201</v>
      </c>
    </row>
    <row r="1366" spans="1:14" ht="25.5" x14ac:dyDescent="0.25">
      <c r="A1366" s="21" t="str">
        <f>MID(G1366,1,1)</f>
        <v>2</v>
      </c>
      <c r="B1366" s="21" t="str">
        <f>MID(G1366,2,1)</f>
        <v>4</v>
      </c>
      <c r="C1366" s="21" t="str">
        <f>MID(G1366,3,1)</f>
        <v>2</v>
      </c>
      <c r="D1366" s="21" t="str">
        <f>MID(G1366,4,1)</f>
        <v>1</v>
      </c>
      <c r="E1366" s="21" t="str">
        <f>MID(G1366,6,2)</f>
        <v>37</v>
      </c>
      <c r="F1366" s="21" t="str">
        <f>MID(G1366,9,2)</f>
        <v>00</v>
      </c>
      <c r="G1366" s="21" t="s">
        <v>1346</v>
      </c>
      <c r="H1366" s="21" t="s">
        <v>4176</v>
      </c>
      <c r="I1366" s="22" t="s">
        <v>3891</v>
      </c>
      <c r="J1366" s="21"/>
      <c r="K1366" s="21"/>
      <c r="L1366" s="21"/>
      <c r="M1366" s="21"/>
      <c r="N1366" t="s">
        <v>4201</v>
      </c>
    </row>
    <row r="1367" spans="1:14" ht="38.25" x14ac:dyDescent="0.25">
      <c r="A1367" s="21" t="str">
        <f t="shared" si="168"/>
        <v>2</v>
      </c>
      <c r="B1367" s="21" t="str">
        <f t="shared" si="169"/>
        <v>4</v>
      </c>
      <c r="C1367" s="21" t="str">
        <f t="shared" si="170"/>
        <v>2</v>
      </c>
      <c r="D1367" s="21" t="str">
        <f t="shared" si="171"/>
        <v>1</v>
      </c>
      <c r="E1367" s="21" t="str">
        <f t="shared" si="172"/>
        <v>99</v>
      </c>
      <c r="F1367" s="21" t="str">
        <f t="shared" si="173"/>
        <v>00</v>
      </c>
      <c r="G1367" s="21" t="s">
        <v>1347</v>
      </c>
      <c r="H1367" s="21" t="s">
        <v>2471</v>
      </c>
      <c r="I1367" s="22" t="s">
        <v>3892</v>
      </c>
      <c r="J1367" s="21"/>
      <c r="K1367" s="21"/>
      <c r="L1367" s="21"/>
      <c r="M1367" s="21"/>
    </row>
    <row r="1368" spans="1:14" ht="25.5" x14ac:dyDescent="0.25">
      <c r="A1368" s="19" t="str">
        <f t="shared" si="168"/>
        <v>2</v>
      </c>
      <c r="B1368" s="19" t="str">
        <f t="shared" si="169"/>
        <v>4</v>
      </c>
      <c r="C1368" s="19" t="str">
        <f t="shared" si="170"/>
        <v>2</v>
      </c>
      <c r="D1368" s="19" t="str">
        <f t="shared" si="171"/>
        <v>2</v>
      </c>
      <c r="E1368" s="19" t="str">
        <f t="shared" si="172"/>
        <v>00</v>
      </c>
      <c r="F1368" s="19" t="str">
        <f t="shared" si="173"/>
        <v>00</v>
      </c>
      <c r="G1368" s="19" t="s">
        <v>1348</v>
      </c>
      <c r="H1368" s="19" t="s">
        <v>2472</v>
      </c>
      <c r="I1368" s="20" t="s">
        <v>3893</v>
      </c>
      <c r="J1368" s="19"/>
      <c r="K1368" s="19"/>
      <c r="L1368" s="19"/>
      <c r="M1368" s="20"/>
    </row>
    <row r="1369" spans="1:14" ht="25.5" x14ac:dyDescent="0.25">
      <c r="A1369" s="21" t="str">
        <f t="shared" si="168"/>
        <v>2</v>
      </c>
      <c r="B1369" s="21" t="str">
        <f t="shared" si="169"/>
        <v>4</v>
      </c>
      <c r="C1369" s="21" t="str">
        <f t="shared" si="170"/>
        <v>2</v>
      </c>
      <c r="D1369" s="21" t="str">
        <f t="shared" si="171"/>
        <v>2</v>
      </c>
      <c r="E1369" s="21" t="str">
        <f t="shared" si="172"/>
        <v>01</v>
      </c>
      <c r="F1369" s="21" t="str">
        <f t="shared" si="173"/>
        <v>00</v>
      </c>
      <c r="G1369" s="21" t="s">
        <v>1349</v>
      </c>
      <c r="H1369" s="21" t="s">
        <v>2484</v>
      </c>
      <c r="I1369" s="22" t="s">
        <v>3894</v>
      </c>
      <c r="J1369" s="21"/>
      <c r="K1369" s="21"/>
      <c r="L1369" s="21"/>
      <c r="M1369" s="21"/>
    </row>
    <row r="1370" spans="1:14" ht="25.5" x14ac:dyDescent="0.25">
      <c r="A1370" s="21" t="str">
        <f t="shared" si="168"/>
        <v>2</v>
      </c>
      <c r="B1370" s="21" t="str">
        <f t="shared" si="169"/>
        <v>4</v>
      </c>
      <c r="C1370" s="21" t="str">
        <f t="shared" si="170"/>
        <v>2</v>
      </c>
      <c r="D1370" s="21" t="str">
        <f t="shared" si="171"/>
        <v>2</v>
      </c>
      <c r="E1370" s="21" t="str">
        <f t="shared" si="172"/>
        <v>02</v>
      </c>
      <c r="F1370" s="21" t="str">
        <f t="shared" si="173"/>
        <v>00</v>
      </c>
      <c r="G1370" s="21" t="s">
        <v>1350</v>
      </c>
      <c r="H1370" s="21" t="s">
        <v>3774</v>
      </c>
      <c r="I1370" s="22" t="s">
        <v>3895</v>
      </c>
      <c r="J1370" s="21"/>
      <c r="K1370" s="21"/>
      <c r="L1370" s="21"/>
      <c r="M1370" s="21"/>
    </row>
    <row r="1371" spans="1:14" x14ac:dyDescent="0.25">
      <c r="A1371" s="40" t="str">
        <f t="shared" si="168"/>
        <v>2</v>
      </c>
      <c r="B1371" s="40" t="str">
        <f t="shared" si="169"/>
        <v>4</v>
      </c>
      <c r="C1371" s="40" t="str">
        <f t="shared" si="170"/>
        <v>2</v>
      </c>
      <c r="D1371" s="40" t="str">
        <f t="shared" si="171"/>
        <v>2</v>
      </c>
      <c r="E1371" s="40" t="str">
        <f t="shared" si="172"/>
        <v>37</v>
      </c>
      <c r="F1371" s="40" t="str">
        <f t="shared" si="173"/>
        <v>00</v>
      </c>
      <c r="G1371" s="40" t="s">
        <v>1351</v>
      </c>
      <c r="H1371" s="40" t="s">
        <v>2470</v>
      </c>
      <c r="I1371" s="41" t="s">
        <v>3896</v>
      </c>
      <c r="J1371" s="40"/>
      <c r="K1371" s="40"/>
      <c r="L1371" s="40"/>
      <c r="M1371" s="40"/>
      <c r="N1371" t="s">
        <v>4201</v>
      </c>
    </row>
    <row r="1372" spans="1:14" ht="25.5" x14ac:dyDescent="0.25">
      <c r="A1372" s="21" t="str">
        <f>MID(G1372,1,1)</f>
        <v>2</v>
      </c>
      <c r="B1372" s="21" t="str">
        <f>MID(G1372,2,1)</f>
        <v>4</v>
      </c>
      <c r="C1372" s="21" t="str">
        <f>MID(G1372,3,1)</f>
        <v>2</v>
      </c>
      <c r="D1372" s="21" t="str">
        <f>MID(G1372,4,1)</f>
        <v>2</v>
      </c>
      <c r="E1372" s="21" t="str">
        <f>MID(G1372,6,2)</f>
        <v>37</v>
      </c>
      <c r="F1372" s="21" t="str">
        <f>MID(G1372,9,2)</f>
        <v>00</v>
      </c>
      <c r="G1372" s="21" t="s">
        <v>1351</v>
      </c>
      <c r="H1372" s="21" t="s">
        <v>4174</v>
      </c>
      <c r="I1372" s="22" t="s">
        <v>3896</v>
      </c>
      <c r="J1372" s="21"/>
      <c r="K1372" s="21"/>
      <c r="L1372" s="21"/>
      <c r="M1372" s="21"/>
      <c r="N1372" t="s">
        <v>4201</v>
      </c>
    </row>
    <row r="1373" spans="1:14" ht="25.5" x14ac:dyDescent="0.25">
      <c r="A1373" s="21" t="str">
        <f t="shared" si="168"/>
        <v>2</v>
      </c>
      <c r="B1373" s="21" t="str">
        <f t="shared" si="169"/>
        <v>4</v>
      </c>
      <c r="C1373" s="21" t="str">
        <f t="shared" si="170"/>
        <v>2</v>
      </c>
      <c r="D1373" s="21" t="str">
        <f t="shared" si="171"/>
        <v>2</v>
      </c>
      <c r="E1373" s="21" t="str">
        <f t="shared" si="172"/>
        <v>99</v>
      </c>
      <c r="F1373" s="21" t="str">
        <f t="shared" si="173"/>
        <v>00</v>
      </c>
      <c r="G1373" s="21" t="s">
        <v>1352</v>
      </c>
      <c r="H1373" s="21" t="s">
        <v>2482</v>
      </c>
      <c r="I1373" s="22" t="s">
        <v>3897</v>
      </c>
      <c r="J1373" s="21"/>
      <c r="K1373" s="21"/>
      <c r="L1373" s="21"/>
      <c r="M1373" s="21"/>
    </row>
    <row r="1374" spans="1:14" ht="25.5" x14ac:dyDescent="0.25">
      <c r="A1374" s="19" t="str">
        <f t="shared" si="168"/>
        <v>2</v>
      </c>
      <c r="B1374" s="19" t="str">
        <f t="shared" si="169"/>
        <v>4</v>
      </c>
      <c r="C1374" s="19" t="str">
        <f t="shared" si="170"/>
        <v>2</v>
      </c>
      <c r="D1374" s="19" t="str">
        <f t="shared" si="171"/>
        <v>3</v>
      </c>
      <c r="E1374" s="19" t="str">
        <f t="shared" si="172"/>
        <v>00</v>
      </c>
      <c r="F1374" s="19" t="str">
        <f t="shared" si="173"/>
        <v>00</v>
      </c>
      <c r="G1374" s="19" t="s">
        <v>1353</v>
      </c>
      <c r="H1374" s="19" t="s">
        <v>2483</v>
      </c>
      <c r="I1374" s="20" t="s">
        <v>3898</v>
      </c>
      <c r="J1374" s="19"/>
      <c r="K1374" s="19"/>
      <c r="L1374" s="19"/>
      <c r="M1374" s="20"/>
    </row>
    <row r="1375" spans="1:14" ht="25.5" x14ac:dyDescent="0.25">
      <c r="A1375" s="21" t="str">
        <f t="shared" si="168"/>
        <v>2</v>
      </c>
      <c r="B1375" s="21" t="str">
        <f t="shared" si="169"/>
        <v>4</v>
      </c>
      <c r="C1375" s="21" t="str">
        <f t="shared" si="170"/>
        <v>2</v>
      </c>
      <c r="D1375" s="21" t="str">
        <f t="shared" si="171"/>
        <v>3</v>
      </c>
      <c r="E1375" s="21" t="str">
        <f t="shared" si="172"/>
        <v>01</v>
      </c>
      <c r="F1375" s="21" t="str">
        <f t="shared" si="173"/>
        <v>00</v>
      </c>
      <c r="G1375" s="21" t="s">
        <v>1354</v>
      </c>
      <c r="H1375" s="21" t="s">
        <v>3775</v>
      </c>
      <c r="I1375" s="22" t="s">
        <v>3899</v>
      </c>
      <c r="J1375" s="21"/>
      <c r="K1375" s="21"/>
      <c r="L1375" s="21"/>
      <c r="M1375" s="21"/>
    </row>
    <row r="1376" spans="1:14" ht="25.5" x14ac:dyDescent="0.25">
      <c r="A1376" s="21" t="str">
        <f t="shared" si="168"/>
        <v>2</v>
      </c>
      <c r="B1376" s="21" t="str">
        <f t="shared" si="169"/>
        <v>4</v>
      </c>
      <c r="C1376" s="21" t="str">
        <f t="shared" si="170"/>
        <v>2</v>
      </c>
      <c r="D1376" s="21" t="str">
        <f t="shared" si="171"/>
        <v>3</v>
      </c>
      <c r="E1376" s="21" t="str">
        <f t="shared" si="172"/>
        <v>02</v>
      </c>
      <c r="F1376" s="21" t="str">
        <f t="shared" si="173"/>
        <v>00</v>
      </c>
      <c r="G1376" s="21" t="s">
        <v>1355</v>
      </c>
      <c r="H1376" s="21" t="s">
        <v>3774</v>
      </c>
      <c r="I1376" s="22" t="s">
        <v>3900</v>
      </c>
      <c r="J1376" s="21"/>
      <c r="K1376" s="21"/>
      <c r="L1376" s="21"/>
      <c r="M1376" s="21"/>
    </row>
    <row r="1377" spans="1:14" x14ac:dyDescent="0.25">
      <c r="A1377" s="40" t="str">
        <f t="shared" si="168"/>
        <v>2</v>
      </c>
      <c r="B1377" s="40" t="str">
        <f t="shared" si="169"/>
        <v>4</v>
      </c>
      <c r="C1377" s="40" t="str">
        <f t="shared" si="170"/>
        <v>2</v>
      </c>
      <c r="D1377" s="40" t="str">
        <f t="shared" si="171"/>
        <v>3</v>
      </c>
      <c r="E1377" s="40" t="str">
        <f t="shared" si="172"/>
        <v>37</v>
      </c>
      <c r="F1377" s="40" t="str">
        <f t="shared" si="173"/>
        <v>00</v>
      </c>
      <c r="G1377" s="40" t="s">
        <v>1356</v>
      </c>
      <c r="H1377" s="40" t="s">
        <v>2470</v>
      </c>
      <c r="I1377" s="41" t="s">
        <v>3901</v>
      </c>
      <c r="J1377" s="40"/>
      <c r="K1377" s="40"/>
      <c r="L1377" s="40"/>
      <c r="M1377" s="40"/>
      <c r="N1377" t="s">
        <v>4201</v>
      </c>
    </row>
    <row r="1378" spans="1:14" ht="25.5" x14ac:dyDescent="0.25">
      <c r="A1378" s="21" t="str">
        <f>MID(G1378,1,1)</f>
        <v>2</v>
      </c>
      <c r="B1378" s="21" t="str">
        <f>MID(G1378,2,1)</f>
        <v>4</v>
      </c>
      <c r="C1378" s="21" t="str">
        <f>MID(G1378,3,1)</f>
        <v>2</v>
      </c>
      <c r="D1378" s="21" t="str">
        <f>MID(G1378,4,1)</f>
        <v>3</v>
      </c>
      <c r="E1378" s="21" t="str">
        <f>MID(G1378,6,2)</f>
        <v>37</v>
      </c>
      <c r="F1378" s="21" t="str">
        <f>MID(G1378,9,2)</f>
        <v>00</v>
      </c>
      <c r="G1378" s="21" t="s">
        <v>1356</v>
      </c>
      <c r="H1378" s="21" t="s">
        <v>4175</v>
      </c>
      <c r="I1378" s="22" t="s">
        <v>3901</v>
      </c>
      <c r="J1378" s="21"/>
      <c r="K1378" s="21"/>
      <c r="L1378" s="21"/>
      <c r="M1378" s="21"/>
      <c r="N1378" t="s">
        <v>4201</v>
      </c>
    </row>
    <row r="1379" spans="1:14" ht="25.5" x14ac:dyDescent="0.25">
      <c r="A1379" s="21" t="str">
        <f t="shared" si="168"/>
        <v>2</v>
      </c>
      <c r="B1379" s="21" t="str">
        <f t="shared" si="169"/>
        <v>4</v>
      </c>
      <c r="C1379" s="21" t="str">
        <f t="shared" si="170"/>
        <v>2</v>
      </c>
      <c r="D1379" s="21" t="str">
        <f t="shared" si="171"/>
        <v>3</v>
      </c>
      <c r="E1379" s="21" t="str">
        <f t="shared" si="172"/>
        <v>99</v>
      </c>
      <c r="F1379" s="21" t="str">
        <f t="shared" si="173"/>
        <v>00</v>
      </c>
      <c r="G1379" s="21" t="s">
        <v>1357</v>
      </c>
      <c r="H1379" s="21" t="s">
        <v>2485</v>
      </c>
      <c r="I1379" s="22" t="s">
        <v>3902</v>
      </c>
      <c r="J1379" s="21"/>
      <c r="K1379" s="21"/>
      <c r="L1379" s="21"/>
      <c r="M1379" s="21"/>
    </row>
    <row r="1380" spans="1:14" ht="38.25" x14ac:dyDescent="0.25">
      <c r="A1380" s="12" t="str">
        <f t="shared" si="168"/>
        <v>2</v>
      </c>
      <c r="B1380" s="12" t="str">
        <f t="shared" si="169"/>
        <v>4</v>
      </c>
      <c r="C1380" s="12" t="str">
        <f t="shared" si="170"/>
        <v>3</v>
      </c>
      <c r="D1380" s="12" t="str">
        <f t="shared" si="171"/>
        <v>0</v>
      </c>
      <c r="E1380" s="12" t="str">
        <f t="shared" si="172"/>
        <v>00</v>
      </c>
      <c r="F1380" s="12" t="str">
        <f t="shared" si="173"/>
        <v>00</v>
      </c>
      <c r="G1380" s="12" t="s">
        <v>1358</v>
      </c>
      <c r="H1380" s="12" t="s">
        <v>2490</v>
      </c>
      <c r="I1380" s="15" t="s">
        <v>3903</v>
      </c>
      <c r="J1380" s="12"/>
      <c r="K1380" s="12"/>
      <c r="L1380" s="12"/>
      <c r="M1380" s="15"/>
    </row>
    <row r="1381" spans="1:14" x14ac:dyDescent="0.25">
      <c r="A1381" s="12" t="str">
        <f t="shared" si="168"/>
        <v>2</v>
      </c>
      <c r="B1381" s="12" t="str">
        <f t="shared" si="169"/>
        <v>4</v>
      </c>
      <c r="C1381" s="12" t="str">
        <f t="shared" si="170"/>
        <v>4</v>
      </c>
      <c r="D1381" s="12" t="str">
        <f t="shared" si="171"/>
        <v>0</v>
      </c>
      <c r="E1381" s="12" t="str">
        <f t="shared" si="172"/>
        <v>00</v>
      </c>
      <c r="F1381" s="12" t="str">
        <f t="shared" si="173"/>
        <v>00</v>
      </c>
      <c r="G1381" s="12" t="s">
        <v>1359</v>
      </c>
      <c r="H1381" s="12" t="s">
        <v>2491</v>
      </c>
      <c r="I1381" s="15" t="s">
        <v>3904</v>
      </c>
      <c r="J1381" s="12"/>
      <c r="K1381" s="12"/>
      <c r="L1381" s="12"/>
      <c r="M1381" s="15"/>
    </row>
    <row r="1382" spans="1:14" ht="25.5" x14ac:dyDescent="0.25">
      <c r="A1382" s="12" t="str">
        <f t="shared" si="168"/>
        <v>2</v>
      </c>
      <c r="B1382" s="12" t="str">
        <f t="shared" si="169"/>
        <v>4</v>
      </c>
      <c r="C1382" s="12" t="str">
        <f t="shared" si="170"/>
        <v>5</v>
      </c>
      <c r="D1382" s="12" t="str">
        <f t="shared" si="171"/>
        <v>0</v>
      </c>
      <c r="E1382" s="12" t="str">
        <f t="shared" si="172"/>
        <v>00</v>
      </c>
      <c r="F1382" s="12" t="str">
        <f t="shared" si="173"/>
        <v>00</v>
      </c>
      <c r="G1382" s="12" t="s">
        <v>1360</v>
      </c>
      <c r="H1382" s="12" t="s">
        <v>2492</v>
      </c>
      <c r="I1382" s="15" t="s">
        <v>3905</v>
      </c>
      <c r="J1382" s="12"/>
      <c r="K1382" s="12"/>
      <c r="L1382" s="12"/>
      <c r="M1382" s="15"/>
    </row>
    <row r="1383" spans="1:14" ht="25.5" x14ac:dyDescent="0.25">
      <c r="A1383" s="12" t="str">
        <f t="shared" si="168"/>
        <v>2</v>
      </c>
      <c r="B1383" s="12" t="str">
        <f t="shared" si="169"/>
        <v>4</v>
      </c>
      <c r="C1383" s="12" t="str">
        <f t="shared" si="170"/>
        <v>6</v>
      </c>
      <c r="D1383" s="12" t="str">
        <f t="shared" si="171"/>
        <v>0</v>
      </c>
      <c r="E1383" s="12" t="str">
        <f t="shared" si="172"/>
        <v>00</v>
      </c>
      <c r="F1383" s="12" t="str">
        <f t="shared" si="173"/>
        <v>00</v>
      </c>
      <c r="G1383" s="12" t="s">
        <v>1361</v>
      </c>
      <c r="H1383" s="12" t="s">
        <v>3776</v>
      </c>
      <c r="I1383" s="15" t="s">
        <v>3906</v>
      </c>
      <c r="J1383" s="12"/>
      <c r="K1383" s="12"/>
      <c r="L1383" s="12"/>
      <c r="M1383" s="15"/>
    </row>
    <row r="1384" spans="1:14" ht="25.5" x14ac:dyDescent="0.25">
      <c r="A1384" s="12" t="str">
        <f t="shared" si="168"/>
        <v>2</v>
      </c>
      <c r="B1384" s="12" t="str">
        <f t="shared" si="169"/>
        <v>4</v>
      </c>
      <c r="C1384" s="12" t="str">
        <f t="shared" si="170"/>
        <v>7</v>
      </c>
      <c r="D1384" s="12" t="str">
        <f t="shared" si="171"/>
        <v>0</v>
      </c>
      <c r="E1384" s="12" t="str">
        <f t="shared" si="172"/>
        <v>00</v>
      </c>
      <c r="F1384" s="12" t="str">
        <f t="shared" si="173"/>
        <v>00</v>
      </c>
      <c r="G1384" s="12" t="s">
        <v>1362</v>
      </c>
      <c r="H1384" s="12" t="s">
        <v>2493</v>
      </c>
      <c r="I1384" s="15" t="s">
        <v>3907</v>
      </c>
      <c r="J1384" s="12"/>
      <c r="K1384" s="12"/>
      <c r="L1384" s="12"/>
      <c r="M1384" s="15"/>
    </row>
    <row r="1385" spans="1:14" ht="38.25" x14ac:dyDescent="0.25">
      <c r="A1385" s="19" t="str">
        <f t="shared" si="168"/>
        <v>2</v>
      </c>
      <c r="B1385" s="19" t="str">
        <f t="shared" si="169"/>
        <v>4</v>
      </c>
      <c r="C1385" s="19" t="str">
        <f t="shared" si="170"/>
        <v>7</v>
      </c>
      <c r="D1385" s="19" t="str">
        <f t="shared" si="171"/>
        <v>1</v>
      </c>
      <c r="E1385" s="19" t="str">
        <f t="shared" si="172"/>
        <v>00</v>
      </c>
      <c r="F1385" s="19" t="str">
        <f t="shared" si="173"/>
        <v>00</v>
      </c>
      <c r="G1385" s="19" t="s">
        <v>1363</v>
      </c>
      <c r="H1385" s="19" t="s">
        <v>3777</v>
      </c>
      <c r="I1385" s="20" t="s">
        <v>3908</v>
      </c>
      <c r="J1385" s="19"/>
      <c r="K1385" s="19"/>
      <c r="L1385" s="19"/>
      <c r="M1385" s="20"/>
    </row>
    <row r="1386" spans="1:14" ht="25.5" x14ac:dyDescent="0.25">
      <c r="A1386" s="21" t="str">
        <f t="shared" si="168"/>
        <v>2</v>
      </c>
      <c r="B1386" s="21" t="str">
        <f t="shared" si="169"/>
        <v>4</v>
      </c>
      <c r="C1386" s="21" t="str">
        <f t="shared" si="170"/>
        <v>7</v>
      </c>
      <c r="D1386" s="21" t="str">
        <f t="shared" si="171"/>
        <v>1</v>
      </c>
      <c r="E1386" s="21" t="str">
        <f t="shared" si="172"/>
        <v>01</v>
      </c>
      <c r="F1386" s="21" t="str">
        <f t="shared" si="173"/>
        <v>00</v>
      </c>
      <c r="G1386" s="21" t="s">
        <v>1364</v>
      </c>
      <c r="H1386" s="21" t="s">
        <v>3778</v>
      </c>
      <c r="I1386" s="22" t="s">
        <v>3909</v>
      </c>
      <c r="J1386" s="21"/>
      <c r="K1386" s="21"/>
      <c r="L1386" s="21"/>
      <c r="M1386" s="21"/>
    </row>
    <row r="1387" spans="1:14" ht="25.5" x14ac:dyDescent="0.25">
      <c r="A1387" s="21" t="str">
        <f t="shared" si="168"/>
        <v>2</v>
      </c>
      <c r="B1387" s="21" t="str">
        <f t="shared" si="169"/>
        <v>4</v>
      </c>
      <c r="C1387" s="21" t="str">
        <f t="shared" si="170"/>
        <v>7</v>
      </c>
      <c r="D1387" s="21" t="str">
        <f t="shared" si="171"/>
        <v>1</v>
      </c>
      <c r="E1387" s="21" t="str">
        <f t="shared" si="172"/>
        <v>02</v>
      </c>
      <c r="F1387" s="21" t="str">
        <f t="shared" si="173"/>
        <v>00</v>
      </c>
      <c r="G1387" s="21" t="s">
        <v>1365</v>
      </c>
      <c r="H1387" s="21" t="s">
        <v>3779</v>
      </c>
      <c r="I1387" s="22" t="s">
        <v>3910</v>
      </c>
      <c r="J1387" s="21"/>
      <c r="K1387" s="21"/>
      <c r="L1387" s="21"/>
      <c r="M1387" s="21"/>
    </row>
    <row r="1388" spans="1:14" ht="38.25" x14ac:dyDescent="0.25">
      <c r="A1388" s="21" t="str">
        <f t="shared" si="168"/>
        <v>2</v>
      </c>
      <c r="B1388" s="21" t="str">
        <f t="shared" si="169"/>
        <v>4</v>
      </c>
      <c r="C1388" s="21" t="str">
        <f t="shared" si="170"/>
        <v>7</v>
      </c>
      <c r="D1388" s="21" t="str">
        <f t="shared" si="171"/>
        <v>1</v>
      </c>
      <c r="E1388" s="21" t="str">
        <f t="shared" si="172"/>
        <v>03</v>
      </c>
      <c r="F1388" s="21" t="str">
        <f t="shared" si="173"/>
        <v>00</v>
      </c>
      <c r="G1388" s="21" t="s">
        <v>1366</v>
      </c>
      <c r="H1388" s="21" t="s">
        <v>3780</v>
      </c>
      <c r="I1388" s="22" t="s">
        <v>3911</v>
      </c>
      <c r="J1388" s="21"/>
      <c r="K1388" s="21"/>
      <c r="L1388" s="21"/>
      <c r="M1388" s="21"/>
    </row>
    <row r="1389" spans="1:14" ht="38.25" x14ac:dyDescent="0.25">
      <c r="A1389" s="21" t="str">
        <f t="shared" si="168"/>
        <v>2</v>
      </c>
      <c r="B1389" s="21" t="str">
        <f t="shared" si="169"/>
        <v>4</v>
      </c>
      <c r="C1389" s="21" t="str">
        <f t="shared" si="170"/>
        <v>7</v>
      </c>
      <c r="D1389" s="21" t="str">
        <f t="shared" si="171"/>
        <v>1</v>
      </c>
      <c r="E1389" s="21" t="str">
        <f t="shared" si="172"/>
        <v>04</v>
      </c>
      <c r="F1389" s="21" t="str">
        <f t="shared" si="173"/>
        <v>00</v>
      </c>
      <c r="G1389" s="21" t="s">
        <v>1367</v>
      </c>
      <c r="H1389" s="21" t="s">
        <v>3781</v>
      </c>
      <c r="I1389" s="22" t="s">
        <v>3912</v>
      </c>
      <c r="J1389" s="21"/>
      <c r="K1389" s="21"/>
      <c r="L1389" s="21"/>
      <c r="M1389" s="21"/>
    </row>
    <row r="1390" spans="1:14" ht="38.25" x14ac:dyDescent="0.25">
      <c r="A1390" s="21" t="str">
        <f t="shared" si="168"/>
        <v>2</v>
      </c>
      <c r="B1390" s="21" t="str">
        <f t="shared" si="169"/>
        <v>4</v>
      </c>
      <c r="C1390" s="21" t="str">
        <f t="shared" si="170"/>
        <v>7</v>
      </c>
      <c r="D1390" s="21" t="str">
        <f t="shared" si="171"/>
        <v>1</v>
      </c>
      <c r="E1390" s="21" t="str">
        <f t="shared" si="172"/>
        <v>05</v>
      </c>
      <c r="F1390" s="21" t="str">
        <f t="shared" si="173"/>
        <v>00</v>
      </c>
      <c r="G1390" s="21" t="s">
        <v>1368</v>
      </c>
      <c r="H1390" s="21" t="s">
        <v>3782</v>
      </c>
      <c r="I1390" s="22" t="s">
        <v>3913</v>
      </c>
      <c r="J1390" s="21"/>
      <c r="K1390" s="21"/>
      <c r="L1390" s="21"/>
      <c r="M1390" s="21"/>
    </row>
    <row r="1391" spans="1:14" ht="25.5" x14ac:dyDescent="0.25">
      <c r="A1391" s="21" t="str">
        <f t="shared" si="168"/>
        <v>2</v>
      </c>
      <c r="B1391" s="21" t="str">
        <f t="shared" si="169"/>
        <v>4</v>
      </c>
      <c r="C1391" s="21" t="str">
        <f t="shared" si="170"/>
        <v>7</v>
      </c>
      <c r="D1391" s="21" t="str">
        <f t="shared" si="171"/>
        <v>1</v>
      </c>
      <c r="E1391" s="21" t="str">
        <f t="shared" si="172"/>
        <v>99</v>
      </c>
      <c r="F1391" s="21" t="str">
        <f t="shared" si="173"/>
        <v>00</v>
      </c>
      <c r="G1391" s="21" t="s">
        <v>1369</v>
      </c>
      <c r="H1391" s="21" t="s">
        <v>2500</v>
      </c>
      <c r="I1391" s="22" t="s">
        <v>3914</v>
      </c>
      <c r="J1391" s="21"/>
      <c r="K1391" s="21"/>
      <c r="L1391" s="21"/>
      <c r="M1391" s="21"/>
    </row>
    <row r="1392" spans="1:14" ht="25.5" x14ac:dyDescent="0.25">
      <c r="A1392" s="19" t="str">
        <f t="shared" si="168"/>
        <v>2</v>
      </c>
      <c r="B1392" s="19" t="str">
        <f t="shared" si="169"/>
        <v>4</v>
      </c>
      <c r="C1392" s="19" t="str">
        <f t="shared" si="170"/>
        <v>7</v>
      </c>
      <c r="D1392" s="19" t="str">
        <f t="shared" si="171"/>
        <v>2</v>
      </c>
      <c r="E1392" s="19" t="str">
        <f t="shared" si="172"/>
        <v>00</v>
      </c>
      <c r="F1392" s="19" t="str">
        <f t="shared" si="173"/>
        <v>00</v>
      </c>
      <c r="G1392" s="19" t="s">
        <v>1370</v>
      </c>
      <c r="H1392" s="19" t="s">
        <v>3783</v>
      </c>
      <c r="I1392" s="20" t="s">
        <v>3915</v>
      </c>
      <c r="J1392" s="19"/>
      <c r="K1392" s="19"/>
      <c r="L1392" s="19"/>
      <c r="M1392" s="20"/>
    </row>
    <row r="1393" spans="1:13" ht="25.5" x14ac:dyDescent="0.25">
      <c r="A1393" s="21" t="str">
        <f t="shared" si="168"/>
        <v>2</v>
      </c>
      <c r="B1393" s="21" t="str">
        <f t="shared" si="169"/>
        <v>4</v>
      </c>
      <c r="C1393" s="21" t="str">
        <f t="shared" si="170"/>
        <v>7</v>
      </c>
      <c r="D1393" s="21" t="str">
        <f t="shared" si="171"/>
        <v>2</v>
      </c>
      <c r="E1393" s="21" t="str">
        <f t="shared" si="172"/>
        <v>01</v>
      </c>
      <c r="F1393" s="21" t="str">
        <f t="shared" si="173"/>
        <v>00</v>
      </c>
      <c r="G1393" s="21" t="s">
        <v>1371</v>
      </c>
      <c r="H1393" s="21" t="s">
        <v>3784</v>
      </c>
      <c r="I1393" s="22" t="s">
        <v>3916</v>
      </c>
      <c r="J1393" s="21"/>
      <c r="K1393" s="21"/>
      <c r="L1393" s="21"/>
      <c r="M1393" s="21"/>
    </row>
    <row r="1394" spans="1:13" ht="25.5" x14ac:dyDescent="0.25">
      <c r="A1394" s="21" t="str">
        <f t="shared" si="168"/>
        <v>2</v>
      </c>
      <c r="B1394" s="21" t="str">
        <f t="shared" si="169"/>
        <v>4</v>
      </c>
      <c r="C1394" s="21" t="str">
        <f t="shared" si="170"/>
        <v>7</v>
      </c>
      <c r="D1394" s="21" t="str">
        <f t="shared" si="171"/>
        <v>2</v>
      </c>
      <c r="E1394" s="21" t="str">
        <f t="shared" si="172"/>
        <v>02</v>
      </c>
      <c r="F1394" s="21" t="str">
        <f t="shared" si="173"/>
        <v>00</v>
      </c>
      <c r="G1394" s="21" t="s">
        <v>1372</v>
      </c>
      <c r="H1394" s="21" t="s">
        <v>3785</v>
      </c>
      <c r="I1394" s="22" t="s">
        <v>3917</v>
      </c>
      <c r="J1394" s="21"/>
      <c r="K1394" s="21"/>
      <c r="L1394" s="21"/>
      <c r="M1394" s="21"/>
    </row>
    <row r="1395" spans="1:13" ht="38.25" x14ac:dyDescent="0.25">
      <c r="A1395" s="21" t="str">
        <f t="shared" si="168"/>
        <v>2</v>
      </c>
      <c r="B1395" s="21" t="str">
        <f t="shared" si="169"/>
        <v>4</v>
      </c>
      <c r="C1395" s="21" t="str">
        <f t="shared" si="170"/>
        <v>7</v>
      </c>
      <c r="D1395" s="21" t="str">
        <f t="shared" si="171"/>
        <v>2</v>
      </c>
      <c r="E1395" s="21" t="str">
        <f t="shared" si="172"/>
        <v>03</v>
      </c>
      <c r="F1395" s="21" t="str">
        <f t="shared" si="173"/>
        <v>00</v>
      </c>
      <c r="G1395" s="21" t="s">
        <v>1373</v>
      </c>
      <c r="H1395" s="21" t="s">
        <v>3786</v>
      </c>
      <c r="I1395" s="22" t="s">
        <v>3918</v>
      </c>
      <c r="J1395" s="21"/>
      <c r="K1395" s="21"/>
      <c r="L1395" s="21"/>
      <c r="M1395" s="21"/>
    </row>
    <row r="1396" spans="1:13" ht="38.25" x14ac:dyDescent="0.25">
      <c r="A1396" s="21" t="str">
        <f t="shared" si="168"/>
        <v>2</v>
      </c>
      <c r="B1396" s="21" t="str">
        <f t="shared" si="169"/>
        <v>4</v>
      </c>
      <c r="C1396" s="21" t="str">
        <f t="shared" si="170"/>
        <v>7</v>
      </c>
      <c r="D1396" s="21" t="str">
        <f t="shared" si="171"/>
        <v>2</v>
      </c>
      <c r="E1396" s="21" t="str">
        <f t="shared" si="172"/>
        <v>04</v>
      </c>
      <c r="F1396" s="21" t="str">
        <f t="shared" si="173"/>
        <v>00</v>
      </c>
      <c r="G1396" s="21" t="s">
        <v>1374</v>
      </c>
      <c r="H1396" s="21" t="s">
        <v>3787</v>
      </c>
      <c r="I1396" s="22" t="s">
        <v>3919</v>
      </c>
      <c r="J1396" s="21"/>
      <c r="K1396" s="21"/>
      <c r="L1396" s="21"/>
      <c r="M1396" s="21"/>
    </row>
    <row r="1397" spans="1:13" ht="51" x14ac:dyDescent="0.25">
      <c r="A1397" s="21" t="str">
        <f t="shared" si="168"/>
        <v>2</v>
      </c>
      <c r="B1397" s="21" t="str">
        <f t="shared" si="169"/>
        <v>4</v>
      </c>
      <c r="C1397" s="21" t="str">
        <f t="shared" si="170"/>
        <v>7</v>
      </c>
      <c r="D1397" s="21" t="str">
        <f t="shared" si="171"/>
        <v>2</v>
      </c>
      <c r="E1397" s="21" t="str">
        <f t="shared" si="172"/>
        <v>05</v>
      </c>
      <c r="F1397" s="21" t="str">
        <f t="shared" si="173"/>
        <v>00</v>
      </c>
      <c r="G1397" s="21" t="s">
        <v>1375</v>
      </c>
      <c r="H1397" s="21" t="s">
        <v>3788</v>
      </c>
      <c r="I1397" s="22" t="s">
        <v>3920</v>
      </c>
      <c r="J1397" s="21"/>
      <c r="K1397" s="21"/>
      <c r="L1397" s="21"/>
      <c r="M1397" s="21"/>
    </row>
    <row r="1398" spans="1:13" ht="25.5" x14ac:dyDescent="0.25">
      <c r="A1398" s="21" t="str">
        <f t="shared" si="168"/>
        <v>2</v>
      </c>
      <c r="B1398" s="21" t="str">
        <f t="shared" si="169"/>
        <v>4</v>
      </c>
      <c r="C1398" s="21" t="str">
        <f t="shared" si="170"/>
        <v>7</v>
      </c>
      <c r="D1398" s="21" t="str">
        <f t="shared" si="171"/>
        <v>2</v>
      </c>
      <c r="E1398" s="21" t="str">
        <f t="shared" si="172"/>
        <v>99</v>
      </c>
      <c r="F1398" s="21" t="str">
        <f t="shared" si="173"/>
        <v>00</v>
      </c>
      <c r="G1398" s="21" t="s">
        <v>1376</v>
      </c>
      <c r="H1398" s="21" t="s">
        <v>2504</v>
      </c>
      <c r="I1398" s="22" t="s">
        <v>3921</v>
      </c>
      <c r="J1398" s="21"/>
      <c r="K1398" s="21"/>
      <c r="L1398" s="21"/>
      <c r="M1398" s="21"/>
    </row>
    <row r="1399" spans="1:13" ht="25.5" x14ac:dyDescent="0.25">
      <c r="A1399" s="19" t="str">
        <f t="shared" si="168"/>
        <v>2</v>
      </c>
      <c r="B1399" s="19" t="str">
        <f t="shared" si="169"/>
        <v>4</v>
      </c>
      <c r="C1399" s="19" t="str">
        <f t="shared" si="170"/>
        <v>7</v>
      </c>
      <c r="D1399" s="19" t="str">
        <f t="shared" si="171"/>
        <v>3</v>
      </c>
      <c r="E1399" s="19" t="str">
        <f t="shared" si="172"/>
        <v>00</v>
      </c>
      <c r="F1399" s="19" t="str">
        <f t="shared" si="173"/>
        <v>00</v>
      </c>
      <c r="G1399" s="19" t="s">
        <v>1377</v>
      </c>
      <c r="H1399" s="19" t="s">
        <v>3789</v>
      </c>
      <c r="I1399" s="20" t="s">
        <v>3922</v>
      </c>
      <c r="J1399" s="19"/>
      <c r="K1399" s="19"/>
      <c r="L1399" s="19"/>
      <c r="M1399" s="20"/>
    </row>
    <row r="1400" spans="1:13" ht="38.25" x14ac:dyDescent="0.25">
      <c r="A1400" s="21" t="str">
        <f t="shared" si="168"/>
        <v>2</v>
      </c>
      <c r="B1400" s="21" t="str">
        <f t="shared" si="169"/>
        <v>4</v>
      </c>
      <c r="C1400" s="21" t="str">
        <f t="shared" si="170"/>
        <v>7</v>
      </c>
      <c r="D1400" s="21" t="str">
        <f t="shared" si="171"/>
        <v>3</v>
      </c>
      <c r="E1400" s="21" t="str">
        <f t="shared" si="172"/>
        <v>01</v>
      </c>
      <c r="F1400" s="21" t="str">
        <f t="shared" si="173"/>
        <v>00</v>
      </c>
      <c r="G1400" s="21" t="s">
        <v>1378</v>
      </c>
      <c r="H1400" s="21" t="s">
        <v>3790</v>
      </c>
      <c r="I1400" s="22" t="s">
        <v>3923</v>
      </c>
      <c r="J1400" s="21"/>
      <c r="K1400" s="21"/>
      <c r="L1400" s="21"/>
      <c r="M1400" s="21"/>
    </row>
    <row r="1401" spans="1:13" ht="38.25" x14ac:dyDescent="0.25">
      <c r="A1401" s="21" t="str">
        <f t="shared" si="168"/>
        <v>2</v>
      </c>
      <c r="B1401" s="21" t="str">
        <f t="shared" si="169"/>
        <v>4</v>
      </c>
      <c r="C1401" s="21" t="str">
        <f t="shared" si="170"/>
        <v>7</v>
      </c>
      <c r="D1401" s="21" t="str">
        <f t="shared" si="171"/>
        <v>3</v>
      </c>
      <c r="E1401" s="21" t="str">
        <f t="shared" si="172"/>
        <v>02</v>
      </c>
      <c r="F1401" s="21" t="str">
        <f t="shared" si="173"/>
        <v>00</v>
      </c>
      <c r="G1401" s="21" t="s">
        <v>1379</v>
      </c>
      <c r="H1401" s="21" t="s">
        <v>3791</v>
      </c>
      <c r="I1401" s="22" t="s">
        <v>3924</v>
      </c>
      <c r="J1401" s="21"/>
      <c r="K1401" s="21"/>
      <c r="L1401" s="21"/>
      <c r="M1401" s="21"/>
    </row>
    <row r="1402" spans="1:13" ht="25.5" x14ac:dyDescent="0.25">
      <c r="A1402" s="21" t="str">
        <f t="shared" si="168"/>
        <v>2</v>
      </c>
      <c r="B1402" s="21" t="str">
        <f t="shared" si="169"/>
        <v>4</v>
      </c>
      <c r="C1402" s="21" t="str">
        <f t="shared" si="170"/>
        <v>7</v>
      </c>
      <c r="D1402" s="21" t="str">
        <f t="shared" si="171"/>
        <v>3</v>
      </c>
      <c r="E1402" s="21" t="str">
        <f t="shared" si="172"/>
        <v>99</v>
      </c>
      <c r="F1402" s="21" t="str">
        <f t="shared" si="173"/>
        <v>00</v>
      </c>
      <c r="G1402" s="21" t="s">
        <v>1380</v>
      </c>
      <c r="H1402" s="21" t="s">
        <v>2508</v>
      </c>
      <c r="I1402" s="22" t="s">
        <v>3925</v>
      </c>
      <c r="J1402" s="21"/>
      <c r="K1402" s="21"/>
      <c r="L1402" s="21"/>
      <c r="M1402" s="21"/>
    </row>
    <row r="1403" spans="1:13" ht="25.5" x14ac:dyDescent="0.25">
      <c r="A1403" s="19" t="str">
        <f t="shared" si="168"/>
        <v>2</v>
      </c>
      <c r="B1403" s="19" t="str">
        <f t="shared" si="169"/>
        <v>4</v>
      </c>
      <c r="C1403" s="19" t="str">
        <f t="shared" si="170"/>
        <v>7</v>
      </c>
      <c r="D1403" s="19" t="str">
        <f t="shared" si="171"/>
        <v>4</v>
      </c>
      <c r="E1403" s="19" t="str">
        <f t="shared" si="172"/>
        <v>00</v>
      </c>
      <c r="F1403" s="19" t="str">
        <f t="shared" si="173"/>
        <v>00</v>
      </c>
      <c r="G1403" s="19" t="s">
        <v>1381</v>
      </c>
      <c r="H1403" s="19" t="s">
        <v>3792</v>
      </c>
      <c r="I1403" s="20" t="s">
        <v>3926</v>
      </c>
      <c r="J1403" s="19"/>
      <c r="K1403" s="19"/>
      <c r="L1403" s="19"/>
      <c r="M1403" s="20"/>
    </row>
    <row r="1404" spans="1:13" ht="25.5" x14ac:dyDescent="0.25">
      <c r="A1404" s="19" t="str">
        <f t="shared" si="168"/>
        <v>2</v>
      </c>
      <c r="B1404" s="19" t="str">
        <f t="shared" si="169"/>
        <v>4</v>
      </c>
      <c r="C1404" s="19" t="str">
        <f t="shared" si="170"/>
        <v>7</v>
      </c>
      <c r="D1404" s="19" t="str">
        <f t="shared" si="171"/>
        <v>5</v>
      </c>
      <c r="E1404" s="19" t="str">
        <f t="shared" si="172"/>
        <v>00</v>
      </c>
      <c r="F1404" s="19" t="str">
        <f t="shared" si="173"/>
        <v>00</v>
      </c>
      <c r="G1404" s="19" t="s">
        <v>1382</v>
      </c>
      <c r="H1404" s="19" t="s">
        <v>3793</v>
      </c>
      <c r="I1404" s="20" t="s">
        <v>2586</v>
      </c>
      <c r="J1404" s="19"/>
      <c r="K1404" s="19"/>
      <c r="L1404" s="19"/>
      <c r="M1404" s="20"/>
    </row>
    <row r="1405" spans="1:13" x14ac:dyDescent="0.25">
      <c r="A1405" s="12" t="str">
        <f t="shared" si="168"/>
        <v>2</v>
      </c>
      <c r="B1405" s="12" t="str">
        <f t="shared" si="169"/>
        <v>4</v>
      </c>
      <c r="C1405" s="12" t="str">
        <f t="shared" si="170"/>
        <v>8</v>
      </c>
      <c r="D1405" s="12" t="str">
        <f t="shared" si="171"/>
        <v>0</v>
      </c>
      <c r="E1405" s="12" t="str">
        <f t="shared" si="172"/>
        <v>00</v>
      </c>
      <c r="F1405" s="12" t="str">
        <f t="shared" si="173"/>
        <v>00</v>
      </c>
      <c r="G1405" s="12" t="s">
        <v>1383</v>
      </c>
      <c r="H1405" s="12" t="s">
        <v>2511</v>
      </c>
      <c r="I1405" s="15" t="s">
        <v>3927</v>
      </c>
      <c r="J1405" s="12"/>
      <c r="K1405" s="12"/>
      <c r="L1405" s="12"/>
      <c r="M1405" s="15"/>
    </row>
    <row r="1406" spans="1:13" x14ac:dyDescent="0.25">
      <c r="A1406" s="19" t="str">
        <f t="shared" si="168"/>
        <v>2</v>
      </c>
      <c r="B1406" s="19" t="str">
        <f t="shared" si="169"/>
        <v>4</v>
      </c>
      <c r="C1406" s="19" t="str">
        <f t="shared" si="170"/>
        <v>8</v>
      </c>
      <c r="D1406" s="19" t="str">
        <f t="shared" si="171"/>
        <v>1</v>
      </c>
      <c r="E1406" s="19" t="str">
        <f t="shared" si="172"/>
        <v>00</v>
      </c>
      <c r="F1406" s="19" t="str">
        <f t="shared" si="173"/>
        <v>00</v>
      </c>
      <c r="G1406" s="19" t="s">
        <v>1384</v>
      </c>
      <c r="H1406" s="19" t="s">
        <v>2512</v>
      </c>
      <c r="I1406" s="20" t="s">
        <v>3928</v>
      </c>
      <c r="J1406" s="19"/>
      <c r="K1406" s="19"/>
      <c r="L1406" s="19"/>
      <c r="M1406" s="20"/>
    </row>
    <row r="1407" spans="1:13" x14ac:dyDescent="0.25">
      <c r="A1407" s="19" t="str">
        <f t="shared" si="168"/>
        <v>2</v>
      </c>
      <c r="B1407" s="19" t="str">
        <f t="shared" si="169"/>
        <v>4</v>
      </c>
      <c r="C1407" s="19" t="str">
        <f t="shared" si="170"/>
        <v>8</v>
      </c>
      <c r="D1407" s="19" t="str">
        <f t="shared" si="171"/>
        <v>2</v>
      </c>
      <c r="E1407" s="19" t="str">
        <f t="shared" si="172"/>
        <v>00</v>
      </c>
      <c r="F1407" s="19" t="str">
        <f t="shared" si="173"/>
        <v>00</v>
      </c>
      <c r="G1407" s="19" t="s">
        <v>1385</v>
      </c>
      <c r="H1407" s="19" t="s">
        <v>2513</v>
      </c>
      <c r="I1407" s="20" t="s">
        <v>3929</v>
      </c>
      <c r="J1407" s="19"/>
      <c r="K1407" s="19"/>
      <c r="L1407" s="19"/>
      <c r="M1407" s="20"/>
    </row>
    <row r="1408" spans="1:13" x14ac:dyDescent="0.25">
      <c r="A1408" s="19" t="str">
        <f t="shared" si="168"/>
        <v>2</v>
      </c>
      <c r="B1408" s="19" t="str">
        <f t="shared" si="169"/>
        <v>4</v>
      </c>
      <c r="C1408" s="19" t="str">
        <f t="shared" si="170"/>
        <v>8</v>
      </c>
      <c r="D1408" s="19" t="str">
        <f t="shared" si="171"/>
        <v>3</v>
      </c>
      <c r="E1408" s="19" t="str">
        <f t="shared" si="172"/>
        <v>00</v>
      </c>
      <c r="F1408" s="19" t="str">
        <f t="shared" si="173"/>
        <v>00</v>
      </c>
      <c r="G1408" s="19" t="s">
        <v>1386</v>
      </c>
      <c r="H1408" s="19" t="s">
        <v>2514</v>
      </c>
      <c r="I1408" s="20" t="s">
        <v>3930</v>
      </c>
      <c r="J1408" s="19"/>
      <c r="K1408" s="19"/>
      <c r="L1408" s="19"/>
      <c r="M1408" s="20"/>
    </row>
    <row r="1409" spans="1:13" ht="25.5" x14ac:dyDescent="0.25">
      <c r="A1409" s="19" t="str">
        <f t="shared" si="168"/>
        <v>2</v>
      </c>
      <c r="B1409" s="19" t="str">
        <f t="shared" si="169"/>
        <v>4</v>
      </c>
      <c r="C1409" s="19" t="str">
        <f t="shared" si="170"/>
        <v>8</v>
      </c>
      <c r="D1409" s="19" t="str">
        <f t="shared" si="171"/>
        <v>4</v>
      </c>
      <c r="E1409" s="19" t="str">
        <f t="shared" si="172"/>
        <v>00</v>
      </c>
      <c r="F1409" s="19" t="str">
        <f t="shared" si="173"/>
        <v>00</v>
      </c>
      <c r="G1409" s="19" t="s">
        <v>1387</v>
      </c>
      <c r="H1409" s="19" t="s">
        <v>2515</v>
      </c>
      <c r="I1409" s="20" t="s">
        <v>3931</v>
      </c>
      <c r="J1409" s="19"/>
      <c r="K1409" s="19"/>
      <c r="L1409" s="19"/>
      <c r="M1409" s="20"/>
    </row>
    <row r="1410" spans="1:13" x14ac:dyDescent="0.25">
      <c r="A1410" s="10" t="str">
        <f t="shared" si="168"/>
        <v>2</v>
      </c>
      <c r="B1410" s="10" t="str">
        <f t="shared" si="169"/>
        <v>5</v>
      </c>
      <c r="C1410" s="10" t="str">
        <f t="shared" si="170"/>
        <v>0</v>
      </c>
      <c r="D1410" s="10" t="str">
        <f t="shared" si="171"/>
        <v>0</v>
      </c>
      <c r="E1410" s="10" t="str">
        <f t="shared" si="172"/>
        <v>00</v>
      </c>
      <c r="F1410" s="10" t="str">
        <f t="shared" si="173"/>
        <v>00</v>
      </c>
      <c r="G1410" s="10" t="s">
        <v>1388</v>
      </c>
      <c r="H1410" s="10" t="s">
        <v>3794</v>
      </c>
      <c r="I1410" s="14" t="s">
        <v>3932</v>
      </c>
      <c r="J1410" s="10"/>
      <c r="K1410" s="10"/>
      <c r="L1410" s="10"/>
      <c r="M1410" s="14"/>
    </row>
    <row r="1411" spans="1:13" x14ac:dyDescent="0.25">
      <c r="A1411" s="12" t="str">
        <f t="shared" si="168"/>
        <v>2</v>
      </c>
      <c r="B1411" s="12" t="str">
        <f t="shared" si="169"/>
        <v>5</v>
      </c>
      <c r="C1411" s="12" t="str">
        <f t="shared" si="170"/>
        <v>2</v>
      </c>
      <c r="D1411" s="12" t="str">
        <f t="shared" si="171"/>
        <v>0</v>
      </c>
      <c r="E1411" s="12" t="str">
        <f t="shared" si="172"/>
        <v>00</v>
      </c>
      <c r="F1411" s="12" t="str">
        <f t="shared" si="173"/>
        <v>00</v>
      </c>
      <c r="G1411" s="12" t="s">
        <v>1389</v>
      </c>
      <c r="H1411" s="12" t="s">
        <v>3795</v>
      </c>
      <c r="I1411" s="15" t="s">
        <v>3933</v>
      </c>
      <c r="J1411" s="12"/>
      <c r="K1411" s="12"/>
      <c r="L1411" s="12"/>
      <c r="M1411" s="15"/>
    </row>
    <row r="1412" spans="1:13" ht="25.5" x14ac:dyDescent="0.25">
      <c r="A1412" s="19" t="str">
        <f t="shared" si="168"/>
        <v>2</v>
      </c>
      <c r="B1412" s="19" t="str">
        <f t="shared" si="169"/>
        <v>5</v>
      </c>
      <c r="C1412" s="19" t="str">
        <f t="shared" si="170"/>
        <v>2</v>
      </c>
      <c r="D1412" s="19" t="str">
        <f t="shared" si="171"/>
        <v>1</v>
      </c>
      <c r="E1412" s="19" t="str">
        <f t="shared" si="172"/>
        <v>00</v>
      </c>
      <c r="F1412" s="19" t="str">
        <f t="shared" si="173"/>
        <v>00</v>
      </c>
      <c r="G1412" s="19" t="s">
        <v>1390</v>
      </c>
      <c r="H1412" s="19" t="s">
        <v>3796</v>
      </c>
      <c r="I1412" s="20" t="s">
        <v>3934</v>
      </c>
      <c r="J1412" s="19"/>
      <c r="K1412" s="19"/>
      <c r="L1412" s="19"/>
      <c r="M1412" s="20"/>
    </row>
    <row r="1413" spans="1:13" ht="25.5" x14ac:dyDescent="0.25">
      <c r="A1413" s="19" t="str">
        <f t="shared" si="168"/>
        <v>2</v>
      </c>
      <c r="B1413" s="19" t="str">
        <f t="shared" si="169"/>
        <v>5</v>
      </c>
      <c r="C1413" s="19" t="str">
        <f t="shared" si="170"/>
        <v>2</v>
      </c>
      <c r="D1413" s="19" t="str">
        <f t="shared" si="171"/>
        <v>2</v>
      </c>
      <c r="E1413" s="19" t="str">
        <f t="shared" si="172"/>
        <v>00</v>
      </c>
      <c r="F1413" s="19" t="str">
        <f t="shared" si="173"/>
        <v>00</v>
      </c>
      <c r="G1413" s="19" t="s">
        <v>1391</v>
      </c>
      <c r="H1413" s="19" t="s">
        <v>3797</v>
      </c>
      <c r="I1413" s="20" t="s">
        <v>3935</v>
      </c>
      <c r="J1413" s="19"/>
      <c r="K1413" s="19"/>
      <c r="L1413" s="19"/>
      <c r="M1413" s="20"/>
    </row>
    <row r="1414" spans="1:13" ht="25.5" x14ac:dyDescent="0.25">
      <c r="A1414" s="12" t="str">
        <f t="shared" si="168"/>
        <v>2</v>
      </c>
      <c r="B1414" s="12" t="str">
        <f t="shared" si="169"/>
        <v>5</v>
      </c>
      <c r="C1414" s="12" t="str">
        <f t="shared" si="170"/>
        <v>3</v>
      </c>
      <c r="D1414" s="12" t="str">
        <f t="shared" si="171"/>
        <v>0</v>
      </c>
      <c r="E1414" s="12" t="str">
        <f t="shared" si="172"/>
        <v>00</v>
      </c>
      <c r="F1414" s="12" t="str">
        <f t="shared" si="173"/>
        <v>00</v>
      </c>
      <c r="G1414" s="12" t="s">
        <v>1392</v>
      </c>
      <c r="H1414" s="12" t="s">
        <v>3798</v>
      </c>
      <c r="I1414" s="15" t="s">
        <v>3936</v>
      </c>
      <c r="J1414" s="12"/>
      <c r="K1414" s="12"/>
      <c r="L1414" s="12"/>
      <c r="M1414" s="15"/>
    </row>
    <row r="1415" spans="1:13" ht="25.5" x14ac:dyDescent="0.25">
      <c r="A1415" s="21" t="str">
        <f t="shared" si="168"/>
        <v>2</v>
      </c>
      <c r="B1415" s="21" t="str">
        <f t="shared" si="169"/>
        <v>5</v>
      </c>
      <c r="C1415" s="21" t="str">
        <f t="shared" si="170"/>
        <v>3</v>
      </c>
      <c r="D1415" s="21" t="str">
        <f t="shared" si="171"/>
        <v>0</v>
      </c>
      <c r="E1415" s="21" t="str">
        <f t="shared" si="172"/>
        <v>10</v>
      </c>
      <c r="F1415" s="21" t="str">
        <f t="shared" si="173"/>
        <v>00</v>
      </c>
      <c r="G1415" s="21" t="s">
        <v>1393</v>
      </c>
      <c r="H1415" s="21" t="s">
        <v>3799</v>
      </c>
      <c r="I1415" s="22" t="s">
        <v>3937</v>
      </c>
      <c r="J1415" s="21"/>
      <c r="K1415" s="21"/>
      <c r="L1415" s="21"/>
      <c r="M1415" s="21"/>
    </row>
    <row r="1416" spans="1:13" ht="25.5" x14ac:dyDescent="0.25">
      <c r="A1416" s="21" t="str">
        <f t="shared" si="168"/>
        <v>2</v>
      </c>
      <c r="B1416" s="21" t="str">
        <f t="shared" si="169"/>
        <v>5</v>
      </c>
      <c r="C1416" s="21" t="str">
        <f t="shared" si="170"/>
        <v>3</v>
      </c>
      <c r="D1416" s="21" t="str">
        <f t="shared" si="171"/>
        <v>0</v>
      </c>
      <c r="E1416" s="21" t="str">
        <f t="shared" si="172"/>
        <v>20</v>
      </c>
      <c r="F1416" s="21" t="str">
        <f t="shared" si="173"/>
        <v>00</v>
      </c>
      <c r="G1416" s="21" t="s">
        <v>1394</v>
      </c>
      <c r="H1416" s="21" t="s">
        <v>3800</v>
      </c>
      <c r="I1416" s="22" t="s">
        <v>3938</v>
      </c>
      <c r="J1416" s="21"/>
      <c r="K1416" s="21"/>
      <c r="L1416" s="21"/>
      <c r="M1416" s="21"/>
    </row>
    <row r="1417" spans="1:13" ht="25.5" x14ac:dyDescent="0.25">
      <c r="A1417" s="12" t="str">
        <f t="shared" si="168"/>
        <v>2</v>
      </c>
      <c r="B1417" s="12" t="str">
        <f t="shared" si="169"/>
        <v>5</v>
      </c>
      <c r="C1417" s="12" t="str">
        <f t="shared" si="170"/>
        <v>4</v>
      </c>
      <c r="D1417" s="12" t="str">
        <f t="shared" si="171"/>
        <v>0</v>
      </c>
      <c r="E1417" s="12" t="str">
        <f t="shared" si="172"/>
        <v>00</v>
      </c>
      <c r="F1417" s="12" t="str">
        <f t="shared" si="173"/>
        <v>00</v>
      </c>
      <c r="G1417" s="12" t="s">
        <v>1395</v>
      </c>
      <c r="H1417" s="12" t="s">
        <v>3801</v>
      </c>
      <c r="I1417" s="15" t="s">
        <v>3939</v>
      </c>
      <c r="J1417" s="12"/>
      <c r="K1417" s="12"/>
      <c r="L1417" s="12"/>
      <c r="M1417" s="15"/>
    </row>
    <row r="1418" spans="1:13" ht="38.25" x14ac:dyDescent="0.25">
      <c r="A1418" s="12" t="str">
        <f t="shared" si="168"/>
        <v>2</v>
      </c>
      <c r="B1418" s="12" t="str">
        <f t="shared" si="169"/>
        <v>5</v>
      </c>
      <c r="C1418" s="12" t="str">
        <f t="shared" si="170"/>
        <v>5</v>
      </c>
      <c r="D1418" s="12" t="str">
        <f t="shared" si="171"/>
        <v>0</v>
      </c>
      <c r="E1418" s="12" t="str">
        <f t="shared" si="172"/>
        <v>00</v>
      </c>
      <c r="F1418" s="12" t="str">
        <f t="shared" si="173"/>
        <v>00</v>
      </c>
      <c r="G1418" s="12" t="s">
        <v>1396</v>
      </c>
      <c r="H1418" s="12" t="s">
        <v>3802</v>
      </c>
      <c r="I1418" s="15" t="s">
        <v>3940</v>
      </c>
      <c r="J1418" s="12"/>
      <c r="K1418" s="12"/>
      <c r="L1418" s="12"/>
      <c r="M1418" s="15"/>
    </row>
    <row r="1419" spans="1:13" ht="25.5" x14ac:dyDescent="0.25">
      <c r="A1419" s="12" t="str">
        <f t="shared" si="168"/>
        <v>2</v>
      </c>
      <c r="B1419" s="12" t="str">
        <f t="shared" si="169"/>
        <v>5</v>
      </c>
      <c r="C1419" s="12" t="str">
        <f t="shared" si="170"/>
        <v>6</v>
      </c>
      <c r="D1419" s="12" t="str">
        <f t="shared" si="171"/>
        <v>0</v>
      </c>
      <c r="E1419" s="12" t="str">
        <f t="shared" si="172"/>
        <v>00</v>
      </c>
      <c r="F1419" s="12" t="str">
        <f t="shared" si="173"/>
        <v>00</v>
      </c>
      <c r="G1419" s="12" t="s">
        <v>1397</v>
      </c>
      <c r="H1419" s="12" t="s">
        <v>3803</v>
      </c>
      <c r="I1419" s="15" t="s">
        <v>3941</v>
      </c>
      <c r="J1419" s="12"/>
      <c r="K1419" s="12"/>
      <c r="L1419" s="12"/>
      <c r="M1419" s="15"/>
    </row>
    <row r="1420" spans="1:13" ht="25.5" x14ac:dyDescent="0.25">
      <c r="A1420" s="12" t="str">
        <f t="shared" si="168"/>
        <v>2</v>
      </c>
      <c r="B1420" s="12" t="str">
        <f t="shared" si="169"/>
        <v>5</v>
      </c>
      <c r="C1420" s="12" t="str">
        <f t="shared" si="170"/>
        <v>7</v>
      </c>
      <c r="D1420" s="12" t="str">
        <f t="shared" si="171"/>
        <v>0</v>
      </c>
      <c r="E1420" s="12" t="str">
        <f t="shared" si="172"/>
        <v>00</v>
      </c>
      <c r="F1420" s="12" t="str">
        <f t="shared" si="173"/>
        <v>00</v>
      </c>
      <c r="G1420" s="12" t="s">
        <v>1398</v>
      </c>
      <c r="H1420" s="12" t="s">
        <v>3804</v>
      </c>
      <c r="I1420" s="15" t="s">
        <v>3942</v>
      </c>
      <c r="J1420" s="12"/>
      <c r="K1420" s="12"/>
      <c r="L1420" s="12"/>
      <c r="M1420" s="15"/>
    </row>
    <row r="1421" spans="1:13" ht="38.25" x14ac:dyDescent="0.25">
      <c r="A1421" s="12" t="str">
        <f t="shared" si="168"/>
        <v>2</v>
      </c>
      <c r="B1421" s="12" t="str">
        <f t="shared" si="169"/>
        <v>5</v>
      </c>
      <c r="C1421" s="12" t="str">
        <f t="shared" si="170"/>
        <v>8</v>
      </c>
      <c r="D1421" s="12" t="str">
        <f t="shared" si="171"/>
        <v>0</v>
      </c>
      <c r="E1421" s="12" t="str">
        <f t="shared" si="172"/>
        <v>00</v>
      </c>
      <c r="F1421" s="12" t="str">
        <f t="shared" si="173"/>
        <v>00</v>
      </c>
      <c r="G1421" s="12" t="s">
        <v>4196</v>
      </c>
      <c r="H1421" s="12" t="s">
        <v>4197</v>
      </c>
      <c r="I1421" s="15" t="s">
        <v>4198</v>
      </c>
      <c r="J1421" s="12"/>
      <c r="K1421" s="12" t="s">
        <v>46</v>
      </c>
      <c r="L1421" s="12" t="s">
        <v>4245</v>
      </c>
      <c r="M1421" s="15"/>
    </row>
    <row r="1422" spans="1:13" ht="25.5" x14ac:dyDescent="0.25">
      <c r="A1422" s="12" t="str">
        <f t="shared" si="168"/>
        <v>2</v>
      </c>
      <c r="B1422" s="12" t="str">
        <f t="shared" si="169"/>
        <v>5</v>
      </c>
      <c r="C1422" s="12" t="str">
        <f t="shared" si="170"/>
        <v>9</v>
      </c>
      <c r="D1422" s="12" t="str">
        <f t="shared" si="171"/>
        <v>0</v>
      </c>
      <c r="E1422" s="12" t="str">
        <f t="shared" si="172"/>
        <v>00</v>
      </c>
      <c r="F1422" s="12" t="str">
        <f t="shared" si="173"/>
        <v>00</v>
      </c>
      <c r="G1422" s="12" t="s">
        <v>1399</v>
      </c>
      <c r="H1422" s="12" t="s">
        <v>3181</v>
      </c>
      <c r="I1422" s="15" t="s">
        <v>3943</v>
      </c>
      <c r="J1422" s="12"/>
      <c r="K1422" s="12"/>
      <c r="L1422" s="12"/>
      <c r="M1422" s="15"/>
    </row>
    <row r="1423" spans="1:13" ht="25.5" x14ac:dyDescent="0.25">
      <c r="A1423" s="12" t="str">
        <f t="shared" ref="A1423" si="174">MID(G1423,1,1)</f>
        <v>9</v>
      </c>
      <c r="B1423" s="12" t="str">
        <f t="shared" ref="B1423" si="175">MID(G1423,2,1)</f>
        <v>9</v>
      </c>
      <c r="C1423" s="12" t="str">
        <f t="shared" ref="C1423" si="176">MID(G1423,3,1)</f>
        <v>9</v>
      </c>
      <c r="D1423" s="12" t="str">
        <f t="shared" ref="D1423" si="177">MID(G1423,4,1)</f>
        <v>0</v>
      </c>
      <c r="E1423" s="12" t="str">
        <f t="shared" ref="E1423" si="178">MID(G1423,6,2)</f>
        <v>00</v>
      </c>
      <c r="F1423" s="12" t="str">
        <f t="shared" ref="F1423" si="179">MID(G1423,9,2)</f>
        <v>00</v>
      </c>
      <c r="G1423" s="12" t="s">
        <v>4241</v>
      </c>
      <c r="H1423" s="12" t="s">
        <v>4242</v>
      </c>
      <c r="I1423" s="15" t="s">
        <v>4243</v>
      </c>
      <c r="J1423" s="12"/>
      <c r="K1423" s="12" t="s">
        <v>46</v>
      </c>
      <c r="L1423" s="12" t="s">
        <v>4244</v>
      </c>
      <c r="M1423" s="15"/>
    </row>
  </sheetData>
  <autoFilter ref="A1:M1423"/>
  <pageMargins left="0.511811024" right="0.511811024" top="0.78740157499999996" bottom="0.78740157499999996" header="0.31496062000000002" footer="0.31496062000000002"/>
  <pageSetup paperSize="9" orientation="portrait" horizontalDpi="4294967295" verticalDpi="4294967295"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14" ma:contentTypeDescription="Crie um novo documento." ma:contentTypeScope="" ma:versionID="a7d40faf5bc0b83fc8be95a2460808d2">
  <xsd:schema xmlns:xsd="http://www.w3.org/2001/XMLSchema" xmlns:xs="http://www.w3.org/2001/XMLSchema" xmlns:p="http://schemas.microsoft.com/office/2006/metadata/properties" xmlns:ns2="02b59cef-0636-4c64-bd56-9ca8586173f9" xmlns:ns3="abdebb61-bef2-4310-b7df-0fcbf7aaa69d" targetNamespace="http://schemas.microsoft.com/office/2006/metadata/properties" ma:root="true" ma:fieldsID="b5071201c1304a1be873b15236d8fc70" ns2:_="" ns3:_="">
    <xsd:import namespace="02b59cef-0636-4c64-bd56-9ca8586173f9"/>
    <xsd:import namespace="abdebb61-bef2-4310-b7df-0fcbf7aaa6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LengthInSeconds" minOccurs="0"/>
                <xsd:element ref="ns2:MediaServiceDateTaken"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aa448f4b-15e7-4d22-b9c3-2e0136a0864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debb61-bef2-4310-b7df-0fcbf7aaa69d"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2d7ccd6f-5d7b-453b-b39e-921c653c571f}" ma:internalName="TaxCatchAll" ma:showField="CatchAllData" ma:web="abdebb61-bef2-4310-b7df-0fcbf7aaa6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b59cef-0636-4c64-bd56-9ca8586173f9">
      <Terms xmlns="http://schemas.microsoft.com/office/infopath/2007/PartnerControls"/>
    </lcf76f155ced4ddcb4097134ff3c332f>
    <TaxCatchAll xmlns="abdebb61-bef2-4310-b7df-0fcbf7aaa69d" xsi:nil="true"/>
  </documentManagement>
</p:properties>
</file>

<file path=customXml/itemProps1.xml><?xml version="1.0" encoding="utf-8"?>
<ds:datastoreItem xmlns:ds="http://schemas.openxmlformats.org/officeDocument/2006/customXml" ds:itemID="{E48B87F2-6495-4F07-A107-A28F1A081EFD}"/>
</file>

<file path=customXml/itemProps2.xml><?xml version="1.0" encoding="utf-8"?>
<ds:datastoreItem xmlns:ds="http://schemas.openxmlformats.org/officeDocument/2006/customXml" ds:itemID="{D20E6E94-C0FF-4015-B0B0-92F7570D8CA6}"/>
</file>

<file path=customXml/itemProps3.xml><?xml version="1.0" encoding="utf-8"?>
<ds:datastoreItem xmlns:ds="http://schemas.openxmlformats.org/officeDocument/2006/customXml" ds:itemID="{D49F95C6-006C-49A5-A43E-86449F1D9E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STN</dc:creator>
  <cp:lastModifiedBy>STN</cp:lastModifiedBy>
  <dcterms:created xsi:type="dcterms:W3CDTF">2014-07-30T18:00:40Z</dcterms:created>
  <dcterms:modified xsi:type="dcterms:W3CDTF">2015-11-06T17:38:18Z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ies>
</file>